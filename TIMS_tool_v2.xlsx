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F:\github\TIMS-Excel\"/>
    </mc:Choice>
  </mc:AlternateContent>
  <xr:revisionPtr revIDLastSave="0" documentId="13_ncr:1_{1D391119-31C4-46D1-BA66-E93910B56380}" xr6:coauthVersionLast="47" xr6:coauthVersionMax="47" xr10:uidLastSave="{00000000-0000-0000-0000-000000000000}"/>
  <bookViews>
    <workbookView xWindow="-108" yWindow="-108" windowWidth="30936" windowHeight="18696" tabRatio="777" xr2:uid="{7A5C8208-3EEE-4150-A25D-F4A54CC6DC35}"/>
  </bookViews>
  <sheets>
    <sheet name="M電入力" sheetId="1" r:id="rId1"/>
    <sheet name="E電入力" sheetId="7" r:id="rId2"/>
    <sheet name="駅名表示(M)" sheetId="2" r:id="rId3"/>
    <sheet name="時刻設定(M)" sheetId="3" r:id="rId4"/>
    <sheet name="到着番線(M)" sheetId="4" r:id="rId5"/>
    <sheet name="次駅設定(M)" sheetId="5" r:id="rId6"/>
    <sheet name="制限速度&amp;駅間時間(M)" sheetId="6" r:id="rId7"/>
    <sheet name="駅名表示(E)" sheetId="11" r:id="rId8"/>
    <sheet name="時刻設定(E)" sheetId="10" r:id="rId9"/>
    <sheet name="到着番線(E)" sheetId="12" r:id="rId10"/>
    <sheet name="次駅設定(E)" sheetId="9" r:id="rId11"/>
    <sheet name="行路表矢印(E)" sheetId="13" r:id="rId12"/>
    <sheet name="採時駅設定(E)" sheetId="14" r:id="rId1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102" i="14" l="1"/>
  <c r="A4" i="14"/>
  <c r="A5" i="14"/>
  <c r="A6" i="14"/>
  <c r="A7" i="14"/>
  <c r="A8" i="14"/>
  <c r="A9" i="14"/>
  <c r="A10" i="14"/>
  <c r="A11" i="14"/>
  <c r="A12" i="14"/>
  <c r="A13" i="14"/>
  <c r="A14" i="14"/>
  <c r="A15" i="14"/>
  <c r="A16" i="14"/>
  <c r="A17" i="14"/>
  <c r="A18" i="14"/>
  <c r="A19" i="14"/>
  <c r="A20" i="14"/>
  <c r="A21" i="14"/>
  <c r="A22" i="14"/>
  <c r="A23" i="14"/>
  <c r="A24" i="14"/>
  <c r="A25" i="14"/>
  <c r="A26" i="14"/>
  <c r="A27" i="14"/>
  <c r="A28" i="14"/>
  <c r="A29" i="14"/>
  <c r="A30" i="14"/>
  <c r="A31" i="14"/>
  <c r="A32" i="14"/>
  <c r="A33" i="14"/>
  <c r="A34" i="14"/>
  <c r="A35" i="14"/>
  <c r="A36" i="14"/>
  <c r="A37" i="14"/>
  <c r="A38" i="14"/>
  <c r="A39" i="14"/>
  <c r="A40" i="14"/>
  <c r="A41" i="14"/>
  <c r="A42" i="14"/>
  <c r="A43" i="14"/>
  <c r="A44" i="14"/>
  <c r="A45" i="14"/>
  <c r="A46" i="14"/>
  <c r="A47" i="14"/>
  <c r="A48" i="14"/>
  <c r="A49" i="14"/>
  <c r="A50" i="14"/>
  <c r="A51" i="14"/>
  <c r="A52" i="14"/>
  <c r="A53" i="14"/>
  <c r="A54" i="14"/>
  <c r="A55" i="14"/>
  <c r="A56" i="14"/>
  <c r="A57" i="14"/>
  <c r="A58" i="14"/>
  <c r="A59" i="14"/>
  <c r="A60" i="14"/>
  <c r="A61" i="14"/>
  <c r="A62" i="14"/>
  <c r="A63" i="14"/>
  <c r="A64" i="14"/>
  <c r="A65" i="14"/>
  <c r="A66" i="14"/>
  <c r="A67" i="14"/>
  <c r="A68" i="14"/>
  <c r="A69" i="14"/>
  <c r="A70" i="14"/>
  <c r="A71" i="14"/>
  <c r="A72" i="14"/>
  <c r="A73" i="14"/>
  <c r="A74" i="14"/>
  <c r="A75" i="14"/>
  <c r="A76" i="14"/>
  <c r="A77" i="14"/>
  <c r="A78" i="14"/>
  <c r="A79" i="14"/>
  <c r="A80" i="14"/>
  <c r="A81" i="14"/>
  <c r="A82" i="14"/>
  <c r="A83" i="14"/>
  <c r="A84" i="14"/>
  <c r="A85" i="14"/>
  <c r="A86" i="14"/>
  <c r="A87" i="14"/>
  <c r="A88" i="14"/>
  <c r="A89" i="14"/>
  <c r="A90" i="14"/>
  <c r="A91" i="14"/>
  <c r="A92" i="14"/>
  <c r="A93" i="14"/>
  <c r="A94" i="14"/>
  <c r="A95" i="14"/>
  <c r="A96" i="14"/>
  <c r="A97" i="14"/>
  <c r="A98" i="14"/>
  <c r="A99" i="14"/>
  <c r="A100" i="14"/>
  <c r="A101" i="14"/>
  <c r="A3" i="14"/>
  <c r="AW4" i="7" a="1"/>
  <c r="AW5" i="7" a="1"/>
  <c r="AW6" i="7" a="1"/>
  <c r="AW7" i="7" a="1"/>
  <c r="AW8" i="7" a="1"/>
  <c r="AW9" i="7" a="1"/>
  <c r="AW10" i="7" a="1"/>
  <c r="AW11" i="7" a="1"/>
  <c r="AW12" i="7" a="1"/>
  <c r="AW13" i="7" a="1"/>
  <c r="AW14" i="7" a="1"/>
  <c r="AW15" i="7" a="1"/>
  <c r="AW16" i="7" a="1"/>
  <c r="AW17" i="7" a="1"/>
  <c r="AW18" i="7" a="1"/>
  <c r="AW19" i="7" a="1"/>
  <c r="AW20" i="7" a="1"/>
  <c r="AW21" i="7" a="1"/>
  <c r="AW22" i="7" a="1"/>
  <c r="AW23" i="7" a="1"/>
  <c r="AW24" i="7" a="1"/>
  <c r="AW25" i="7" a="1"/>
  <c r="AW26" i="7" a="1"/>
  <c r="AW27" i="7" a="1"/>
  <c r="AW28" i="7" a="1"/>
  <c r="AW29" i="7" a="1"/>
  <c r="AW30" i="7" a="1"/>
  <c r="AW31" i="7" a="1"/>
  <c r="AW32" i="7" a="1"/>
  <c r="AW33" i="7" a="1"/>
  <c r="AW34" i="7" a="1"/>
  <c r="AW35" i="7" a="1"/>
  <c r="AW36" i="7" a="1"/>
  <c r="AW37" i="7" a="1"/>
  <c r="AW38" i="7" a="1"/>
  <c r="AW39" i="7" a="1"/>
  <c r="AW40" i="7" a="1"/>
  <c r="AW41" i="7" a="1"/>
  <c r="AW42" i="7" a="1"/>
  <c r="AW43" i="7" a="1"/>
  <c r="AW44" i="7" a="1"/>
  <c r="AW45" i="7" a="1"/>
  <c r="AW46" i="7" a="1"/>
  <c r="AW47" i="7" a="1"/>
  <c r="AW48" i="7" a="1"/>
  <c r="AW49" i="7" a="1"/>
  <c r="AW50" i="7" a="1"/>
  <c r="AW51" i="7" a="1"/>
  <c r="AW52" i="7" a="1"/>
  <c r="AW53" i="7" a="1"/>
  <c r="AW54" i="7" a="1"/>
  <c r="AW55" i="7" a="1"/>
  <c r="AW56" i="7" a="1"/>
  <c r="AW57" i="7" a="1"/>
  <c r="AW58" i="7" a="1"/>
  <c r="AW59" i="7" a="1"/>
  <c r="AW60" i="7" a="1"/>
  <c r="AW61" i="7" a="1"/>
  <c r="AW62" i="7" a="1"/>
  <c r="AW63" i="7" a="1"/>
  <c r="AW64" i="7" a="1"/>
  <c r="AW65" i="7" a="1"/>
  <c r="AW66" i="7" a="1"/>
  <c r="AW67" i="7" a="1"/>
  <c r="AW68" i="7" a="1"/>
  <c r="AW69" i="7" a="1"/>
  <c r="AW70" i="7" a="1"/>
  <c r="AW71" i="7" a="1"/>
  <c r="AW72" i="7" a="1"/>
  <c r="AW73" i="7" a="1"/>
  <c r="AW74" i="7" a="1"/>
  <c r="AW75" i="7" a="1"/>
  <c r="AW76" i="7" a="1"/>
  <c r="AW77" i="7" a="1"/>
  <c r="AW78" i="7" a="1"/>
  <c r="AW79" i="7" a="1"/>
  <c r="AW80" i="7" a="1"/>
  <c r="AW81" i="7" a="1"/>
  <c r="AW82" i="7" a="1"/>
  <c r="AW83" i="7" a="1"/>
  <c r="AW84" i="7" a="1"/>
  <c r="AW85" i="7" a="1"/>
  <c r="AW86" i="7" a="1"/>
  <c r="AW87" i="7" a="1"/>
  <c r="AW88" i="7" a="1"/>
  <c r="AW89" i="7" a="1"/>
  <c r="AW90" i="7" a="1"/>
  <c r="AW91" i="7" a="1"/>
  <c r="AW92" i="7" a="1"/>
  <c r="AW93" i="7" a="1"/>
  <c r="AW94" i="7" a="1"/>
  <c r="AW95" i="7" a="1"/>
  <c r="AW96" i="7" a="1"/>
  <c r="AW97" i="7" a="1"/>
  <c r="AW98" i="7" a="1"/>
  <c r="AW99" i="7" a="1"/>
  <c r="AW100" i="7" a="1"/>
  <c r="AW101" i="7" a="1"/>
  <c r="AW102" i="7" a="1"/>
  <c r="AW103" i="7" a="1"/>
  <c r="AW104" i="7" a="1"/>
  <c r="AW105" i="7" a="1"/>
  <c r="AW106" i="7" a="1"/>
  <c r="AW107" i="7" a="1"/>
  <c r="AW108" i="7" a="1"/>
  <c r="AW109" i="7" a="1"/>
  <c r="AW110" i="7" a="1"/>
  <c r="J5" i="7"/>
  <c r="J6" i="7"/>
  <c r="J7" i="7"/>
  <c r="J8" i="7"/>
  <c r="J9" i="7"/>
  <c r="J10" i="7"/>
  <c r="J11" i="7"/>
  <c r="J12" i="7"/>
  <c r="J13" i="7"/>
  <c r="J14" i="7"/>
  <c r="J15" i="7"/>
  <c r="J16" i="7"/>
  <c r="J17" i="7"/>
  <c r="J18" i="7"/>
  <c r="J19" i="7"/>
  <c r="J20" i="7"/>
  <c r="J21" i="7"/>
  <c r="J22" i="7"/>
  <c r="J23" i="7"/>
  <c r="J24" i="7"/>
  <c r="J25" i="7"/>
  <c r="J26" i="7"/>
  <c r="J27" i="7"/>
  <c r="J28" i="7"/>
  <c r="J29" i="7"/>
  <c r="J30" i="7"/>
  <c r="J31" i="7"/>
  <c r="J32" i="7"/>
  <c r="J33" i="7"/>
  <c r="J34" i="7"/>
  <c r="J35" i="7"/>
  <c r="J36" i="7"/>
  <c r="J37" i="7"/>
  <c r="J38" i="7"/>
  <c r="J39" i="7"/>
  <c r="J40" i="7"/>
  <c r="J41" i="7"/>
  <c r="J42" i="7"/>
  <c r="J43" i="7"/>
  <c r="J44" i="7"/>
  <c r="J45" i="7"/>
  <c r="J46" i="7"/>
  <c r="J47" i="7"/>
  <c r="J48" i="7"/>
  <c r="J49" i="7"/>
  <c r="J50" i="7"/>
  <c r="J51" i="7"/>
  <c r="J52" i="7"/>
  <c r="J53" i="7"/>
  <c r="J54" i="7"/>
  <c r="J55" i="7"/>
  <c r="J56" i="7"/>
  <c r="J57" i="7"/>
  <c r="J58" i="7"/>
  <c r="J59" i="7"/>
  <c r="J60" i="7"/>
  <c r="J61" i="7"/>
  <c r="J62" i="7"/>
  <c r="J63" i="7"/>
  <c r="J64" i="7"/>
  <c r="J65" i="7"/>
  <c r="J66" i="7"/>
  <c r="J67" i="7"/>
  <c r="J68" i="7"/>
  <c r="J69" i="7"/>
  <c r="J70" i="7"/>
  <c r="J71" i="7"/>
  <c r="J72" i="7"/>
  <c r="J73" i="7"/>
  <c r="J74" i="7"/>
  <c r="J75" i="7"/>
  <c r="J76" i="7"/>
  <c r="J77" i="7"/>
  <c r="J78" i="7"/>
  <c r="J79" i="7"/>
  <c r="J80" i="7"/>
  <c r="J81" i="7"/>
  <c r="J82" i="7"/>
  <c r="J83" i="7"/>
  <c r="J84" i="7"/>
  <c r="J85" i="7"/>
  <c r="J86" i="7"/>
  <c r="J87" i="7"/>
  <c r="J88" i="7"/>
  <c r="J89" i="7"/>
  <c r="J90" i="7"/>
  <c r="J91" i="7"/>
  <c r="J92" i="7"/>
  <c r="J93" i="7"/>
  <c r="J94" i="7"/>
  <c r="J95" i="7"/>
  <c r="J96" i="7"/>
  <c r="J97" i="7"/>
  <c r="J98" i="7"/>
  <c r="J99" i="7"/>
  <c r="J100" i="7"/>
  <c r="J101" i="7"/>
  <c r="J102" i="7"/>
  <c r="J103" i="7"/>
  <c r="J4" i="7"/>
  <c r="AV4" i="7" a="1"/>
  <c r="AU4" i="7" a="1"/>
  <c r="AT4" i="7" a="1"/>
  <c r="AS4" i="7" a="1"/>
  <c r="H4" i="13"/>
  <c r="H5" i="13"/>
  <c r="H6" i="13"/>
  <c r="H7" i="13"/>
  <c r="H8" i="13"/>
  <c r="H9" i="13"/>
  <c r="H10" i="13"/>
  <c r="H11" i="13"/>
  <c r="H12" i="13"/>
  <c r="H13" i="13"/>
  <c r="H14" i="13"/>
  <c r="H15" i="13"/>
  <c r="H16" i="13"/>
  <c r="H17" i="13"/>
  <c r="H18" i="13"/>
  <c r="H19" i="13"/>
  <c r="H20" i="13"/>
  <c r="H21" i="13"/>
  <c r="H22" i="13"/>
  <c r="H23" i="13"/>
  <c r="H24" i="13"/>
  <c r="H25" i="13"/>
  <c r="H26" i="13"/>
  <c r="H27" i="13"/>
  <c r="H28" i="13"/>
  <c r="H29" i="13"/>
  <c r="H30" i="13"/>
  <c r="H31" i="13"/>
  <c r="H32" i="13"/>
  <c r="H33" i="13"/>
  <c r="H34" i="13"/>
  <c r="H35" i="13"/>
  <c r="H36" i="13"/>
  <c r="H37" i="13"/>
  <c r="H38" i="13"/>
  <c r="H39" i="13"/>
  <c r="H40" i="13"/>
  <c r="H41" i="13"/>
  <c r="H42" i="13"/>
  <c r="H43" i="13"/>
  <c r="H44" i="13"/>
  <c r="H45" i="13"/>
  <c r="H46" i="13"/>
  <c r="H47" i="13"/>
  <c r="H48" i="13"/>
  <c r="H49" i="13"/>
  <c r="H50" i="13"/>
  <c r="H51" i="13"/>
  <c r="H52" i="13"/>
  <c r="H53" i="13"/>
  <c r="H54" i="13"/>
  <c r="H55" i="13"/>
  <c r="H56" i="13"/>
  <c r="H57" i="13"/>
  <c r="H58" i="13"/>
  <c r="H59" i="13"/>
  <c r="H60" i="13"/>
  <c r="H61" i="13"/>
  <c r="H62" i="13"/>
  <c r="H63" i="13"/>
  <c r="H64" i="13"/>
  <c r="H65" i="13"/>
  <c r="H66" i="13"/>
  <c r="H67" i="13"/>
  <c r="H68" i="13"/>
  <c r="H69" i="13"/>
  <c r="H70" i="13"/>
  <c r="H71" i="13"/>
  <c r="H72" i="13"/>
  <c r="H73" i="13"/>
  <c r="H74" i="13"/>
  <c r="H75" i="13"/>
  <c r="H76" i="13"/>
  <c r="H77" i="13"/>
  <c r="H78" i="13"/>
  <c r="H79" i="13"/>
  <c r="H80" i="13"/>
  <c r="H81" i="13"/>
  <c r="H82" i="13"/>
  <c r="H83" i="13"/>
  <c r="H84" i="13"/>
  <c r="H85" i="13"/>
  <c r="H86" i="13"/>
  <c r="H87" i="13"/>
  <c r="H88" i="13"/>
  <c r="H89" i="13"/>
  <c r="H90" i="13"/>
  <c r="H91" i="13"/>
  <c r="H92" i="13"/>
  <c r="H93" i="13"/>
  <c r="H94" i="13"/>
  <c r="H95" i="13"/>
  <c r="H96" i="13"/>
  <c r="H97" i="13"/>
  <c r="H98" i="13"/>
  <c r="H99" i="13"/>
  <c r="H100" i="13"/>
  <c r="H101" i="13"/>
  <c r="H102" i="13"/>
  <c r="H3" i="13"/>
  <c r="F4" i="13"/>
  <c r="F5" i="13"/>
  <c r="F6" i="13"/>
  <c r="F7" i="13"/>
  <c r="F8" i="13"/>
  <c r="F9" i="13"/>
  <c r="F10" i="13"/>
  <c r="F11" i="13"/>
  <c r="F12" i="13"/>
  <c r="F13" i="13"/>
  <c r="F14" i="13"/>
  <c r="F15" i="13"/>
  <c r="F16" i="13"/>
  <c r="F17" i="13"/>
  <c r="F18" i="13"/>
  <c r="F19" i="13"/>
  <c r="F20" i="13"/>
  <c r="F21" i="13"/>
  <c r="F22" i="13"/>
  <c r="F23" i="13"/>
  <c r="F24" i="13"/>
  <c r="F25" i="13"/>
  <c r="F26" i="13"/>
  <c r="F27" i="13"/>
  <c r="F28" i="13"/>
  <c r="F29" i="13"/>
  <c r="F30" i="13"/>
  <c r="F31" i="13"/>
  <c r="F32" i="13"/>
  <c r="F33" i="13"/>
  <c r="F34" i="13"/>
  <c r="F35" i="13"/>
  <c r="F36" i="13"/>
  <c r="F37" i="13"/>
  <c r="F38" i="13"/>
  <c r="F39" i="13"/>
  <c r="F40" i="13"/>
  <c r="F41" i="13"/>
  <c r="F42" i="13"/>
  <c r="F43" i="13"/>
  <c r="F44" i="13"/>
  <c r="F45" i="13"/>
  <c r="F46" i="13"/>
  <c r="F47" i="13"/>
  <c r="F48" i="13"/>
  <c r="F49" i="13"/>
  <c r="F50" i="13"/>
  <c r="F51" i="13"/>
  <c r="F52" i="13"/>
  <c r="F53" i="13"/>
  <c r="F54" i="13"/>
  <c r="F55" i="13"/>
  <c r="F56" i="13"/>
  <c r="F57" i="13"/>
  <c r="F58" i="13"/>
  <c r="F59" i="13"/>
  <c r="F60" i="13"/>
  <c r="F61" i="13"/>
  <c r="F62" i="13"/>
  <c r="F63" i="13"/>
  <c r="F64" i="13"/>
  <c r="F65" i="13"/>
  <c r="F66" i="13"/>
  <c r="F67" i="13"/>
  <c r="F68" i="13"/>
  <c r="F69" i="13"/>
  <c r="F70" i="13"/>
  <c r="F71" i="13"/>
  <c r="F72" i="13"/>
  <c r="F73" i="13"/>
  <c r="F74" i="13"/>
  <c r="F75" i="13"/>
  <c r="F76" i="13"/>
  <c r="F77" i="13"/>
  <c r="F78" i="13"/>
  <c r="F79" i="13"/>
  <c r="F80" i="13"/>
  <c r="F81" i="13"/>
  <c r="F82" i="13"/>
  <c r="F83" i="13"/>
  <c r="F84" i="13"/>
  <c r="F85" i="13"/>
  <c r="F86" i="13"/>
  <c r="F87" i="13"/>
  <c r="F88" i="13"/>
  <c r="F89" i="13"/>
  <c r="F90" i="13"/>
  <c r="F91" i="13"/>
  <c r="F92" i="13"/>
  <c r="F93" i="13"/>
  <c r="F94" i="13"/>
  <c r="F95" i="13"/>
  <c r="F96" i="13"/>
  <c r="F97" i="13"/>
  <c r="F98" i="13"/>
  <c r="F99" i="13"/>
  <c r="F100" i="13"/>
  <c r="F101" i="13"/>
  <c r="F102" i="13"/>
  <c r="F3" i="13"/>
  <c r="A4" i="13"/>
  <c r="A5" i="13"/>
  <c r="A6" i="13"/>
  <c r="A7" i="13"/>
  <c r="A8" i="13"/>
  <c r="A9" i="13"/>
  <c r="A10" i="13"/>
  <c r="A11" i="13"/>
  <c r="A12" i="13"/>
  <c r="A13" i="13"/>
  <c r="A14" i="13"/>
  <c r="A15" i="13"/>
  <c r="A16" i="13"/>
  <c r="A17" i="13"/>
  <c r="A18" i="13"/>
  <c r="A19" i="13"/>
  <c r="A20" i="13"/>
  <c r="A21" i="13"/>
  <c r="A22" i="13"/>
  <c r="A23" i="13"/>
  <c r="A24" i="13"/>
  <c r="A25" i="13"/>
  <c r="A26" i="13"/>
  <c r="A27" i="13"/>
  <c r="A28" i="13"/>
  <c r="A29" i="13"/>
  <c r="A30" i="13"/>
  <c r="A31" i="13"/>
  <c r="A32" i="13"/>
  <c r="A33" i="13"/>
  <c r="A34" i="13"/>
  <c r="A35" i="13"/>
  <c r="A36" i="13"/>
  <c r="A37" i="13"/>
  <c r="A38" i="13"/>
  <c r="A39" i="13"/>
  <c r="A40" i="13"/>
  <c r="A41" i="13"/>
  <c r="A42" i="13"/>
  <c r="A43" i="13"/>
  <c r="A44" i="13"/>
  <c r="A45" i="13"/>
  <c r="A46" i="13"/>
  <c r="A47" i="13"/>
  <c r="A48" i="13"/>
  <c r="A49" i="13"/>
  <c r="A50" i="13"/>
  <c r="A51" i="13"/>
  <c r="A52" i="13"/>
  <c r="A53" i="13"/>
  <c r="A54" i="13"/>
  <c r="A55" i="13"/>
  <c r="A56" i="13"/>
  <c r="A57" i="13"/>
  <c r="A58" i="13"/>
  <c r="A59" i="13"/>
  <c r="A60" i="13"/>
  <c r="A61" i="13"/>
  <c r="A62" i="13"/>
  <c r="A63" i="13"/>
  <c r="A64" i="13"/>
  <c r="A65" i="13"/>
  <c r="A66" i="13"/>
  <c r="A67" i="13"/>
  <c r="A68" i="13"/>
  <c r="A69" i="13"/>
  <c r="A70" i="13"/>
  <c r="A71" i="13"/>
  <c r="A72" i="13"/>
  <c r="A73" i="13"/>
  <c r="A74" i="13"/>
  <c r="A75" i="13"/>
  <c r="A76" i="13"/>
  <c r="A77" i="13"/>
  <c r="A78" i="13"/>
  <c r="A79" i="13"/>
  <c r="A80" i="13"/>
  <c r="A81" i="13"/>
  <c r="A82" i="13"/>
  <c r="A83" i="13"/>
  <c r="A84" i="13"/>
  <c r="A85" i="13"/>
  <c r="A86" i="13"/>
  <c r="A87" i="13"/>
  <c r="A88" i="13"/>
  <c r="A89" i="13"/>
  <c r="A90" i="13"/>
  <c r="A91" i="13"/>
  <c r="A92" i="13"/>
  <c r="A93" i="13"/>
  <c r="A94" i="13"/>
  <c r="A95" i="13"/>
  <c r="A96" i="13"/>
  <c r="A97" i="13"/>
  <c r="A98" i="13"/>
  <c r="A99" i="13"/>
  <c r="A100" i="13"/>
  <c r="A101" i="13"/>
  <c r="A102" i="13"/>
  <c r="A3" i="13"/>
  <c r="A5" i="11"/>
  <c r="A6" i="11"/>
  <c r="A7" i="11"/>
  <c r="A8" i="11"/>
  <c r="A9" i="11"/>
  <c r="A10" i="11"/>
  <c r="A11" i="11"/>
  <c r="A12" i="11"/>
  <c r="A13" i="11"/>
  <c r="A14" i="11"/>
  <c r="A15" i="11"/>
  <c r="A16" i="11"/>
  <c r="A17" i="11"/>
  <c r="A18" i="11"/>
  <c r="A19" i="11"/>
  <c r="A20" i="11"/>
  <c r="A21" i="11"/>
  <c r="A22" i="11"/>
  <c r="A23" i="11"/>
  <c r="A24" i="11"/>
  <c r="A25" i="11"/>
  <c r="A26" i="11"/>
  <c r="A27" i="11"/>
  <c r="A28" i="11"/>
  <c r="A29" i="11"/>
  <c r="A30" i="11"/>
  <c r="A31" i="11"/>
  <c r="A32" i="11"/>
  <c r="A33" i="11"/>
  <c r="A34" i="11"/>
  <c r="A35" i="11"/>
  <c r="A36" i="11"/>
  <c r="A37" i="11"/>
  <c r="A38" i="11"/>
  <c r="A39" i="11"/>
  <c r="A40" i="11"/>
  <c r="A41" i="11"/>
  <c r="A42" i="11"/>
  <c r="A43" i="11"/>
  <c r="A44" i="11"/>
  <c r="A45" i="11"/>
  <c r="A46" i="11"/>
  <c r="A47" i="11"/>
  <c r="A48" i="11"/>
  <c r="A49" i="11"/>
  <c r="A50" i="11"/>
  <c r="A51" i="11"/>
  <c r="A52" i="11"/>
  <c r="A53" i="11"/>
  <c r="A54" i="11"/>
  <c r="A55" i="11"/>
  <c r="A56" i="11"/>
  <c r="A57" i="11"/>
  <c r="A58" i="11"/>
  <c r="A59" i="11"/>
  <c r="A60" i="11"/>
  <c r="A61" i="11"/>
  <c r="A62" i="11"/>
  <c r="A63" i="11"/>
  <c r="A64" i="11"/>
  <c r="A65" i="11"/>
  <c r="A66" i="11"/>
  <c r="A67" i="11"/>
  <c r="A68" i="11"/>
  <c r="A69" i="11"/>
  <c r="A70" i="11"/>
  <c r="A71" i="11"/>
  <c r="A72" i="11"/>
  <c r="A73" i="11"/>
  <c r="A74" i="11"/>
  <c r="A75" i="11"/>
  <c r="A76" i="11"/>
  <c r="A77" i="11"/>
  <c r="A78" i="11"/>
  <c r="A79" i="11"/>
  <c r="A80" i="11"/>
  <c r="A81" i="11"/>
  <c r="A82" i="11"/>
  <c r="A83" i="11"/>
  <c r="A84" i="11"/>
  <c r="A85" i="11"/>
  <c r="A86" i="11"/>
  <c r="A87" i="11"/>
  <c r="A88" i="11"/>
  <c r="A89" i="11"/>
  <c r="A90" i="11"/>
  <c r="A91" i="11"/>
  <c r="A92" i="11"/>
  <c r="A93" i="11"/>
  <c r="A94" i="11"/>
  <c r="A95" i="11"/>
  <c r="A96" i="11"/>
  <c r="A97" i="11"/>
  <c r="A98" i="11"/>
  <c r="A99" i="11"/>
  <c r="A100" i="11"/>
  <c r="A101" i="11"/>
  <c r="A102" i="11"/>
  <c r="A4" i="11"/>
  <c r="A3" i="11"/>
  <c r="A4" i="9"/>
  <c r="A5" i="9"/>
  <c r="A6" i="9"/>
  <c r="A7" i="9"/>
  <c r="A8" i="9"/>
  <c r="A9" i="9"/>
  <c r="A10" i="9"/>
  <c r="A11" i="9"/>
  <c r="A12" i="9"/>
  <c r="A13" i="9"/>
  <c r="A14" i="9"/>
  <c r="A15" i="9"/>
  <c r="A16" i="9"/>
  <c r="A17" i="9"/>
  <c r="A18" i="9"/>
  <c r="A19" i="9"/>
  <c r="A20" i="9"/>
  <c r="A21" i="9"/>
  <c r="A22" i="9"/>
  <c r="A23" i="9"/>
  <c r="A24" i="9"/>
  <c r="A25" i="9"/>
  <c r="A26" i="9"/>
  <c r="A27" i="9"/>
  <c r="A28" i="9"/>
  <c r="A29" i="9"/>
  <c r="A30" i="9"/>
  <c r="A31" i="9"/>
  <c r="A32" i="9"/>
  <c r="A33" i="9"/>
  <c r="A34" i="9"/>
  <c r="A35" i="9"/>
  <c r="A36" i="9"/>
  <c r="A37" i="9"/>
  <c r="A38" i="9"/>
  <c r="A39" i="9"/>
  <c r="A40" i="9"/>
  <c r="A41" i="9"/>
  <c r="A42" i="9"/>
  <c r="A43" i="9"/>
  <c r="A44" i="9"/>
  <c r="A45" i="9"/>
  <c r="A46" i="9"/>
  <c r="A47" i="9"/>
  <c r="A48" i="9"/>
  <c r="A49" i="9"/>
  <c r="A50" i="9"/>
  <c r="A51" i="9"/>
  <c r="A52" i="9"/>
  <c r="A53" i="9"/>
  <c r="A54" i="9"/>
  <c r="A55" i="9"/>
  <c r="A56" i="9"/>
  <c r="A57" i="9"/>
  <c r="A58" i="9"/>
  <c r="A59" i="9"/>
  <c r="A60" i="9"/>
  <c r="A61" i="9"/>
  <c r="A62" i="9"/>
  <c r="A63" i="9"/>
  <c r="A64" i="9"/>
  <c r="A65" i="9"/>
  <c r="A66" i="9"/>
  <c r="A67" i="9"/>
  <c r="A68" i="9"/>
  <c r="A69" i="9"/>
  <c r="A70" i="9"/>
  <c r="A71" i="9"/>
  <c r="A72" i="9"/>
  <c r="A73" i="9"/>
  <c r="A74" i="9"/>
  <c r="A75" i="9"/>
  <c r="A76" i="9"/>
  <c r="A77" i="9"/>
  <c r="A78" i="9"/>
  <c r="A79" i="9"/>
  <c r="A80" i="9"/>
  <c r="A81" i="9"/>
  <c r="A82" i="9"/>
  <c r="A83" i="9"/>
  <c r="A84" i="9"/>
  <c r="A85" i="9"/>
  <c r="A86" i="9"/>
  <c r="A87" i="9"/>
  <c r="A88" i="9"/>
  <c r="A89" i="9"/>
  <c r="A90" i="9"/>
  <c r="A91" i="9"/>
  <c r="A92" i="9"/>
  <c r="A93" i="9"/>
  <c r="A94" i="9"/>
  <c r="A95" i="9"/>
  <c r="A96" i="9"/>
  <c r="A97" i="9"/>
  <c r="A98" i="9"/>
  <c r="A99" i="9"/>
  <c r="A100" i="9"/>
  <c r="A101" i="9"/>
  <c r="A102" i="9"/>
  <c r="A3" i="9"/>
  <c r="A5" i="12"/>
  <c r="A6" i="12"/>
  <c r="A7" i="12"/>
  <c r="A8" i="12"/>
  <c r="A9" i="12"/>
  <c r="A10" i="12"/>
  <c r="A11" i="12"/>
  <c r="A12" i="12"/>
  <c r="A13" i="12"/>
  <c r="A14" i="12"/>
  <c r="A15" i="12"/>
  <c r="A16" i="12"/>
  <c r="A17" i="12"/>
  <c r="A18" i="12"/>
  <c r="A19" i="12"/>
  <c r="A20" i="12"/>
  <c r="A21" i="12"/>
  <c r="A22" i="12"/>
  <c r="A23" i="12"/>
  <c r="A24" i="12"/>
  <c r="A25" i="12"/>
  <c r="A26" i="12"/>
  <c r="A27" i="12"/>
  <c r="A28" i="12"/>
  <c r="A29" i="12"/>
  <c r="A30" i="12"/>
  <c r="A31" i="12"/>
  <c r="A32" i="12"/>
  <c r="A33" i="12"/>
  <c r="A34" i="12"/>
  <c r="A35" i="12"/>
  <c r="A36" i="12"/>
  <c r="A37" i="12"/>
  <c r="A38" i="12"/>
  <c r="A39" i="12"/>
  <c r="A40" i="12"/>
  <c r="A41" i="12"/>
  <c r="A42" i="12"/>
  <c r="A43" i="12"/>
  <c r="A44" i="12"/>
  <c r="A45" i="12"/>
  <c r="A46" i="12"/>
  <c r="A47" i="12"/>
  <c r="A48" i="12"/>
  <c r="A49" i="12"/>
  <c r="A50" i="12"/>
  <c r="A51" i="12"/>
  <c r="A52" i="12"/>
  <c r="A53" i="12"/>
  <c r="A54" i="12"/>
  <c r="A55" i="12"/>
  <c r="A56" i="12"/>
  <c r="A57" i="12"/>
  <c r="A58" i="12"/>
  <c r="A59" i="12"/>
  <c r="A60" i="12"/>
  <c r="A61" i="12"/>
  <c r="A62" i="12"/>
  <c r="A63" i="12"/>
  <c r="A64" i="12"/>
  <c r="A65" i="12"/>
  <c r="A66" i="12"/>
  <c r="A67" i="12"/>
  <c r="A68" i="12"/>
  <c r="A69" i="12"/>
  <c r="A70" i="12"/>
  <c r="A71" i="12"/>
  <c r="A72" i="12"/>
  <c r="A73" i="12"/>
  <c r="A74" i="12"/>
  <c r="A75" i="12"/>
  <c r="A76" i="12"/>
  <c r="A77" i="12"/>
  <c r="A78" i="12"/>
  <c r="A79" i="12"/>
  <c r="A80" i="12"/>
  <c r="A81" i="12"/>
  <c r="A82" i="12"/>
  <c r="A83" i="12"/>
  <c r="A84" i="12"/>
  <c r="A85" i="12"/>
  <c r="A86" i="12"/>
  <c r="A87" i="12"/>
  <c r="A88" i="12"/>
  <c r="A89" i="12"/>
  <c r="A90" i="12"/>
  <c r="A91" i="12"/>
  <c r="A92" i="12"/>
  <c r="A93" i="12"/>
  <c r="A94" i="12"/>
  <c r="A95" i="12"/>
  <c r="A96" i="12"/>
  <c r="A97" i="12"/>
  <c r="A98" i="12"/>
  <c r="A99" i="12"/>
  <c r="A100" i="12"/>
  <c r="A101" i="12"/>
  <c r="A102" i="12"/>
  <c r="A4" i="12"/>
  <c r="A3" i="12"/>
  <c r="AR4" i="7" a="1"/>
  <c r="AQ4" i="7" a="1"/>
  <c r="AP4" i="7" a="1"/>
  <c r="AO4" i="7" a="1"/>
  <c r="AN4" i="7" a="1"/>
  <c r="AM4" i="7" a="1"/>
  <c r="W4" i="7" a="1"/>
  <c r="V4" i="7" a="1"/>
  <c r="U4" i="7" a="1"/>
  <c r="T4" i="7" a="1"/>
  <c r="S4" i="7" a="1"/>
  <c r="R4" i="7" a="1"/>
  <c r="AJ5" i="7" a="1"/>
  <c r="AJ6" i="7" a="1"/>
  <c r="AJ7" i="7" a="1"/>
  <c r="AJ8" i="7" a="1"/>
  <c r="AJ9" i="7" a="1"/>
  <c r="AJ10" i="7" a="1"/>
  <c r="AJ11" i="7" a="1"/>
  <c r="AJ12" i="7" a="1"/>
  <c r="AJ13" i="7" a="1"/>
  <c r="AJ14" i="7" a="1"/>
  <c r="AJ15" i="7" a="1"/>
  <c r="AJ16" i="7" a="1"/>
  <c r="AJ17" i="7" a="1"/>
  <c r="AJ18" i="7" a="1"/>
  <c r="AJ19" i="7" a="1"/>
  <c r="AJ20" i="7" a="1"/>
  <c r="AJ21" i="7" a="1"/>
  <c r="AJ22" i="7" a="1"/>
  <c r="AJ23" i="7" a="1"/>
  <c r="AJ24" i="7" a="1"/>
  <c r="AJ25" i="7" a="1"/>
  <c r="AJ26" i="7" a="1"/>
  <c r="AJ27" i="7" a="1"/>
  <c r="AJ28" i="7" a="1"/>
  <c r="AJ29" i="7" a="1"/>
  <c r="AJ30" i="7" a="1"/>
  <c r="AJ31" i="7" a="1"/>
  <c r="AJ32" i="7" a="1"/>
  <c r="AJ33" i="7" a="1"/>
  <c r="AJ34" i="7" a="1"/>
  <c r="AJ35" i="7" a="1"/>
  <c r="AJ36" i="7" a="1"/>
  <c r="AJ37" i="7" a="1"/>
  <c r="AJ38" i="7" a="1"/>
  <c r="AJ39" i="7" a="1"/>
  <c r="AJ40" i="7" a="1"/>
  <c r="AJ41" i="7" a="1"/>
  <c r="AJ42" i="7" a="1"/>
  <c r="AJ43" i="7" a="1"/>
  <c r="AJ44" i="7" a="1"/>
  <c r="AJ45" i="7" a="1"/>
  <c r="AJ46" i="7" a="1"/>
  <c r="AJ47" i="7" a="1"/>
  <c r="AJ48" i="7" a="1"/>
  <c r="AJ49" i="7" a="1"/>
  <c r="AJ50" i="7" a="1"/>
  <c r="AJ51" i="7" a="1"/>
  <c r="AJ52" i="7" a="1"/>
  <c r="AJ53" i="7" a="1"/>
  <c r="AJ54" i="7" a="1"/>
  <c r="AJ55" i="7" a="1"/>
  <c r="AJ56" i="7" a="1"/>
  <c r="AJ57" i="7" a="1"/>
  <c r="AJ58" i="7" a="1"/>
  <c r="AJ59" i="7" a="1"/>
  <c r="AJ60" i="7" a="1"/>
  <c r="AJ61" i="7" a="1"/>
  <c r="AJ62" i="7" a="1"/>
  <c r="AJ63" i="7" a="1"/>
  <c r="AJ64" i="7" a="1"/>
  <c r="AJ65" i="7" a="1"/>
  <c r="AJ66" i="7" a="1"/>
  <c r="AJ67" i="7" a="1"/>
  <c r="AJ68" i="7" a="1"/>
  <c r="AJ69" i="7" a="1"/>
  <c r="AJ70" i="7" a="1"/>
  <c r="AJ71" i="7" a="1"/>
  <c r="AJ72" i="7" a="1"/>
  <c r="AJ73" i="7" a="1"/>
  <c r="AJ74" i="7" a="1"/>
  <c r="AJ75" i="7" a="1"/>
  <c r="AJ76" i="7" a="1"/>
  <c r="AJ77" i="7" a="1"/>
  <c r="AJ78" i="7" a="1"/>
  <c r="AJ79" i="7" a="1"/>
  <c r="AJ80" i="7" a="1"/>
  <c r="AJ81" i="7" a="1"/>
  <c r="AJ82" i="7" a="1"/>
  <c r="AJ83" i="7" a="1"/>
  <c r="AJ84" i="7" a="1"/>
  <c r="AJ85" i="7" a="1"/>
  <c r="AJ86" i="7" a="1"/>
  <c r="AJ87" i="7" a="1"/>
  <c r="AJ88" i="7" a="1"/>
  <c r="AJ89" i="7" a="1"/>
  <c r="AJ90" i="7" a="1"/>
  <c r="AJ91" i="7" a="1"/>
  <c r="AJ92" i="7" a="1"/>
  <c r="AJ93" i="7" a="1"/>
  <c r="AJ94" i="7" a="1"/>
  <c r="AJ95" i="7" a="1"/>
  <c r="AJ96" i="7" a="1"/>
  <c r="AJ97" i="7" a="1"/>
  <c r="AJ98" i="7" a="1"/>
  <c r="AJ99" i="7" a="1"/>
  <c r="AJ100" i="7" a="1"/>
  <c r="AJ101" i="7" a="1"/>
  <c r="AJ102" i="7" a="1"/>
  <c r="AJ103" i="7" a="1"/>
  <c r="AJ104" i="7" a="1"/>
  <c r="AJ105" i="7" a="1"/>
  <c r="AJ106" i="7" a="1"/>
  <c r="AJ107" i="7" a="1"/>
  <c r="AJ108" i="7" a="1"/>
  <c r="AJ109" i="7" a="1"/>
  <c r="AJ110" i="7" a="1"/>
  <c r="AJ4" i="7" a="1"/>
  <c r="AC5" i="1" a="1"/>
  <c r="AC6" i="1" a="1"/>
  <c r="AC7" i="1" a="1"/>
  <c r="AC8" i="1" a="1"/>
  <c r="AC9" i="1" a="1"/>
  <c r="AC10" i="1" a="1"/>
  <c r="AC11" i="1" a="1"/>
  <c r="AC12" i="1" a="1"/>
  <c r="AC13" i="1" a="1"/>
  <c r="AC14" i="1" a="1"/>
  <c r="AC15" i="1" a="1"/>
  <c r="AC16" i="1" a="1"/>
  <c r="AC17" i="1" a="1"/>
  <c r="AC18" i="1" a="1"/>
  <c r="AC19" i="1" a="1"/>
  <c r="AC20" i="1" a="1"/>
  <c r="AC21" i="1" a="1"/>
  <c r="AC22" i="1" a="1"/>
  <c r="AC23" i="1" a="1"/>
  <c r="AC24" i="1" a="1"/>
  <c r="AC25" i="1" a="1"/>
  <c r="AC26" i="1" a="1"/>
  <c r="AC27" i="1" a="1"/>
  <c r="AC28" i="1" a="1"/>
  <c r="AC29" i="1" a="1"/>
  <c r="AC30" i="1" a="1"/>
  <c r="AC31" i="1" a="1"/>
  <c r="AC32" i="1" a="1"/>
  <c r="AC33" i="1" a="1"/>
  <c r="AC34" i="1" a="1"/>
  <c r="AC35" i="1" a="1"/>
  <c r="AC36" i="1" a="1"/>
  <c r="AC37" i="1" a="1"/>
  <c r="AC38" i="1" a="1"/>
  <c r="AC39" i="1" a="1"/>
  <c r="AC40" i="1" a="1"/>
  <c r="AC41" i="1" a="1"/>
  <c r="AC42" i="1" a="1"/>
  <c r="AC43" i="1" a="1"/>
  <c r="AC44" i="1" a="1"/>
  <c r="AC45" i="1" a="1"/>
  <c r="AC46" i="1" a="1"/>
  <c r="AC47" i="1" a="1"/>
  <c r="AC48" i="1" a="1"/>
  <c r="AC49" i="1" a="1"/>
  <c r="AC50" i="1" a="1"/>
  <c r="AC51" i="1" a="1"/>
  <c r="AC52" i="1" a="1"/>
  <c r="AC53" i="1" a="1"/>
  <c r="AC54" i="1" a="1"/>
  <c r="AC55" i="1" a="1"/>
  <c r="AC56" i="1" a="1"/>
  <c r="AC57" i="1" a="1"/>
  <c r="AC58" i="1" a="1"/>
  <c r="AC59" i="1" a="1"/>
  <c r="AC60" i="1" a="1"/>
  <c r="AC61" i="1" a="1"/>
  <c r="AC62" i="1" a="1"/>
  <c r="AC63" i="1" a="1"/>
  <c r="AC64" i="1" a="1"/>
  <c r="AC65" i="1" a="1"/>
  <c r="AC66" i="1" a="1"/>
  <c r="AC67" i="1" a="1"/>
  <c r="AC68" i="1" a="1"/>
  <c r="AC69" i="1" a="1"/>
  <c r="AC70" i="1" a="1"/>
  <c r="AC71" i="1" a="1"/>
  <c r="AC72" i="1" a="1"/>
  <c r="AC73" i="1" a="1"/>
  <c r="AC74" i="1" a="1"/>
  <c r="AC75" i="1" a="1"/>
  <c r="AC76" i="1" a="1"/>
  <c r="AC77" i="1" a="1"/>
  <c r="AC78" i="1" a="1"/>
  <c r="AC79" i="1" a="1"/>
  <c r="AC80" i="1" a="1"/>
  <c r="AC81" i="1" a="1"/>
  <c r="AC82" i="1" a="1"/>
  <c r="AC83" i="1" a="1"/>
  <c r="AC84" i="1" a="1"/>
  <c r="AC85" i="1" a="1"/>
  <c r="AC86" i="1" a="1"/>
  <c r="AC87" i="1" a="1"/>
  <c r="AC88" i="1" a="1"/>
  <c r="AC89" i="1" a="1"/>
  <c r="AC90" i="1" a="1"/>
  <c r="AC91" i="1" a="1"/>
  <c r="AC92" i="1" a="1"/>
  <c r="AC93" i="1" a="1"/>
  <c r="AC94" i="1" a="1"/>
  <c r="AC95" i="1" a="1"/>
  <c r="AC96" i="1" a="1"/>
  <c r="AC97" i="1" a="1"/>
  <c r="AC98" i="1" a="1"/>
  <c r="AC99" i="1" a="1"/>
  <c r="AC100" i="1" a="1"/>
  <c r="AC101" i="1" a="1"/>
  <c r="AC102" i="1" a="1"/>
  <c r="AC103" i="1" a="1"/>
  <c r="AC104" i="1" a="1"/>
  <c r="AC105" i="1" a="1"/>
  <c r="AC106" i="1" a="1"/>
  <c r="AC107" i="1" a="1"/>
  <c r="AC108" i="1" a="1"/>
  <c r="AC109" i="1" a="1"/>
  <c r="AC110" i="1" a="1"/>
  <c r="AC4" i="1" a="1"/>
  <c r="A12" i="10"/>
  <c r="A13" i="10"/>
  <c r="A14" i="10"/>
  <c r="A15" i="10"/>
  <c r="A16" i="10"/>
  <c r="A17" i="10"/>
  <c r="A18" i="10"/>
  <c r="A19" i="10"/>
  <c r="A20" i="10"/>
  <c r="A21" i="10"/>
  <c r="A22" i="10"/>
  <c r="A23" i="10"/>
  <c r="A24" i="10"/>
  <c r="A25" i="10"/>
  <c r="A26" i="10"/>
  <c r="A27" i="10"/>
  <c r="A28" i="10"/>
  <c r="A29" i="10"/>
  <c r="A30" i="10"/>
  <c r="A31" i="10"/>
  <c r="A32" i="10"/>
  <c r="A33" i="10"/>
  <c r="A34" i="10"/>
  <c r="A35" i="10"/>
  <c r="A36" i="10"/>
  <c r="A37" i="10"/>
  <c r="A38" i="10"/>
  <c r="A39" i="10"/>
  <c r="A40" i="10"/>
  <c r="A41" i="10"/>
  <c r="A42" i="10"/>
  <c r="A43" i="10"/>
  <c r="A44" i="10"/>
  <c r="A45" i="10"/>
  <c r="A46" i="10"/>
  <c r="A47" i="10"/>
  <c r="A48" i="10"/>
  <c r="A49" i="10"/>
  <c r="A50" i="10"/>
  <c r="A51" i="10"/>
  <c r="A52" i="10"/>
  <c r="A53" i="10"/>
  <c r="A54" i="10"/>
  <c r="A55" i="10"/>
  <c r="A56" i="10"/>
  <c r="A57" i="10"/>
  <c r="A58" i="10"/>
  <c r="A59" i="10"/>
  <c r="A60" i="10"/>
  <c r="A61" i="10"/>
  <c r="A62" i="10"/>
  <c r="A63" i="10"/>
  <c r="A64" i="10"/>
  <c r="A65" i="10"/>
  <c r="A66" i="10"/>
  <c r="A67" i="10"/>
  <c r="A68" i="10"/>
  <c r="A69" i="10"/>
  <c r="A70" i="10"/>
  <c r="A71" i="10"/>
  <c r="A72" i="10"/>
  <c r="A73" i="10"/>
  <c r="A74" i="10"/>
  <c r="A75" i="10"/>
  <c r="A76" i="10"/>
  <c r="A77" i="10"/>
  <c r="A78" i="10"/>
  <c r="A79" i="10"/>
  <c r="A80" i="10"/>
  <c r="A81" i="10"/>
  <c r="A82" i="10"/>
  <c r="A83" i="10"/>
  <c r="A84" i="10"/>
  <c r="A85" i="10"/>
  <c r="A86" i="10"/>
  <c r="A87" i="10"/>
  <c r="A88" i="10"/>
  <c r="A89" i="10"/>
  <c r="A90" i="10"/>
  <c r="A91" i="10"/>
  <c r="A92" i="10"/>
  <c r="A93" i="10"/>
  <c r="A94" i="10"/>
  <c r="A95" i="10"/>
  <c r="A96" i="10"/>
  <c r="A97" i="10"/>
  <c r="A98" i="10"/>
  <c r="A99" i="10"/>
  <c r="A100" i="10"/>
  <c r="A101" i="10"/>
  <c r="A5" i="10"/>
  <c r="A6" i="10"/>
  <c r="A7" i="10"/>
  <c r="A8" i="10"/>
  <c r="A9" i="10"/>
  <c r="A10" i="10"/>
  <c r="A11" i="10"/>
  <c r="A4" i="10"/>
  <c r="A3" i="10"/>
  <c r="J26" i="1"/>
  <c r="J7" i="1"/>
  <c r="J9" i="1"/>
  <c r="J11" i="1"/>
  <c r="J12" i="1"/>
  <c r="J14" i="1"/>
  <c r="J15" i="1"/>
  <c r="J17" i="1"/>
  <c r="J18" i="1"/>
  <c r="J20" i="1"/>
  <c r="J21" i="1"/>
  <c r="J23" i="1"/>
  <c r="J24" i="1"/>
  <c r="J25" i="1"/>
  <c r="J5" i="1"/>
  <c r="AE5" i="1" a="1"/>
  <c r="AE6" i="1" a="1"/>
  <c r="AE7" i="1" a="1"/>
  <c r="AE8" i="1" a="1"/>
  <c r="AE9" i="1" a="1"/>
  <c r="AE10" i="1" a="1"/>
  <c r="AE11" i="1" a="1"/>
  <c r="AE12" i="1" a="1"/>
  <c r="AE13" i="1" a="1"/>
  <c r="AE14" i="1" a="1"/>
  <c r="AE15" i="1" a="1"/>
  <c r="AE16" i="1" a="1"/>
  <c r="AE17" i="1" a="1"/>
  <c r="AE18" i="1" a="1"/>
  <c r="AE19" i="1" a="1"/>
  <c r="AE20" i="1" a="1"/>
  <c r="AE21" i="1" a="1"/>
  <c r="AE22" i="1" a="1"/>
  <c r="AE23" i="1" a="1"/>
  <c r="AE24" i="1" a="1"/>
  <c r="AE25" i="1" a="1"/>
  <c r="AE26" i="1" a="1"/>
  <c r="AE27" i="1" a="1"/>
  <c r="AE28" i="1" a="1"/>
  <c r="AE29" i="1" a="1"/>
  <c r="AE30" i="1" a="1"/>
  <c r="AE31" i="1" a="1"/>
  <c r="AE32" i="1" a="1"/>
  <c r="AE33" i="1" a="1"/>
  <c r="AE34" i="1" a="1"/>
  <c r="AE35" i="1" a="1"/>
  <c r="AE36" i="1" a="1"/>
  <c r="AE37" i="1" a="1"/>
  <c r="AE38" i="1" a="1"/>
  <c r="AE39" i="1" a="1"/>
  <c r="AE40" i="1" a="1"/>
  <c r="AE41" i="1" a="1"/>
  <c r="AE42" i="1" a="1"/>
  <c r="AE43" i="1" a="1"/>
  <c r="AE44" i="1" a="1"/>
  <c r="AE45" i="1" a="1"/>
  <c r="AE46" i="1" a="1"/>
  <c r="AE47" i="1" a="1"/>
  <c r="AE48" i="1" a="1"/>
  <c r="AE49" i="1" a="1"/>
  <c r="AE50" i="1" a="1"/>
  <c r="AE51" i="1" a="1"/>
  <c r="AE52" i="1" a="1"/>
  <c r="AE53" i="1" a="1"/>
  <c r="AE54" i="1" a="1"/>
  <c r="AE55" i="1" a="1"/>
  <c r="AE56" i="1" a="1"/>
  <c r="AE57" i="1" a="1"/>
  <c r="AE58" i="1" a="1"/>
  <c r="AE59" i="1" a="1"/>
  <c r="AE60" i="1" a="1"/>
  <c r="AE61" i="1" a="1"/>
  <c r="AE62" i="1" a="1"/>
  <c r="AE63" i="1" a="1"/>
  <c r="AE64" i="1" a="1"/>
  <c r="AE65" i="1" a="1"/>
  <c r="AE66" i="1" a="1"/>
  <c r="AE67" i="1" a="1"/>
  <c r="AE68" i="1" a="1"/>
  <c r="AE69" i="1" a="1"/>
  <c r="AE70" i="1" a="1"/>
  <c r="AE71" i="1" a="1"/>
  <c r="AE72" i="1" a="1"/>
  <c r="AE73" i="1" a="1"/>
  <c r="AE74" i="1" a="1"/>
  <c r="AE75" i="1" a="1"/>
  <c r="AE76" i="1" a="1"/>
  <c r="AE77" i="1" a="1"/>
  <c r="AE78" i="1" a="1"/>
  <c r="AE79" i="1" a="1"/>
  <c r="AE80" i="1" a="1"/>
  <c r="AE81" i="1" a="1"/>
  <c r="AE82" i="1" a="1"/>
  <c r="AE83" i="1" a="1"/>
  <c r="AE84" i="1" a="1"/>
  <c r="AE85" i="1" a="1"/>
  <c r="AE86" i="1" a="1"/>
  <c r="AE87" i="1" a="1"/>
  <c r="AE88" i="1" a="1"/>
  <c r="AE89" i="1" a="1"/>
  <c r="AE90" i="1" a="1"/>
  <c r="AE91" i="1" a="1"/>
  <c r="AE92" i="1" a="1"/>
  <c r="AE93" i="1" a="1"/>
  <c r="AE94" i="1" a="1"/>
  <c r="AE95" i="1" a="1"/>
  <c r="AE96" i="1" a="1"/>
  <c r="AE97" i="1" a="1"/>
  <c r="AE98" i="1" a="1"/>
  <c r="AE99" i="1" a="1"/>
  <c r="AE100" i="1" a="1"/>
  <c r="AE101" i="1" a="1"/>
  <c r="AE102" i="1" a="1"/>
  <c r="AE103" i="1" a="1"/>
  <c r="AE104" i="1" a="1"/>
  <c r="AE105" i="1" a="1"/>
  <c r="AE106" i="1" a="1"/>
  <c r="AE107" i="1" a="1"/>
  <c r="AE108" i="1" a="1"/>
  <c r="AE109" i="1" a="1"/>
  <c r="AE110" i="1" a="1"/>
  <c r="AE4" i="1" a="1"/>
  <c r="J4" i="1"/>
  <c r="K4" i="7"/>
  <c r="B102" i="9"/>
  <c r="B101" i="9"/>
  <c r="B100" i="9"/>
  <c r="B99" i="9"/>
  <c r="B98" i="9"/>
  <c r="B97" i="9"/>
  <c r="B96" i="9"/>
  <c r="B95" i="9"/>
  <c r="B94" i="9"/>
  <c r="B93" i="9"/>
  <c r="B92" i="9"/>
  <c r="B91" i="9"/>
  <c r="B90" i="9"/>
  <c r="B89" i="9"/>
  <c r="B88" i="9"/>
  <c r="B87" i="9"/>
  <c r="B86" i="9"/>
  <c r="B85" i="9"/>
  <c r="B84" i="9"/>
  <c r="B83" i="9"/>
  <c r="B82" i="9"/>
  <c r="B81" i="9"/>
  <c r="B80" i="9"/>
  <c r="B79" i="9"/>
  <c r="B78" i="9"/>
  <c r="B77" i="9"/>
  <c r="B76" i="9"/>
  <c r="B75" i="9"/>
  <c r="B74" i="9"/>
  <c r="B73" i="9"/>
  <c r="B72" i="9"/>
  <c r="B71" i="9"/>
  <c r="B70" i="9"/>
  <c r="B69" i="9"/>
  <c r="B68" i="9"/>
  <c r="B67" i="9"/>
  <c r="B66" i="9"/>
  <c r="B65" i="9"/>
  <c r="B64" i="9"/>
  <c r="B63" i="9"/>
  <c r="B62" i="9"/>
  <c r="B61" i="9"/>
  <c r="B60" i="9"/>
  <c r="B59" i="9"/>
  <c r="B58" i="9"/>
  <c r="B57" i="9"/>
  <c r="B56" i="9"/>
  <c r="B55" i="9"/>
  <c r="B54" i="9"/>
  <c r="B53" i="9"/>
  <c r="B52" i="9"/>
  <c r="B51" i="9"/>
  <c r="B50" i="9"/>
  <c r="B49" i="9"/>
  <c r="B48" i="9"/>
  <c r="B47" i="9"/>
  <c r="B46" i="9"/>
  <c r="B45" i="9"/>
  <c r="B44" i="9"/>
  <c r="B43" i="9"/>
  <c r="B42" i="9"/>
  <c r="B41" i="9"/>
  <c r="B40" i="9"/>
  <c r="B39" i="9"/>
  <c r="B38" i="9"/>
  <c r="B37" i="9"/>
  <c r="B36" i="9"/>
  <c r="B35" i="9"/>
  <c r="B34" i="9"/>
  <c r="B33" i="9"/>
  <c r="B32" i="9"/>
  <c r="B31" i="9"/>
  <c r="B30" i="9"/>
  <c r="B29" i="9"/>
  <c r="B28" i="9"/>
  <c r="B27" i="9"/>
  <c r="B26" i="9"/>
  <c r="B25" i="9"/>
  <c r="B24" i="9"/>
  <c r="B23" i="9"/>
  <c r="B22" i="9"/>
  <c r="B21" i="9"/>
  <c r="B20" i="9"/>
  <c r="B19" i="9"/>
  <c r="B18" i="9"/>
  <c r="B17" i="9"/>
  <c r="B16" i="9"/>
  <c r="B15" i="9"/>
  <c r="B14" i="9"/>
  <c r="B13" i="9"/>
  <c r="B12" i="9"/>
  <c r="B11" i="9"/>
  <c r="B10" i="9"/>
  <c r="B9" i="9"/>
  <c r="B8" i="9"/>
  <c r="B7" i="9"/>
  <c r="B6" i="9"/>
  <c r="B5" i="9"/>
  <c r="B4" i="9"/>
  <c r="Z4" i="1"/>
  <c r="K5" i="1"/>
  <c r="K6" i="1"/>
  <c r="K8" i="1"/>
  <c r="K9" i="1"/>
  <c r="K10" i="1"/>
  <c r="K12" i="1"/>
  <c r="K13" i="1"/>
  <c r="K14" i="1"/>
  <c r="K15" i="1"/>
  <c r="K16" i="1"/>
  <c r="K18" i="1"/>
  <c r="K19" i="1"/>
  <c r="K20" i="1"/>
  <c r="K21" i="1"/>
  <c r="K22" i="1"/>
  <c r="K27" i="1"/>
  <c r="K28" i="1"/>
  <c r="K4" i="1"/>
  <c r="D5" i="5"/>
  <c r="D7" i="5"/>
  <c r="D9" i="5"/>
  <c r="D4" i="5"/>
  <c r="M102" i="6"/>
  <c r="L102" i="6"/>
  <c r="K102" i="6"/>
  <c r="J102" i="6"/>
  <c r="I102" i="6"/>
  <c r="H102" i="6"/>
  <c r="G102" i="6"/>
  <c r="F102" i="6"/>
  <c r="E102" i="6"/>
  <c r="D102" i="6"/>
  <c r="C102" i="6"/>
  <c r="B102" i="6"/>
  <c r="M101" i="6"/>
  <c r="L101" i="6"/>
  <c r="K101" i="6"/>
  <c r="J101" i="6"/>
  <c r="I101" i="6"/>
  <c r="H101" i="6"/>
  <c r="G101" i="6"/>
  <c r="F101" i="6"/>
  <c r="E101" i="6"/>
  <c r="D101" i="6"/>
  <c r="C101" i="6"/>
  <c r="B101" i="6"/>
  <c r="M100" i="6"/>
  <c r="L100" i="6"/>
  <c r="K100" i="6"/>
  <c r="J100" i="6"/>
  <c r="I100" i="6"/>
  <c r="H100" i="6"/>
  <c r="G100" i="6"/>
  <c r="F100" i="6"/>
  <c r="E100" i="6"/>
  <c r="D100" i="6"/>
  <c r="C100" i="6"/>
  <c r="B100" i="6"/>
  <c r="M99" i="6"/>
  <c r="L99" i="6"/>
  <c r="K99" i="6"/>
  <c r="J99" i="6"/>
  <c r="I99" i="6"/>
  <c r="H99" i="6"/>
  <c r="G99" i="6"/>
  <c r="F99" i="6"/>
  <c r="E99" i="6"/>
  <c r="D99" i="6"/>
  <c r="C99" i="6"/>
  <c r="B99" i="6"/>
  <c r="M98" i="6"/>
  <c r="L98" i="6"/>
  <c r="K98" i="6"/>
  <c r="J98" i="6"/>
  <c r="I98" i="6"/>
  <c r="H98" i="6"/>
  <c r="G98" i="6"/>
  <c r="F98" i="6"/>
  <c r="E98" i="6"/>
  <c r="D98" i="6"/>
  <c r="C98" i="6"/>
  <c r="B98" i="6"/>
  <c r="M97" i="6"/>
  <c r="L97" i="6"/>
  <c r="K97" i="6"/>
  <c r="J97" i="6"/>
  <c r="I97" i="6"/>
  <c r="H97" i="6"/>
  <c r="G97" i="6"/>
  <c r="F97" i="6"/>
  <c r="E97" i="6"/>
  <c r="D97" i="6"/>
  <c r="C97" i="6"/>
  <c r="B97" i="6"/>
  <c r="M96" i="6"/>
  <c r="L96" i="6"/>
  <c r="K96" i="6"/>
  <c r="J96" i="6"/>
  <c r="I96" i="6"/>
  <c r="H96" i="6"/>
  <c r="G96" i="6"/>
  <c r="F96" i="6"/>
  <c r="E96" i="6"/>
  <c r="D96" i="6"/>
  <c r="C96" i="6"/>
  <c r="B96" i="6"/>
  <c r="M95" i="6"/>
  <c r="L95" i="6"/>
  <c r="K95" i="6"/>
  <c r="J95" i="6"/>
  <c r="I95" i="6"/>
  <c r="H95" i="6"/>
  <c r="G95" i="6"/>
  <c r="F95" i="6"/>
  <c r="E95" i="6"/>
  <c r="D95" i="6"/>
  <c r="C95" i="6"/>
  <c r="B95" i="6"/>
  <c r="M94" i="6"/>
  <c r="L94" i="6"/>
  <c r="K94" i="6"/>
  <c r="J94" i="6"/>
  <c r="I94" i="6"/>
  <c r="H94" i="6"/>
  <c r="G94" i="6"/>
  <c r="F94" i="6"/>
  <c r="E94" i="6"/>
  <c r="D94" i="6"/>
  <c r="C94" i="6"/>
  <c r="B94" i="6"/>
  <c r="M93" i="6"/>
  <c r="L93" i="6"/>
  <c r="K93" i="6"/>
  <c r="J93" i="6"/>
  <c r="I93" i="6"/>
  <c r="H93" i="6"/>
  <c r="G93" i="6"/>
  <c r="F93" i="6"/>
  <c r="E93" i="6"/>
  <c r="D93" i="6"/>
  <c r="C93" i="6"/>
  <c r="B93" i="6"/>
  <c r="M92" i="6"/>
  <c r="L92" i="6"/>
  <c r="K92" i="6"/>
  <c r="J92" i="6"/>
  <c r="I92" i="6"/>
  <c r="H92" i="6"/>
  <c r="G92" i="6"/>
  <c r="F92" i="6"/>
  <c r="E92" i="6"/>
  <c r="D92" i="6"/>
  <c r="C92" i="6"/>
  <c r="B92" i="6"/>
  <c r="M91" i="6"/>
  <c r="L91" i="6"/>
  <c r="K91" i="6"/>
  <c r="J91" i="6"/>
  <c r="I91" i="6"/>
  <c r="H91" i="6"/>
  <c r="G91" i="6"/>
  <c r="F91" i="6"/>
  <c r="E91" i="6"/>
  <c r="D91" i="6"/>
  <c r="C91" i="6"/>
  <c r="B91" i="6"/>
  <c r="M90" i="6"/>
  <c r="L90" i="6"/>
  <c r="K90" i="6"/>
  <c r="J90" i="6"/>
  <c r="I90" i="6"/>
  <c r="H90" i="6"/>
  <c r="G90" i="6"/>
  <c r="F90" i="6"/>
  <c r="E90" i="6"/>
  <c r="D90" i="6"/>
  <c r="C90" i="6"/>
  <c r="B90" i="6"/>
  <c r="M89" i="6"/>
  <c r="L89" i="6"/>
  <c r="K89" i="6"/>
  <c r="J89" i="6"/>
  <c r="I89" i="6"/>
  <c r="H89" i="6"/>
  <c r="G89" i="6"/>
  <c r="F89" i="6"/>
  <c r="E89" i="6"/>
  <c r="D89" i="6"/>
  <c r="C89" i="6"/>
  <c r="B89" i="6"/>
  <c r="M88" i="6"/>
  <c r="L88" i="6"/>
  <c r="K88" i="6"/>
  <c r="J88" i="6"/>
  <c r="I88" i="6"/>
  <c r="H88" i="6"/>
  <c r="G88" i="6"/>
  <c r="F88" i="6"/>
  <c r="E88" i="6"/>
  <c r="D88" i="6"/>
  <c r="C88" i="6"/>
  <c r="B88" i="6"/>
  <c r="M87" i="6"/>
  <c r="L87" i="6"/>
  <c r="K87" i="6"/>
  <c r="J87" i="6"/>
  <c r="I87" i="6"/>
  <c r="H87" i="6"/>
  <c r="G87" i="6"/>
  <c r="F87" i="6"/>
  <c r="E87" i="6"/>
  <c r="D87" i="6"/>
  <c r="C87" i="6"/>
  <c r="B87" i="6"/>
  <c r="M86" i="6"/>
  <c r="L86" i="6"/>
  <c r="K86" i="6"/>
  <c r="J86" i="6"/>
  <c r="I86" i="6"/>
  <c r="H86" i="6"/>
  <c r="G86" i="6"/>
  <c r="F86" i="6"/>
  <c r="E86" i="6"/>
  <c r="D86" i="6"/>
  <c r="C86" i="6"/>
  <c r="B86" i="6"/>
  <c r="M85" i="6"/>
  <c r="L85" i="6"/>
  <c r="K85" i="6"/>
  <c r="J85" i="6"/>
  <c r="I85" i="6"/>
  <c r="H85" i="6"/>
  <c r="G85" i="6"/>
  <c r="F85" i="6"/>
  <c r="E85" i="6"/>
  <c r="D85" i="6"/>
  <c r="C85" i="6"/>
  <c r="B85" i="6"/>
  <c r="M84" i="6"/>
  <c r="L84" i="6"/>
  <c r="K84" i="6"/>
  <c r="J84" i="6"/>
  <c r="I84" i="6"/>
  <c r="H84" i="6"/>
  <c r="G84" i="6"/>
  <c r="F84" i="6"/>
  <c r="E84" i="6"/>
  <c r="D84" i="6"/>
  <c r="C84" i="6"/>
  <c r="B84" i="6"/>
  <c r="M83" i="6"/>
  <c r="L83" i="6"/>
  <c r="K83" i="6"/>
  <c r="J83" i="6"/>
  <c r="I83" i="6"/>
  <c r="H83" i="6"/>
  <c r="G83" i="6"/>
  <c r="F83" i="6"/>
  <c r="E83" i="6"/>
  <c r="D83" i="6"/>
  <c r="C83" i="6"/>
  <c r="B83" i="6"/>
  <c r="M82" i="6"/>
  <c r="L82" i="6"/>
  <c r="K82" i="6"/>
  <c r="J82" i="6"/>
  <c r="I82" i="6"/>
  <c r="H82" i="6"/>
  <c r="G82" i="6"/>
  <c r="F82" i="6"/>
  <c r="E82" i="6"/>
  <c r="D82" i="6"/>
  <c r="C82" i="6"/>
  <c r="B82" i="6"/>
  <c r="M81" i="6"/>
  <c r="L81" i="6"/>
  <c r="K81" i="6"/>
  <c r="J81" i="6"/>
  <c r="I81" i="6"/>
  <c r="H81" i="6"/>
  <c r="G81" i="6"/>
  <c r="F81" i="6"/>
  <c r="E81" i="6"/>
  <c r="D81" i="6"/>
  <c r="C81" i="6"/>
  <c r="B81" i="6"/>
  <c r="M80" i="6"/>
  <c r="L80" i="6"/>
  <c r="K80" i="6"/>
  <c r="J80" i="6"/>
  <c r="I80" i="6"/>
  <c r="H80" i="6"/>
  <c r="G80" i="6"/>
  <c r="F80" i="6"/>
  <c r="E80" i="6"/>
  <c r="D80" i="6"/>
  <c r="C80" i="6"/>
  <c r="B80" i="6"/>
  <c r="M79" i="6"/>
  <c r="L79" i="6"/>
  <c r="K79" i="6"/>
  <c r="J79" i="6"/>
  <c r="I79" i="6"/>
  <c r="H79" i="6"/>
  <c r="G79" i="6"/>
  <c r="F79" i="6"/>
  <c r="E79" i="6"/>
  <c r="D79" i="6"/>
  <c r="C79" i="6"/>
  <c r="B79" i="6"/>
  <c r="M78" i="6"/>
  <c r="L78" i="6"/>
  <c r="K78" i="6"/>
  <c r="J78" i="6"/>
  <c r="I78" i="6"/>
  <c r="H78" i="6"/>
  <c r="G78" i="6"/>
  <c r="F78" i="6"/>
  <c r="E78" i="6"/>
  <c r="D78" i="6"/>
  <c r="C78" i="6"/>
  <c r="B78" i="6"/>
  <c r="M77" i="6"/>
  <c r="L77" i="6"/>
  <c r="K77" i="6"/>
  <c r="J77" i="6"/>
  <c r="I77" i="6"/>
  <c r="H77" i="6"/>
  <c r="G77" i="6"/>
  <c r="F77" i="6"/>
  <c r="E77" i="6"/>
  <c r="D77" i="6"/>
  <c r="C77" i="6"/>
  <c r="B77" i="6"/>
  <c r="M76" i="6"/>
  <c r="L76" i="6"/>
  <c r="K76" i="6"/>
  <c r="J76" i="6"/>
  <c r="I76" i="6"/>
  <c r="H76" i="6"/>
  <c r="G76" i="6"/>
  <c r="F76" i="6"/>
  <c r="E76" i="6"/>
  <c r="D76" i="6"/>
  <c r="C76" i="6"/>
  <c r="B76" i="6"/>
  <c r="M75" i="6"/>
  <c r="L75" i="6"/>
  <c r="K75" i="6"/>
  <c r="J75" i="6"/>
  <c r="I75" i="6"/>
  <c r="H75" i="6"/>
  <c r="G75" i="6"/>
  <c r="F75" i="6"/>
  <c r="E75" i="6"/>
  <c r="D75" i="6"/>
  <c r="C75" i="6"/>
  <c r="B75" i="6"/>
  <c r="M74" i="6"/>
  <c r="L74" i="6"/>
  <c r="K74" i="6"/>
  <c r="J74" i="6"/>
  <c r="I74" i="6"/>
  <c r="H74" i="6"/>
  <c r="G74" i="6"/>
  <c r="F74" i="6"/>
  <c r="E74" i="6"/>
  <c r="D74" i="6"/>
  <c r="C74" i="6"/>
  <c r="B74" i="6"/>
  <c r="M73" i="6"/>
  <c r="L73" i="6"/>
  <c r="K73" i="6"/>
  <c r="J73" i="6"/>
  <c r="I73" i="6"/>
  <c r="H73" i="6"/>
  <c r="G73" i="6"/>
  <c r="F73" i="6"/>
  <c r="E73" i="6"/>
  <c r="D73" i="6"/>
  <c r="C73" i="6"/>
  <c r="B73" i="6"/>
  <c r="M72" i="6"/>
  <c r="L72" i="6"/>
  <c r="K72" i="6"/>
  <c r="J72" i="6"/>
  <c r="I72" i="6"/>
  <c r="H72" i="6"/>
  <c r="G72" i="6"/>
  <c r="F72" i="6"/>
  <c r="E72" i="6"/>
  <c r="D72" i="6"/>
  <c r="C72" i="6"/>
  <c r="B72" i="6"/>
  <c r="M71" i="6"/>
  <c r="L71" i="6"/>
  <c r="K71" i="6"/>
  <c r="J71" i="6"/>
  <c r="I71" i="6"/>
  <c r="H71" i="6"/>
  <c r="G71" i="6"/>
  <c r="F71" i="6"/>
  <c r="E71" i="6"/>
  <c r="D71" i="6"/>
  <c r="C71" i="6"/>
  <c r="B71" i="6"/>
  <c r="M70" i="6"/>
  <c r="L70" i="6"/>
  <c r="K70" i="6"/>
  <c r="J70" i="6"/>
  <c r="I70" i="6"/>
  <c r="H70" i="6"/>
  <c r="G70" i="6"/>
  <c r="F70" i="6"/>
  <c r="E70" i="6"/>
  <c r="D70" i="6"/>
  <c r="C70" i="6"/>
  <c r="B70" i="6"/>
  <c r="M69" i="6"/>
  <c r="L69" i="6"/>
  <c r="K69" i="6"/>
  <c r="J69" i="6"/>
  <c r="I69" i="6"/>
  <c r="H69" i="6"/>
  <c r="G69" i="6"/>
  <c r="F69" i="6"/>
  <c r="E69" i="6"/>
  <c r="D69" i="6"/>
  <c r="C69" i="6"/>
  <c r="B69" i="6"/>
  <c r="M68" i="6"/>
  <c r="L68" i="6"/>
  <c r="K68" i="6"/>
  <c r="J68" i="6"/>
  <c r="I68" i="6"/>
  <c r="H68" i="6"/>
  <c r="G68" i="6"/>
  <c r="F68" i="6"/>
  <c r="E68" i="6"/>
  <c r="D68" i="6"/>
  <c r="C68" i="6"/>
  <c r="B68" i="6"/>
  <c r="M67" i="6"/>
  <c r="L67" i="6"/>
  <c r="K67" i="6"/>
  <c r="J67" i="6"/>
  <c r="I67" i="6"/>
  <c r="H67" i="6"/>
  <c r="G67" i="6"/>
  <c r="F67" i="6"/>
  <c r="E67" i="6"/>
  <c r="D67" i="6"/>
  <c r="C67" i="6"/>
  <c r="B67" i="6"/>
  <c r="M66" i="6"/>
  <c r="L66" i="6"/>
  <c r="K66" i="6"/>
  <c r="J66" i="6"/>
  <c r="I66" i="6"/>
  <c r="H66" i="6"/>
  <c r="G66" i="6"/>
  <c r="F66" i="6"/>
  <c r="E66" i="6"/>
  <c r="D66" i="6"/>
  <c r="C66" i="6"/>
  <c r="B66" i="6"/>
  <c r="M65" i="6"/>
  <c r="L65" i="6"/>
  <c r="K65" i="6"/>
  <c r="J65" i="6"/>
  <c r="I65" i="6"/>
  <c r="H65" i="6"/>
  <c r="G65" i="6"/>
  <c r="F65" i="6"/>
  <c r="E65" i="6"/>
  <c r="D65" i="6"/>
  <c r="C65" i="6"/>
  <c r="B65" i="6"/>
  <c r="M64" i="6"/>
  <c r="L64" i="6"/>
  <c r="K64" i="6"/>
  <c r="J64" i="6"/>
  <c r="I64" i="6"/>
  <c r="H64" i="6"/>
  <c r="G64" i="6"/>
  <c r="F64" i="6"/>
  <c r="E64" i="6"/>
  <c r="D64" i="6"/>
  <c r="C64" i="6"/>
  <c r="B64" i="6"/>
  <c r="M63" i="6"/>
  <c r="L63" i="6"/>
  <c r="K63" i="6"/>
  <c r="J63" i="6"/>
  <c r="I63" i="6"/>
  <c r="H63" i="6"/>
  <c r="G63" i="6"/>
  <c r="F63" i="6"/>
  <c r="E63" i="6"/>
  <c r="D63" i="6"/>
  <c r="C63" i="6"/>
  <c r="B63" i="6"/>
  <c r="M62" i="6"/>
  <c r="L62" i="6"/>
  <c r="K62" i="6"/>
  <c r="J62" i="6"/>
  <c r="I62" i="6"/>
  <c r="H62" i="6"/>
  <c r="G62" i="6"/>
  <c r="F62" i="6"/>
  <c r="E62" i="6"/>
  <c r="D62" i="6"/>
  <c r="C62" i="6"/>
  <c r="B62" i="6"/>
  <c r="M61" i="6"/>
  <c r="L61" i="6"/>
  <c r="K61" i="6"/>
  <c r="J61" i="6"/>
  <c r="I61" i="6"/>
  <c r="H61" i="6"/>
  <c r="G61" i="6"/>
  <c r="F61" i="6"/>
  <c r="E61" i="6"/>
  <c r="D61" i="6"/>
  <c r="C61" i="6"/>
  <c r="B61" i="6"/>
  <c r="M60" i="6"/>
  <c r="L60" i="6"/>
  <c r="K60" i="6"/>
  <c r="J60" i="6"/>
  <c r="I60" i="6"/>
  <c r="H60" i="6"/>
  <c r="G60" i="6"/>
  <c r="F60" i="6"/>
  <c r="E60" i="6"/>
  <c r="D60" i="6"/>
  <c r="C60" i="6"/>
  <c r="B60" i="6"/>
  <c r="M59" i="6"/>
  <c r="L59" i="6"/>
  <c r="K59" i="6"/>
  <c r="J59" i="6"/>
  <c r="I59" i="6"/>
  <c r="H59" i="6"/>
  <c r="G59" i="6"/>
  <c r="F59" i="6"/>
  <c r="E59" i="6"/>
  <c r="D59" i="6"/>
  <c r="C59" i="6"/>
  <c r="B59" i="6"/>
  <c r="M58" i="6"/>
  <c r="L58" i="6"/>
  <c r="K58" i="6"/>
  <c r="J58" i="6"/>
  <c r="I58" i="6"/>
  <c r="H58" i="6"/>
  <c r="G58" i="6"/>
  <c r="F58" i="6"/>
  <c r="E58" i="6"/>
  <c r="D58" i="6"/>
  <c r="C58" i="6"/>
  <c r="B58" i="6"/>
  <c r="M57" i="6"/>
  <c r="L57" i="6"/>
  <c r="K57" i="6"/>
  <c r="J57" i="6"/>
  <c r="I57" i="6"/>
  <c r="H57" i="6"/>
  <c r="G57" i="6"/>
  <c r="F57" i="6"/>
  <c r="E57" i="6"/>
  <c r="D57" i="6"/>
  <c r="C57" i="6"/>
  <c r="B57" i="6"/>
  <c r="M56" i="6"/>
  <c r="L56" i="6"/>
  <c r="K56" i="6"/>
  <c r="J56" i="6"/>
  <c r="I56" i="6"/>
  <c r="H56" i="6"/>
  <c r="G56" i="6"/>
  <c r="F56" i="6"/>
  <c r="E56" i="6"/>
  <c r="D56" i="6"/>
  <c r="C56" i="6"/>
  <c r="B56" i="6"/>
  <c r="M55" i="6"/>
  <c r="L55" i="6"/>
  <c r="K55" i="6"/>
  <c r="J55" i="6"/>
  <c r="I55" i="6"/>
  <c r="H55" i="6"/>
  <c r="G55" i="6"/>
  <c r="F55" i="6"/>
  <c r="E55" i="6"/>
  <c r="D55" i="6"/>
  <c r="C55" i="6"/>
  <c r="B55" i="6"/>
  <c r="M54" i="6"/>
  <c r="L54" i="6"/>
  <c r="K54" i="6"/>
  <c r="J54" i="6"/>
  <c r="I54" i="6"/>
  <c r="H54" i="6"/>
  <c r="G54" i="6"/>
  <c r="F54" i="6"/>
  <c r="E54" i="6"/>
  <c r="D54" i="6"/>
  <c r="C54" i="6"/>
  <c r="B54" i="6"/>
  <c r="M53" i="6"/>
  <c r="L53" i="6"/>
  <c r="K53" i="6"/>
  <c r="J53" i="6"/>
  <c r="I53" i="6"/>
  <c r="H53" i="6"/>
  <c r="G53" i="6"/>
  <c r="F53" i="6"/>
  <c r="E53" i="6"/>
  <c r="D53" i="6"/>
  <c r="C53" i="6"/>
  <c r="B53" i="6"/>
  <c r="M52" i="6"/>
  <c r="L52" i="6"/>
  <c r="K52" i="6"/>
  <c r="J52" i="6"/>
  <c r="I52" i="6"/>
  <c r="H52" i="6"/>
  <c r="G52" i="6"/>
  <c r="F52" i="6"/>
  <c r="E52" i="6"/>
  <c r="D52" i="6"/>
  <c r="C52" i="6"/>
  <c r="B52" i="6"/>
  <c r="M51" i="6"/>
  <c r="L51" i="6"/>
  <c r="K51" i="6"/>
  <c r="J51" i="6"/>
  <c r="I51" i="6"/>
  <c r="H51" i="6"/>
  <c r="G51" i="6"/>
  <c r="F51" i="6"/>
  <c r="E51" i="6"/>
  <c r="D51" i="6"/>
  <c r="C51" i="6"/>
  <c r="B51" i="6"/>
  <c r="M50" i="6"/>
  <c r="L50" i="6"/>
  <c r="K50" i="6"/>
  <c r="J50" i="6"/>
  <c r="I50" i="6"/>
  <c r="H50" i="6"/>
  <c r="G50" i="6"/>
  <c r="F50" i="6"/>
  <c r="E50" i="6"/>
  <c r="D50" i="6"/>
  <c r="C50" i="6"/>
  <c r="B50" i="6"/>
  <c r="M49" i="6"/>
  <c r="L49" i="6"/>
  <c r="K49" i="6"/>
  <c r="J49" i="6"/>
  <c r="I49" i="6"/>
  <c r="H49" i="6"/>
  <c r="G49" i="6"/>
  <c r="F49" i="6"/>
  <c r="E49" i="6"/>
  <c r="D49" i="6"/>
  <c r="C49" i="6"/>
  <c r="B49" i="6"/>
  <c r="M48" i="6"/>
  <c r="L48" i="6"/>
  <c r="K48" i="6"/>
  <c r="J48" i="6"/>
  <c r="I48" i="6"/>
  <c r="H48" i="6"/>
  <c r="G48" i="6"/>
  <c r="F48" i="6"/>
  <c r="E48" i="6"/>
  <c r="D48" i="6"/>
  <c r="C48" i="6"/>
  <c r="B48" i="6"/>
  <c r="M47" i="6"/>
  <c r="L47" i="6"/>
  <c r="K47" i="6"/>
  <c r="J47" i="6"/>
  <c r="I47" i="6"/>
  <c r="H47" i="6"/>
  <c r="G47" i="6"/>
  <c r="F47" i="6"/>
  <c r="E47" i="6"/>
  <c r="D47" i="6"/>
  <c r="C47" i="6"/>
  <c r="B47" i="6"/>
  <c r="M46" i="6"/>
  <c r="L46" i="6"/>
  <c r="K46" i="6"/>
  <c r="J46" i="6"/>
  <c r="I46" i="6"/>
  <c r="H46" i="6"/>
  <c r="G46" i="6"/>
  <c r="F46" i="6"/>
  <c r="E46" i="6"/>
  <c r="D46" i="6"/>
  <c r="C46" i="6"/>
  <c r="B46" i="6"/>
  <c r="M45" i="6"/>
  <c r="L45" i="6"/>
  <c r="K45" i="6"/>
  <c r="J45" i="6"/>
  <c r="I45" i="6"/>
  <c r="H45" i="6"/>
  <c r="G45" i="6"/>
  <c r="F45" i="6"/>
  <c r="E45" i="6"/>
  <c r="D45" i="6"/>
  <c r="C45" i="6"/>
  <c r="B45" i="6"/>
  <c r="M44" i="6"/>
  <c r="L44" i="6"/>
  <c r="K44" i="6"/>
  <c r="J44" i="6"/>
  <c r="I44" i="6"/>
  <c r="H44" i="6"/>
  <c r="G44" i="6"/>
  <c r="F44" i="6"/>
  <c r="E44" i="6"/>
  <c r="D44" i="6"/>
  <c r="C44" i="6"/>
  <c r="B44" i="6"/>
  <c r="M43" i="6"/>
  <c r="L43" i="6"/>
  <c r="K43" i="6"/>
  <c r="J43" i="6"/>
  <c r="I43" i="6"/>
  <c r="H43" i="6"/>
  <c r="G43" i="6"/>
  <c r="F43" i="6"/>
  <c r="E43" i="6"/>
  <c r="D43" i="6"/>
  <c r="C43" i="6"/>
  <c r="B43" i="6"/>
  <c r="M42" i="6"/>
  <c r="L42" i="6"/>
  <c r="K42" i="6"/>
  <c r="J42" i="6"/>
  <c r="I42" i="6"/>
  <c r="H42" i="6"/>
  <c r="G42" i="6"/>
  <c r="F42" i="6"/>
  <c r="E42" i="6"/>
  <c r="D42" i="6"/>
  <c r="C42" i="6"/>
  <c r="B42" i="6"/>
  <c r="M41" i="6"/>
  <c r="L41" i="6"/>
  <c r="K41" i="6"/>
  <c r="J41" i="6"/>
  <c r="I41" i="6"/>
  <c r="H41" i="6"/>
  <c r="G41" i="6"/>
  <c r="F41" i="6"/>
  <c r="E41" i="6"/>
  <c r="D41" i="6"/>
  <c r="C41" i="6"/>
  <c r="B41" i="6"/>
  <c r="M40" i="6"/>
  <c r="L40" i="6"/>
  <c r="K40" i="6"/>
  <c r="J40" i="6"/>
  <c r="I40" i="6"/>
  <c r="H40" i="6"/>
  <c r="G40" i="6"/>
  <c r="F40" i="6"/>
  <c r="E40" i="6"/>
  <c r="D40" i="6"/>
  <c r="C40" i="6"/>
  <c r="B40" i="6"/>
  <c r="M39" i="6"/>
  <c r="L39" i="6"/>
  <c r="K39" i="6"/>
  <c r="J39" i="6"/>
  <c r="I39" i="6"/>
  <c r="H39" i="6"/>
  <c r="G39" i="6"/>
  <c r="F39" i="6"/>
  <c r="E39" i="6"/>
  <c r="D39" i="6"/>
  <c r="C39" i="6"/>
  <c r="B39" i="6"/>
  <c r="M38" i="6"/>
  <c r="L38" i="6"/>
  <c r="K38" i="6"/>
  <c r="J38" i="6"/>
  <c r="I38" i="6"/>
  <c r="H38" i="6"/>
  <c r="G38" i="6"/>
  <c r="F38" i="6"/>
  <c r="E38" i="6"/>
  <c r="D38" i="6"/>
  <c r="C38" i="6"/>
  <c r="B38" i="6"/>
  <c r="M37" i="6"/>
  <c r="L37" i="6"/>
  <c r="K37" i="6"/>
  <c r="J37" i="6"/>
  <c r="I37" i="6"/>
  <c r="H37" i="6"/>
  <c r="G37" i="6"/>
  <c r="F37" i="6"/>
  <c r="E37" i="6"/>
  <c r="D37" i="6"/>
  <c r="C37" i="6"/>
  <c r="B37" i="6"/>
  <c r="M36" i="6"/>
  <c r="L36" i="6"/>
  <c r="K36" i="6"/>
  <c r="J36" i="6"/>
  <c r="I36" i="6"/>
  <c r="H36" i="6"/>
  <c r="G36" i="6"/>
  <c r="F36" i="6"/>
  <c r="E36" i="6"/>
  <c r="D36" i="6"/>
  <c r="C36" i="6"/>
  <c r="B36" i="6"/>
  <c r="M35" i="6"/>
  <c r="L35" i="6"/>
  <c r="K35" i="6"/>
  <c r="J35" i="6"/>
  <c r="I35" i="6"/>
  <c r="H35" i="6"/>
  <c r="G35" i="6"/>
  <c r="F35" i="6"/>
  <c r="E35" i="6"/>
  <c r="D35" i="6"/>
  <c r="C35" i="6"/>
  <c r="B35" i="6"/>
  <c r="M34" i="6"/>
  <c r="L34" i="6"/>
  <c r="K34" i="6"/>
  <c r="J34" i="6"/>
  <c r="I34" i="6"/>
  <c r="H34" i="6"/>
  <c r="G34" i="6"/>
  <c r="F34" i="6"/>
  <c r="E34" i="6"/>
  <c r="D34" i="6"/>
  <c r="C34" i="6"/>
  <c r="B34" i="6"/>
  <c r="M33" i="6"/>
  <c r="L33" i="6"/>
  <c r="K33" i="6"/>
  <c r="J33" i="6"/>
  <c r="I33" i="6"/>
  <c r="H33" i="6"/>
  <c r="G33" i="6"/>
  <c r="F33" i="6"/>
  <c r="E33" i="6"/>
  <c r="D33" i="6"/>
  <c r="C33" i="6"/>
  <c r="B33" i="6"/>
  <c r="M32" i="6"/>
  <c r="L32" i="6"/>
  <c r="K32" i="6"/>
  <c r="J32" i="6"/>
  <c r="I32" i="6"/>
  <c r="H32" i="6"/>
  <c r="G32" i="6"/>
  <c r="F32" i="6"/>
  <c r="E32" i="6"/>
  <c r="D32" i="6"/>
  <c r="C32" i="6"/>
  <c r="B32" i="6"/>
  <c r="M31" i="6"/>
  <c r="L31" i="6"/>
  <c r="K31" i="6"/>
  <c r="J31" i="6"/>
  <c r="I31" i="6"/>
  <c r="H31" i="6"/>
  <c r="G31" i="6"/>
  <c r="F31" i="6"/>
  <c r="E31" i="6"/>
  <c r="D31" i="6"/>
  <c r="C31" i="6"/>
  <c r="B31" i="6"/>
  <c r="M30" i="6"/>
  <c r="L30" i="6"/>
  <c r="K30" i="6"/>
  <c r="J30" i="6"/>
  <c r="I30" i="6"/>
  <c r="H30" i="6"/>
  <c r="G30" i="6"/>
  <c r="F30" i="6"/>
  <c r="E30" i="6"/>
  <c r="D30" i="6"/>
  <c r="C30" i="6"/>
  <c r="B30" i="6"/>
  <c r="M29" i="6"/>
  <c r="L29" i="6"/>
  <c r="K29" i="6"/>
  <c r="J29" i="6"/>
  <c r="I29" i="6"/>
  <c r="H29" i="6"/>
  <c r="G29" i="6"/>
  <c r="F29" i="6"/>
  <c r="E29" i="6"/>
  <c r="D29" i="6"/>
  <c r="C29" i="6"/>
  <c r="B29" i="6"/>
  <c r="M28" i="6"/>
  <c r="L28" i="6"/>
  <c r="K28" i="6"/>
  <c r="J28" i="6"/>
  <c r="I28" i="6"/>
  <c r="H28" i="6"/>
  <c r="G28" i="6"/>
  <c r="F28" i="6"/>
  <c r="E28" i="6"/>
  <c r="D28" i="6"/>
  <c r="C28" i="6"/>
  <c r="B28" i="6"/>
  <c r="M27" i="6"/>
  <c r="L27" i="6"/>
  <c r="K27" i="6"/>
  <c r="J27" i="6"/>
  <c r="I27" i="6"/>
  <c r="H27" i="6"/>
  <c r="G27" i="6"/>
  <c r="F27" i="6"/>
  <c r="E27" i="6"/>
  <c r="D27" i="6"/>
  <c r="C27" i="6"/>
  <c r="B27" i="6"/>
  <c r="M26" i="6"/>
  <c r="L26" i="6"/>
  <c r="K26" i="6"/>
  <c r="J26" i="6"/>
  <c r="I26" i="6"/>
  <c r="H26" i="6"/>
  <c r="G26" i="6"/>
  <c r="F26" i="6"/>
  <c r="E26" i="6"/>
  <c r="D26" i="6"/>
  <c r="C26" i="6"/>
  <c r="B26" i="6"/>
  <c r="M25" i="6"/>
  <c r="L25" i="6"/>
  <c r="K25" i="6"/>
  <c r="J25" i="6"/>
  <c r="I25" i="6"/>
  <c r="H25" i="6"/>
  <c r="G25" i="6"/>
  <c r="F25" i="6"/>
  <c r="E25" i="6"/>
  <c r="D25" i="6"/>
  <c r="C25" i="6"/>
  <c r="B25" i="6"/>
  <c r="M24" i="6"/>
  <c r="L24" i="6"/>
  <c r="K24" i="6"/>
  <c r="J24" i="6"/>
  <c r="I24" i="6"/>
  <c r="H24" i="6"/>
  <c r="G24" i="6"/>
  <c r="F24" i="6"/>
  <c r="E24" i="6"/>
  <c r="D24" i="6"/>
  <c r="C24" i="6"/>
  <c r="B24" i="6"/>
  <c r="M23" i="6"/>
  <c r="L23" i="6"/>
  <c r="K23" i="6"/>
  <c r="J23" i="6"/>
  <c r="I23" i="6"/>
  <c r="H23" i="6"/>
  <c r="G23" i="6"/>
  <c r="F23" i="6"/>
  <c r="E23" i="6"/>
  <c r="D23" i="6"/>
  <c r="C23" i="6"/>
  <c r="B23" i="6"/>
  <c r="M22" i="6"/>
  <c r="L22" i="6"/>
  <c r="K22" i="6"/>
  <c r="J22" i="6"/>
  <c r="I22" i="6"/>
  <c r="H22" i="6"/>
  <c r="G22" i="6"/>
  <c r="F22" i="6"/>
  <c r="E22" i="6"/>
  <c r="D22" i="6"/>
  <c r="C22" i="6"/>
  <c r="B22" i="6"/>
  <c r="M21" i="6"/>
  <c r="L21" i="6"/>
  <c r="K21" i="6"/>
  <c r="J21" i="6"/>
  <c r="I21" i="6"/>
  <c r="H21" i="6"/>
  <c r="G21" i="6"/>
  <c r="F21" i="6"/>
  <c r="E21" i="6"/>
  <c r="D21" i="6"/>
  <c r="C21" i="6"/>
  <c r="B21" i="6"/>
  <c r="M20" i="6"/>
  <c r="L20" i="6"/>
  <c r="K20" i="6"/>
  <c r="J20" i="6"/>
  <c r="I20" i="6"/>
  <c r="H20" i="6"/>
  <c r="G20" i="6"/>
  <c r="F20" i="6"/>
  <c r="E20" i="6"/>
  <c r="D20" i="6"/>
  <c r="C20" i="6"/>
  <c r="B20" i="6"/>
  <c r="M19" i="6"/>
  <c r="L19" i="6"/>
  <c r="K19" i="6"/>
  <c r="J19" i="6"/>
  <c r="I19" i="6"/>
  <c r="H19" i="6"/>
  <c r="G19" i="6"/>
  <c r="F19" i="6"/>
  <c r="E19" i="6"/>
  <c r="D19" i="6"/>
  <c r="C19" i="6"/>
  <c r="B19" i="6"/>
  <c r="M18" i="6"/>
  <c r="L18" i="6"/>
  <c r="K18" i="6"/>
  <c r="J18" i="6"/>
  <c r="I18" i="6"/>
  <c r="H18" i="6"/>
  <c r="G18" i="6"/>
  <c r="F18" i="6"/>
  <c r="E18" i="6"/>
  <c r="D18" i="6"/>
  <c r="C18" i="6"/>
  <c r="B18" i="6"/>
  <c r="M17" i="6"/>
  <c r="L17" i="6"/>
  <c r="K17" i="6"/>
  <c r="J17" i="6"/>
  <c r="I17" i="6"/>
  <c r="H17" i="6"/>
  <c r="G17" i="6"/>
  <c r="F17" i="6"/>
  <c r="E17" i="6"/>
  <c r="D17" i="6"/>
  <c r="C17" i="6"/>
  <c r="B17" i="6"/>
  <c r="M16" i="6"/>
  <c r="L16" i="6"/>
  <c r="K16" i="6"/>
  <c r="J16" i="6"/>
  <c r="I16" i="6"/>
  <c r="H16" i="6"/>
  <c r="G16" i="6"/>
  <c r="F16" i="6"/>
  <c r="E16" i="6"/>
  <c r="D16" i="6"/>
  <c r="C16" i="6"/>
  <c r="B16" i="6"/>
  <c r="M15" i="6"/>
  <c r="L15" i="6"/>
  <c r="K15" i="6"/>
  <c r="J15" i="6"/>
  <c r="I15" i="6"/>
  <c r="H15" i="6"/>
  <c r="G15" i="6"/>
  <c r="F15" i="6"/>
  <c r="E15" i="6"/>
  <c r="D15" i="6"/>
  <c r="C15" i="6"/>
  <c r="B15" i="6"/>
  <c r="M14" i="6"/>
  <c r="L14" i="6"/>
  <c r="K14" i="6"/>
  <c r="J14" i="6"/>
  <c r="I14" i="6"/>
  <c r="H14" i="6"/>
  <c r="G14" i="6"/>
  <c r="F14" i="6"/>
  <c r="E14" i="6"/>
  <c r="D14" i="6"/>
  <c r="C14" i="6"/>
  <c r="B14" i="6"/>
  <c r="M13" i="6"/>
  <c r="L13" i="6"/>
  <c r="K13" i="6"/>
  <c r="J13" i="6"/>
  <c r="I13" i="6"/>
  <c r="H13" i="6"/>
  <c r="G13" i="6"/>
  <c r="F13" i="6"/>
  <c r="E13" i="6"/>
  <c r="D13" i="6"/>
  <c r="C13" i="6"/>
  <c r="B13" i="6"/>
  <c r="M12" i="6"/>
  <c r="L12" i="6"/>
  <c r="K12" i="6"/>
  <c r="J12" i="6"/>
  <c r="I12" i="6"/>
  <c r="H12" i="6"/>
  <c r="G12" i="6"/>
  <c r="F12" i="6"/>
  <c r="E12" i="6"/>
  <c r="D12" i="6"/>
  <c r="C12" i="6"/>
  <c r="B12" i="6"/>
  <c r="M11" i="6"/>
  <c r="L11" i="6"/>
  <c r="K11" i="6"/>
  <c r="J11" i="6"/>
  <c r="I11" i="6"/>
  <c r="H11" i="6"/>
  <c r="G11" i="6"/>
  <c r="F11" i="6"/>
  <c r="E11" i="6"/>
  <c r="D11" i="6"/>
  <c r="C11" i="6"/>
  <c r="B11" i="6"/>
  <c r="M10" i="6"/>
  <c r="L10" i="6"/>
  <c r="K10" i="6"/>
  <c r="J10" i="6"/>
  <c r="I10" i="6"/>
  <c r="H10" i="6"/>
  <c r="G10" i="6"/>
  <c r="F10" i="6"/>
  <c r="E10" i="6"/>
  <c r="D10" i="6"/>
  <c r="C10" i="6"/>
  <c r="B10" i="6"/>
  <c r="M9" i="6"/>
  <c r="L9" i="6"/>
  <c r="K9" i="6"/>
  <c r="J9" i="6"/>
  <c r="I9" i="6"/>
  <c r="H9" i="6"/>
  <c r="G9" i="6"/>
  <c r="F9" i="6"/>
  <c r="E9" i="6"/>
  <c r="D9" i="6"/>
  <c r="C9" i="6"/>
  <c r="B9" i="6"/>
  <c r="M8" i="6"/>
  <c r="L8" i="6"/>
  <c r="K8" i="6"/>
  <c r="J8" i="6"/>
  <c r="I8" i="6"/>
  <c r="H8" i="6"/>
  <c r="G8" i="6"/>
  <c r="F8" i="6"/>
  <c r="E8" i="6"/>
  <c r="D8" i="6"/>
  <c r="C8" i="6"/>
  <c r="B8" i="6"/>
  <c r="M7" i="6"/>
  <c r="L7" i="6"/>
  <c r="K7" i="6"/>
  <c r="J7" i="6"/>
  <c r="I7" i="6"/>
  <c r="H7" i="6"/>
  <c r="G7" i="6"/>
  <c r="F7" i="6"/>
  <c r="E7" i="6"/>
  <c r="D7" i="6"/>
  <c r="C7" i="6"/>
  <c r="B7" i="6"/>
  <c r="M6" i="6"/>
  <c r="L6" i="6"/>
  <c r="K6" i="6"/>
  <c r="J6" i="6"/>
  <c r="I6" i="6"/>
  <c r="H6" i="6"/>
  <c r="G6" i="6"/>
  <c r="F6" i="6"/>
  <c r="E6" i="6"/>
  <c r="D6" i="6"/>
  <c r="C6" i="6"/>
  <c r="B6" i="6"/>
  <c r="M5" i="6"/>
  <c r="L5" i="6"/>
  <c r="K5" i="6"/>
  <c r="J5" i="6"/>
  <c r="I5" i="6"/>
  <c r="H5" i="6"/>
  <c r="G5" i="6"/>
  <c r="F5" i="6"/>
  <c r="E5" i="6"/>
  <c r="D5" i="6"/>
  <c r="C5" i="6"/>
  <c r="B5" i="6"/>
  <c r="M4" i="6"/>
  <c r="L4" i="6"/>
  <c r="K4" i="6"/>
  <c r="J4" i="6"/>
  <c r="I4" i="6"/>
  <c r="H4" i="6"/>
  <c r="G4" i="6"/>
  <c r="F4" i="6"/>
  <c r="E4" i="6"/>
  <c r="D4" i="6"/>
  <c r="C4" i="6"/>
  <c r="B4" i="6"/>
  <c r="M3" i="6"/>
  <c r="L3" i="6"/>
  <c r="K3" i="6"/>
  <c r="J3" i="6"/>
  <c r="I3" i="6"/>
  <c r="H3" i="6"/>
  <c r="G3" i="6"/>
  <c r="F3" i="6"/>
  <c r="E3" i="6"/>
  <c r="D3" i="6"/>
  <c r="C3" i="6"/>
  <c r="B3" i="6"/>
  <c r="B5" i="5"/>
  <c r="B6" i="5"/>
  <c r="B7" i="5"/>
  <c r="B8" i="5"/>
  <c r="B9" i="5"/>
  <c r="B10" i="5"/>
  <c r="B11" i="5"/>
  <c r="B12" i="5"/>
  <c r="B13" i="5"/>
  <c r="B14" i="5"/>
  <c r="B15" i="5"/>
  <c r="B16" i="5"/>
  <c r="B17" i="5"/>
  <c r="B18" i="5"/>
  <c r="B19" i="5"/>
  <c r="B20" i="5"/>
  <c r="B21" i="5"/>
  <c r="B22" i="5"/>
  <c r="B23" i="5"/>
  <c r="B24" i="5"/>
  <c r="B25" i="5"/>
  <c r="B26" i="5"/>
  <c r="B27" i="5"/>
  <c r="B28" i="5"/>
  <c r="B29" i="5"/>
  <c r="B30" i="5"/>
  <c r="B31" i="5"/>
  <c r="B32" i="5"/>
  <c r="B33" i="5"/>
  <c r="B34" i="5"/>
  <c r="B35" i="5"/>
  <c r="B36" i="5"/>
  <c r="B37" i="5"/>
  <c r="B38" i="5"/>
  <c r="B39" i="5"/>
  <c r="B40" i="5"/>
  <c r="B41" i="5"/>
  <c r="B42" i="5"/>
  <c r="B43" i="5"/>
  <c r="B44" i="5"/>
  <c r="B45" i="5"/>
  <c r="B46" i="5"/>
  <c r="B47" i="5"/>
  <c r="B48" i="5"/>
  <c r="B49" i="5"/>
  <c r="B50" i="5"/>
  <c r="B51" i="5"/>
  <c r="B52" i="5"/>
  <c r="B53" i="5"/>
  <c r="B54" i="5"/>
  <c r="B55" i="5"/>
  <c r="B56" i="5"/>
  <c r="B57" i="5"/>
  <c r="B58" i="5"/>
  <c r="B59" i="5"/>
  <c r="B60" i="5"/>
  <c r="B61" i="5"/>
  <c r="B62" i="5"/>
  <c r="B63" i="5"/>
  <c r="B64" i="5"/>
  <c r="B65" i="5"/>
  <c r="B66" i="5"/>
  <c r="B67" i="5"/>
  <c r="B68" i="5"/>
  <c r="B69" i="5"/>
  <c r="B70" i="5"/>
  <c r="B71" i="5"/>
  <c r="B72" i="5"/>
  <c r="B73" i="5"/>
  <c r="B74" i="5"/>
  <c r="B75" i="5"/>
  <c r="B76" i="5"/>
  <c r="B77" i="5"/>
  <c r="B78" i="5"/>
  <c r="B79" i="5"/>
  <c r="B80" i="5"/>
  <c r="B81" i="5"/>
  <c r="B82" i="5"/>
  <c r="B83" i="5"/>
  <c r="B84" i="5"/>
  <c r="B85" i="5"/>
  <c r="B86" i="5"/>
  <c r="B87" i="5"/>
  <c r="B88" i="5"/>
  <c r="B89" i="5"/>
  <c r="B90" i="5"/>
  <c r="B91" i="5"/>
  <c r="B92" i="5"/>
  <c r="B93" i="5"/>
  <c r="B94" i="5"/>
  <c r="B95" i="5"/>
  <c r="B96" i="5"/>
  <c r="B97" i="5"/>
  <c r="B98" i="5"/>
  <c r="B99" i="5"/>
  <c r="B100" i="5"/>
  <c r="B101" i="5"/>
  <c r="B102" i="5"/>
  <c r="B4" i="5"/>
  <c r="A102" i="6"/>
  <c r="A101" i="6"/>
  <c r="A100" i="6"/>
  <c r="A99" i="6"/>
  <c r="A98" i="6"/>
  <c r="A97" i="6"/>
  <c r="A96" i="6"/>
  <c r="A95" i="6"/>
  <c r="A94" i="6"/>
  <c r="A93" i="6"/>
  <c r="A92" i="6"/>
  <c r="A91" i="6"/>
  <c r="A90" i="6"/>
  <c r="A89" i="6"/>
  <c r="A88" i="6"/>
  <c r="A87" i="6"/>
  <c r="A86" i="6"/>
  <c r="A85" i="6"/>
  <c r="A84" i="6"/>
  <c r="A83" i="6"/>
  <c r="A82" i="6"/>
  <c r="A81" i="6"/>
  <c r="A80" i="6"/>
  <c r="A79" i="6"/>
  <c r="A78" i="6"/>
  <c r="A77" i="6"/>
  <c r="A76" i="6"/>
  <c r="A75" i="6"/>
  <c r="A74" i="6"/>
  <c r="A73" i="6"/>
  <c r="A72" i="6"/>
  <c r="A71" i="6"/>
  <c r="A70" i="6"/>
  <c r="A69" i="6"/>
  <c r="A68" i="6"/>
  <c r="A67" i="6"/>
  <c r="A66" i="6"/>
  <c r="A65" i="6"/>
  <c r="A64" i="6"/>
  <c r="A63" i="6"/>
  <c r="A62" i="6"/>
  <c r="A61" i="6"/>
  <c r="A60" i="6"/>
  <c r="A59" i="6"/>
  <c r="A58" i="6"/>
  <c r="A57" i="6"/>
  <c r="A56" i="6"/>
  <c r="A55" i="6"/>
  <c r="A54" i="6"/>
  <c r="A53" i="6"/>
  <c r="A52" i="6"/>
  <c r="A51" i="6"/>
  <c r="A50" i="6"/>
  <c r="A49" i="6"/>
  <c r="A48" i="6"/>
  <c r="A47" i="6"/>
  <c r="A46" i="6"/>
  <c r="A45" i="6"/>
  <c r="A44" i="6"/>
  <c r="A43" i="6"/>
  <c r="A42" i="6"/>
  <c r="A41" i="6"/>
  <c r="A40" i="6"/>
  <c r="A39" i="6"/>
  <c r="A38" i="6"/>
  <c r="A37" i="6"/>
  <c r="A36" i="6"/>
  <c r="A35" i="6"/>
  <c r="A34" i="6"/>
  <c r="A33" i="6"/>
  <c r="A32" i="6"/>
  <c r="A31" i="6"/>
  <c r="A30" i="6"/>
  <c r="A29" i="6"/>
  <c r="A28" i="6"/>
  <c r="A27" i="6"/>
  <c r="A26" i="6"/>
  <c r="A25" i="6"/>
  <c r="A24" i="6"/>
  <c r="A23" i="6"/>
  <c r="A22" i="6"/>
  <c r="A21" i="6"/>
  <c r="A20" i="6"/>
  <c r="A19" i="6"/>
  <c r="A18" i="6"/>
  <c r="A17" i="6"/>
  <c r="A16" i="6"/>
  <c r="A15" i="6"/>
  <c r="A14" i="6"/>
  <c r="A13" i="6"/>
  <c r="A12" i="6"/>
  <c r="A11" i="6"/>
  <c r="A10" i="6"/>
  <c r="A9" i="6"/>
  <c r="A8" i="6"/>
  <c r="A7" i="6"/>
  <c r="A6" i="6"/>
  <c r="A5" i="6"/>
  <c r="A4" i="6"/>
  <c r="A3" i="6"/>
  <c r="A3" i="5"/>
  <c r="A4" i="5"/>
  <c r="A5" i="5"/>
  <c r="A6" i="5"/>
  <c r="A7" i="5"/>
  <c r="A8" i="5"/>
  <c r="A9" i="5"/>
  <c r="A10" i="5"/>
  <c r="A11" i="5"/>
  <c r="A12" i="5"/>
  <c r="A13" i="5"/>
  <c r="A14" i="5"/>
  <c r="A15" i="5"/>
  <c r="A16" i="5"/>
  <c r="A17" i="5"/>
  <c r="A18" i="5"/>
  <c r="A19" i="5"/>
  <c r="A20" i="5"/>
  <c r="A21" i="5"/>
  <c r="A22" i="5"/>
  <c r="A23" i="5"/>
  <c r="A24" i="5"/>
  <c r="A25" i="5"/>
  <c r="A26" i="5"/>
  <c r="A27" i="5"/>
  <c r="A28" i="5"/>
  <c r="A29" i="5"/>
  <c r="A30" i="5"/>
  <c r="A31" i="5"/>
  <c r="A32" i="5"/>
  <c r="A33" i="5"/>
  <c r="A34" i="5"/>
  <c r="A35" i="5"/>
  <c r="A36" i="5"/>
  <c r="A37" i="5"/>
  <c r="A38" i="5"/>
  <c r="A39" i="5"/>
  <c r="A40" i="5"/>
  <c r="A41" i="5"/>
  <c r="A42" i="5"/>
  <c r="A43" i="5"/>
  <c r="A44" i="5"/>
  <c r="A45" i="5"/>
  <c r="A46" i="5"/>
  <c r="A47" i="5"/>
  <c r="A48" i="5"/>
  <c r="A49" i="5"/>
  <c r="A50" i="5"/>
  <c r="A51" i="5"/>
  <c r="A52" i="5"/>
  <c r="A53" i="5"/>
  <c r="A54" i="5"/>
  <c r="A55" i="5"/>
  <c r="A56" i="5"/>
  <c r="A57" i="5"/>
  <c r="A58" i="5"/>
  <c r="A59" i="5"/>
  <c r="A60" i="5"/>
  <c r="A61" i="5"/>
  <c r="A62" i="5"/>
  <c r="A63" i="5"/>
  <c r="A64" i="5"/>
  <c r="A65" i="5"/>
  <c r="A66" i="5"/>
  <c r="A67" i="5"/>
  <c r="A68" i="5"/>
  <c r="A69" i="5"/>
  <c r="A70" i="5"/>
  <c r="A71" i="5"/>
  <c r="A72" i="5"/>
  <c r="A73" i="5"/>
  <c r="A74" i="5"/>
  <c r="A75" i="5"/>
  <c r="A76" i="5"/>
  <c r="A77" i="5"/>
  <c r="A78" i="5"/>
  <c r="A79" i="5"/>
  <c r="A80" i="5"/>
  <c r="A81" i="5"/>
  <c r="A82" i="5"/>
  <c r="A83" i="5"/>
  <c r="A84" i="5"/>
  <c r="A85" i="5"/>
  <c r="A86" i="5"/>
  <c r="A87" i="5"/>
  <c r="A88" i="5"/>
  <c r="A89" i="5"/>
  <c r="A90" i="5"/>
  <c r="A91" i="5"/>
  <c r="A92" i="5"/>
  <c r="A93" i="5"/>
  <c r="A94" i="5"/>
  <c r="A95" i="5"/>
  <c r="A96" i="5"/>
  <c r="A97" i="5"/>
  <c r="A98" i="5"/>
  <c r="A99" i="5"/>
  <c r="A100" i="5"/>
  <c r="A101" i="5"/>
  <c r="A102" i="5"/>
  <c r="A102" i="4"/>
  <c r="A101" i="4"/>
  <c r="A100" i="4"/>
  <c r="A99" i="4"/>
  <c r="A98" i="4"/>
  <c r="A97" i="4"/>
  <c r="A96" i="4"/>
  <c r="A95" i="4"/>
  <c r="A94" i="4"/>
  <c r="A93" i="4"/>
  <c r="A92" i="4"/>
  <c r="A91" i="4"/>
  <c r="A90" i="4"/>
  <c r="A89" i="4"/>
  <c r="A88" i="4"/>
  <c r="A87" i="4"/>
  <c r="A86" i="4"/>
  <c r="A85" i="4"/>
  <c r="A84" i="4"/>
  <c r="A83" i="4"/>
  <c r="A82" i="4"/>
  <c r="A81" i="4"/>
  <c r="A80" i="4"/>
  <c r="A79" i="4"/>
  <c r="A78" i="4"/>
  <c r="A77" i="4"/>
  <c r="A76" i="4"/>
  <c r="A75" i="4"/>
  <c r="A74" i="4"/>
  <c r="A73" i="4"/>
  <c r="A72" i="4"/>
  <c r="A71" i="4"/>
  <c r="A70" i="4"/>
  <c r="A69" i="4"/>
  <c r="A68" i="4"/>
  <c r="A67" i="4"/>
  <c r="A66" i="4"/>
  <c r="A65" i="4"/>
  <c r="A64" i="4"/>
  <c r="A63" i="4"/>
  <c r="A62" i="4"/>
  <c r="A61" i="4"/>
  <c r="A60" i="4"/>
  <c r="A59" i="4"/>
  <c r="A58" i="4"/>
  <c r="A57" i="4"/>
  <c r="A56" i="4"/>
  <c r="A55" i="4"/>
  <c r="A54" i="4"/>
  <c r="A53" i="4"/>
  <c r="A52" i="4"/>
  <c r="A51" i="4"/>
  <c r="A50" i="4"/>
  <c r="A49" i="4"/>
  <c r="A48" i="4"/>
  <c r="A47" i="4"/>
  <c r="A46" i="4"/>
  <c r="A45" i="4"/>
  <c r="A44" i="4"/>
  <c r="A43" i="4"/>
  <c r="A42" i="4"/>
  <c r="A41" i="4"/>
  <c r="A40" i="4"/>
  <c r="A39" i="4"/>
  <c r="A38" i="4"/>
  <c r="A37" i="4"/>
  <c r="A36" i="4"/>
  <c r="A35" i="4"/>
  <c r="A34" i="4"/>
  <c r="A33" i="4"/>
  <c r="A32" i="4"/>
  <c r="A31" i="4"/>
  <c r="A30" i="4"/>
  <c r="A29" i="4"/>
  <c r="A28" i="4"/>
  <c r="A27" i="4"/>
  <c r="A26" i="4"/>
  <c r="A25" i="4"/>
  <c r="A24" i="4"/>
  <c r="A23" i="4"/>
  <c r="A22" i="4"/>
  <c r="A21" i="4"/>
  <c r="A20" i="4"/>
  <c r="A19" i="4"/>
  <c r="A18" i="4"/>
  <c r="A17" i="4"/>
  <c r="A16" i="4"/>
  <c r="A15" i="4"/>
  <c r="A14" i="4"/>
  <c r="A13" i="4"/>
  <c r="A12" i="4"/>
  <c r="A11" i="4"/>
  <c r="A10" i="4"/>
  <c r="A9" i="4"/>
  <c r="A8" i="4"/>
  <c r="A7" i="4"/>
  <c r="A6" i="4"/>
  <c r="A5" i="4"/>
  <c r="A4" i="4"/>
  <c r="A3" i="4"/>
  <c r="B3" i="4"/>
  <c r="C3" i="4"/>
  <c r="D3" i="4"/>
  <c r="E3" i="4"/>
  <c r="F3" i="4"/>
  <c r="G3" i="4"/>
  <c r="B4" i="4"/>
  <c r="C4" i="4"/>
  <c r="D4" i="4"/>
  <c r="E4" i="4"/>
  <c r="F4" i="4"/>
  <c r="G4" i="4"/>
  <c r="B5" i="4"/>
  <c r="C5" i="4"/>
  <c r="D5" i="4"/>
  <c r="E5" i="4"/>
  <c r="F5" i="4"/>
  <c r="G5" i="4"/>
  <c r="B6" i="4"/>
  <c r="C6" i="4"/>
  <c r="D6" i="4"/>
  <c r="E6" i="4"/>
  <c r="F6" i="4"/>
  <c r="G6" i="4"/>
  <c r="B7" i="4"/>
  <c r="C7" i="4"/>
  <c r="D7" i="4"/>
  <c r="E7" i="4"/>
  <c r="F7" i="4"/>
  <c r="G7" i="4"/>
  <c r="B8" i="4"/>
  <c r="C8" i="4"/>
  <c r="D8" i="4"/>
  <c r="E8" i="4"/>
  <c r="F8" i="4"/>
  <c r="G8" i="4"/>
  <c r="B9" i="4"/>
  <c r="C9" i="4"/>
  <c r="D9" i="4"/>
  <c r="E9" i="4"/>
  <c r="F9" i="4"/>
  <c r="G9" i="4"/>
  <c r="B10" i="4"/>
  <c r="C10" i="4"/>
  <c r="D10" i="4"/>
  <c r="E10" i="4"/>
  <c r="F10" i="4"/>
  <c r="G10" i="4"/>
  <c r="B11" i="4"/>
  <c r="C11" i="4"/>
  <c r="D11" i="4"/>
  <c r="E11" i="4"/>
  <c r="F11" i="4"/>
  <c r="G11" i="4"/>
  <c r="B12" i="4"/>
  <c r="C12" i="4"/>
  <c r="D12" i="4"/>
  <c r="E12" i="4"/>
  <c r="F12" i="4"/>
  <c r="G12" i="4"/>
  <c r="B13" i="4"/>
  <c r="C13" i="4"/>
  <c r="D13" i="4"/>
  <c r="E13" i="4"/>
  <c r="F13" i="4"/>
  <c r="G13" i="4"/>
  <c r="B14" i="4"/>
  <c r="C14" i="4"/>
  <c r="D14" i="4"/>
  <c r="E14" i="4"/>
  <c r="F14" i="4"/>
  <c r="G14" i="4"/>
  <c r="B15" i="4"/>
  <c r="C15" i="4"/>
  <c r="D15" i="4"/>
  <c r="E15" i="4"/>
  <c r="F15" i="4"/>
  <c r="G15" i="4"/>
  <c r="B16" i="4"/>
  <c r="C16" i="4"/>
  <c r="D16" i="4"/>
  <c r="E16" i="4"/>
  <c r="F16" i="4"/>
  <c r="G16" i="4"/>
  <c r="B17" i="4"/>
  <c r="C17" i="4"/>
  <c r="D17" i="4"/>
  <c r="E17" i="4"/>
  <c r="F17" i="4"/>
  <c r="G17" i="4"/>
  <c r="B18" i="4"/>
  <c r="C18" i="4"/>
  <c r="D18" i="4"/>
  <c r="E18" i="4"/>
  <c r="F18" i="4"/>
  <c r="G18" i="4"/>
  <c r="B19" i="4"/>
  <c r="C19" i="4"/>
  <c r="D19" i="4"/>
  <c r="E19" i="4"/>
  <c r="F19" i="4"/>
  <c r="G19" i="4"/>
  <c r="B20" i="4"/>
  <c r="C20" i="4"/>
  <c r="D20" i="4"/>
  <c r="E20" i="4"/>
  <c r="F20" i="4"/>
  <c r="G20" i="4"/>
  <c r="B21" i="4"/>
  <c r="C21" i="4"/>
  <c r="D21" i="4"/>
  <c r="E21" i="4"/>
  <c r="F21" i="4"/>
  <c r="G21" i="4"/>
  <c r="B22" i="4"/>
  <c r="C22" i="4"/>
  <c r="D22" i="4"/>
  <c r="E22" i="4"/>
  <c r="F22" i="4"/>
  <c r="G22" i="4"/>
  <c r="B23" i="4"/>
  <c r="C23" i="4"/>
  <c r="D23" i="4"/>
  <c r="E23" i="4"/>
  <c r="F23" i="4"/>
  <c r="G23" i="4"/>
  <c r="B24" i="4"/>
  <c r="C24" i="4"/>
  <c r="D24" i="4"/>
  <c r="E24" i="4"/>
  <c r="F24" i="4"/>
  <c r="G24" i="4"/>
  <c r="B25" i="4"/>
  <c r="C25" i="4"/>
  <c r="D25" i="4"/>
  <c r="E25" i="4"/>
  <c r="F25" i="4"/>
  <c r="G25" i="4"/>
  <c r="B26" i="4"/>
  <c r="C26" i="4"/>
  <c r="D26" i="4"/>
  <c r="E26" i="4"/>
  <c r="F26" i="4"/>
  <c r="G26" i="4"/>
  <c r="B27" i="4"/>
  <c r="C27" i="4"/>
  <c r="D27" i="4"/>
  <c r="E27" i="4"/>
  <c r="F27" i="4"/>
  <c r="G27" i="4"/>
  <c r="B28" i="4"/>
  <c r="C28" i="4"/>
  <c r="D28" i="4"/>
  <c r="E28" i="4"/>
  <c r="F28" i="4"/>
  <c r="G28" i="4"/>
  <c r="B29" i="4"/>
  <c r="C29" i="4"/>
  <c r="D29" i="4"/>
  <c r="E29" i="4"/>
  <c r="F29" i="4"/>
  <c r="G29" i="4"/>
  <c r="B30" i="4"/>
  <c r="C30" i="4"/>
  <c r="D30" i="4"/>
  <c r="E30" i="4"/>
  <c r="F30" i="4"/>
  <c r="G30" i="4"/>
  <c r="B31" i="4"/>
  <c r="C31" i="4"/>
  <c r="D31" i="4"/>
  <c r="E31" i="4"/>
  <c r="F31" i="4"/>
  <c r="G31" i="4"/>
  <c r="B32" i="4"/>
  <c r="C32" i="4"/>
  <c r="D32" i="4"/>
  <c r="E32" i="4"/>
  <c r="F32" i="4"/>
  <c r="G32" i="4"/>
  <c r="B33" i="4"/>
  <c r="C33" i="4"/>
  <c r="D33" i="4"/>
  <c r="E33" i="4"/>
  <c r="F33" i="4"/>
  <c r="G33" i="4"/>
  <c r="B34" i="4"/>
  <c r="C34" i="4"/>
  <c r="D34" i="4"/>
  <c r="E34" i="4"/>
  <c r="F34" i="4"/>
  <c r="G34" i="4"/>
  <c r="B35" i="4"/>
  <c r="C35" i="4"/>
  <c r="D35" i="4"/>
  <c r="E35" i="4"/>
  <c r="F35" i="4"/>
  <c r="G35" i="4"/>
  <c r="B36" i="4"/>
  <c r="C36" i="4"/>
  <c r="D36" i="4"/>
  <c r="E36" i="4"/>
  <c r="F36" i="4"/>
  <c r="G36" i="4"/>
  <c r="B37" i="4"/>
  <c r="C37" i="4"/>
  <c r="D37" i="4"/>
  <c r="E37" i="4"/>
  <c r="F37" i="4"/>
  <c r="G37" i="4"/>
  <c r="B38" i="4"/>
  <c r="C38" i="4"/>
  <c r="D38" i="4"/>
  <c r="E38" i="4"/>
  <c r="F38" i="4"/>
  <c r="G38" i="4"/>
  <c r="B39" i="4"/>
  <c r="C39" i="4"/>
  <c r="D39" i="4"/>
  <c r="E39" i="4"/>
  <c r="F39" i="4"/>
  <c r="G39" i="4"/>
  <c r="B40" i="4"/>
  <c r="C40" i="4"/>
  <c r="D40" i="4"/>
  <c r="E40" i="4"/>
  <c r="F40" i="4"/>
  <c r="G40" i="4"/>
  <c r="B41" i="4"/>
  <c r="C41" i="4"/>
  <c r="D41" i="4"/>
  <c r="E41" i="4"/>
  <c r="F41" i="4"/>
  <c r="G41" i="4"/>
  <c r="B42" i="4"/>
  <c r="C42" i="4"/>
  <c r="D42" i="4"/>
  <c r="E42" i="4"/>
  <c r="F42" i="4"/>
  <c r="G42" i="4"/>
  <c r="B43" i="4"/>
  <c r="C43" i="4"/>
  <c r="D43" i="4"/>
  <c r="E43" i="4"/>
  <c r="F43" i="4"/>
  <c r="G43" i="4"/>
  <c r="B44" i="4"/>
  <c r="C44" i="4"/>
  <c r="D44" i="4"/>
  <c r="E44" i="4"/>
  <c r="F44" i="4"/>
  <c r="G44" i="4"/>
  <c r="B45" i="4"/>
  <c r="C45" i="4"/>
  <c r="D45" i="4"/>
  <c r="E45" i="4"/>
  <c r="F45" i="4"/>
  <c r="G45" i="4"/>
  <c r="B46" i="4"/>
  <c r="C46" i="4"/>
  <c r="D46" i="4"/>
  <c r="E46" i="4"/>
  <c r="F46" i="4"/>
  <c r="G46" i="4"/>
  <c r="B47" i="4"/>
  <c r="C47" i="4"/>
  <c r="D47" i="4"/>
  <c r="E47" i="4"/>
  <c r="F47" i="4"/>
  <c r="G47" i="4"/>
  <c r="B48" i="4"/>
  <c r="C48" i="4"/>
  <c r="D48" i="4"/>
  <c r="E48" i="4"/>
  <c r="F48" i="4"/>
  <c r="G48" i="4"/>
  <c r="B49" i="4"/>
  <c r="C49" i="4"/>
  <c r="D49" i="4"/>
  <c r="E49" i="4"/>
  <c r="F49" i="4"/>
  <c r="G49" i="4"/>
  <c r="B50" i="4"/>
  <c r="C50" i="4"/>
  <c r="D50" i="4"/>
  <c r="E50" i="4"/>
  <c r="F50" i="4"/>
  <c r="G50" i="4"/>
  <c r="B51" i="4"/>
  <c r="C51" i="4"/>
  <c r="D51" i="4"/>
  <c r="E51" i="4"/>
  <c r="F51" i="4"/>
  <c r="G51" i="4"/>
  <c r="B52" i="4"/>
  <c r="C52" i="4"/>
  <c r="D52" i="4"/>
  <c r="E52" i="4"/>
  <c r="F52" i="4"/>
  <c r="G52" i="4"/>
  <c r="B53" i="4"/>
  <c r="C53" i="4"/>
  <c r="D53" i="4"/>
  <c r="E53" i="4"/>
  <c r="F53" i="4"/>
  <c r="G53" i="4"/>
  <c r="B54" i="4"/>
  <c r="C54" i="4"/>
  <c r="D54" i="4"/>
  <c r="E54" i="4"/>
  <c r="F54" i="4"/>
  <c r="G54" i="4"/>
  <c r="B55" i="4"/>
  <c r="C55" i="4"/>
  <c r="D55" i="4"/>
  <c r="E55" i="4"/>
  <c r="F55" i="4"/>
  <c r="G55" i="4"/>
  <c r="B56" i="4"/>
  <c r="C56" i="4"/>
  <c r="D56" i="4"/>
  <c r="E56" i="4"/>
  <c r="F56" i="4"/>
  <c r="G56" i="4"/>
  <c r="B57" i="4"/>
  <c r="C57" i="4"/>
  <c r="D57" i="4"/>
  <c r="E57" i="4"/>
  <c r="F57" i="4"/>
  <c r="G57" i="4"/>
  <c r="B58" i="4"/>
  <c r="C58" i="4"/>
  <c r="D58" i="4"/>
  <c r="E58" i="4"/>
  <c r="F58" i="4"/>
  <c r="G58" i="4"/>
  <c r="B59" i="4"/>
  <c r="C59" i="4"/>
  <c r="D59" i="4"/>
  <c r="E59" i="4"/>
  <c r="F59" i="4"/>
  <c r="G59" i="4"/>
  <c r="B60" i="4"/>
  <c r="C60" i="4"/>
  <c r="D60" i="4"/>
  <c r="E60" i="4"/>
  <c r="F60" i="4"/>
  <c r="G60" i="4"/>
  <c r="B61" i="4"/>
  <c r="C61" i="4"/>
  <c r="D61" i="4"/>
  <c r="E61" i="4"/>
  <c r="F61" i="4"/>
  <c r="G61" i="4"/>
  <c r="B62" i="4"/>
  <c r="C62" i="4"/>
  <c r="D62" i="4"/>
  <c r="E62" i="4"/>
  <c r="F62" i="4"/>
  <c r="G62" i="4"/>
  <c r="B63" i="4"/>
  <c r="C63" i="4"/>
  <c r="D63" i="4"/>
  <c r="E63" i="4"/>
  <c r="F63" i="4"/>
  <c r="G63" i="4"/>
  <c r="B64" i="4"/>
  <c r="C64" i="4"/>
  <c r="D64" i="4"/>
  <c r="E64" i="4"/>
  <c r="F64" i="4"/>
  <c r="G64" i="4"/>
  <c r="B65" i="4"/>
  <c r="C65" i="4"/>
  <c r="D65" i="4"/>
  <c r="E65" i="4"/>
  <c r="F65" i="4"/>
  <c r="G65" i="4"/>
  <c r="B66" i="4"/>
  <c r="C66" i="4"/>
  <c r="D66" i="4"/>
  <c r="E66" i="4"/>
  <c r="F66" i="4"/>
  <c r="G66" i="4"/>
  <c r="B67" i="4"/>
  <c r="C67" i="4"/>
  <c r="D67" i="4"/>
  <c r="E67" i="4"/>
  <c r="F67" i="4"/>
  <c r="G67" i="4"/>
  <c r="B68" i="4"/>
  <c r="C68" i="4"/>
  <c r="D68" i="4"/>
  <c r="E68" i="4"/>
  <c r="F68" i="4"/>
  <c r="G68" i="4"/>
  <c r="B69" i="4"/>
  <c r="C69" i="4"/>
  <c r="D69" i="4"/>
  <c r="E69" i="4"/>
  <c r="F69" i="4"/>
  <c r="G69" i="4"/>
  <c r="B70" i="4"/>
  <c r="C70" i="4"/>
  <c r="D70" i="4"/>
  <c r="E70" i="4"/>
  <c r="F70" i="4"/>
  <c r="G70" i="4"/>
  <c r="B71" i="4"/>
  <c r="C71" i="4"/>
  <c r="D71" i="4"/>
  <c r="E71" i="4"/>
  <c r="F71" i="4"/>
  <c r="G71" i="4"/>
  <c r="B72" i="4"/>
  <c r="C72" i="4"/>
  <c r="D72" i="4"/>
  <c r="E72" i="4"/>
  <c r="F72" i="4"/>
  <c r="G72" i="4"/>
  <c r="B73" i="4"/>
  <c r="C73" i="4"/>
  <c r="D73" i="4"/>
  <c r="E73" i="4"/>
  <c r="F73" i="4"/>
  <c r="G73" i="4"/>
  <c r="B74" i="4"/>
  <c r="C74" i="4"/>
  <c r="D74" i="4"/>
  <c r="E74" i="4"/>
  <c r="F74" i="4"/>
  <c r="G74" i="4"/>
  <c r="B75" i="4"/>
  <c r="C75" i="4"/>
  <c r="D75" i="4"/>
  <c r="E75" i="4"/>
  <c r="F75" i="4"/>
  <c r="G75" i="4"/>
  <c r="B76" i="4"/>
  <c r="C76" i="4"/>
  <c r="D76" i="4"/>
  <c r="E76" i="4"/>
  <c r="F76" i="4"/>
  <c r="G76" i="4"/>
  <c r="B77" i="4"/>
  <c r="C77" i="4"/>
  <c r="D77" i="4"/>
  <c r="E77" i="4"/>
  <c r="F77" i="4"/>
  <c r="G77" i="4"/>
  <c r="B78" i="4"/>
  <c r="C78" i="4"/>
  <c r="D78" i="4"/>
  <c r="E78" i="4"/>
  <c r="F78" i="4"/>
  <c r="G78" i="4"/>
  <c r="B79" i="4"/>
  <c r="C79" i="4"/>
  <c r="D79" i="4"/>
  <c r="E79" i="4"/>
  <c r="F79" i="4"/>
  <c r="G79" i="4"/>
  <c r="B80" i="4"/>
  <c r="C80" i="4"/>
  <c r="D80" i="4"/>
  <c r="E80" i="4"/>
  <c r="F80" i="4"/>
  <c r="G80" i="4"/>
  <c r="B81" i="4"/>
  <c r="C81" i="4"/>
  <c r="D81" i="4"/>
  <c r="E81" i="4"/>
  <c r="F81" i="4"/>
  <c r="G81" i="4"/>
  <c r="B82" i="4"/>
  <c r="C82" i="4"/>
  <c r="D82" i="4"/>
  <c r="E82" i="4"/>
  <c r="F82" i="4"/>
  <c r="G82" i="4"/>
  <c r="B83" i="4"/>
  <c r="C83" i="4"/>
  <c r="D83" i="4"/>
  <c r="E83" i="4"/>
  <c r="F83" i="4"/>
  <c r="G83" i="4"/>
  <c r="B84" i="4"/>
  <c r="C84" i="4"/>
  <c r="D84" i="4"/>
  <c r="E84" i="4"/>
  <c r="F84" i="4"/>
  <c r="G84" i="4"/>
  <c r="B85" i="4"/>
  <c r="C85" i="4"/>
  <c r="D85" i="4"/>
  <c r="E85" i="4"/>
  <c r="F85" i="4"/>
  <c r="G85" i="4"/>
  <c r="B86" i="4"/>
  <c r="C86" i="4"/>
  <c r="D86" i="4"/>
  <c r="E86" i="4"/>
  <c r="F86" i="4"/>
  <c r="G86" i="4"/>
  <c r="B87" i="4"/>
  <c r="C87" i="4"/>
  <c r="D87" i="4"/>
  <c r="E87" i="4"/>
  <c r="F87" i="4"/>
  <c r="G87" i="4"/>
  <c r="B88" i="4"/>
  <c r="C88" i="4"/>
  <c r="D88" i="4"/>
  <c r="E88" i="4"/>
  <c r="F88" i="4"/>
  <c r="G88" i="4"/>
  <c r="B89" i="4"/>
  <c r="C89" i="4"/>
  <c r="D89" i="4"/>
  <c r="E89" i="4"/>
  <c r="F89" i="4"/>
  <c r="G89" i="4"/>
  <c r="B90" i="4"/>
  <c r="C90" i="4"/>
  <c r="D90" i="4"/>
  <c r="E90" i="4"/>
  <c r="F90" i="4"/>
  <c r="G90" i="4"/>
  <c r="B91" i="4"/>
  <c r="C91" i="4"/>
  <c r="D91" i="4"/>
  <c r="E91" i="4"/>
  <c r="F91" i="4"/>
  <c r="G91" i="4"/>
  <c r="B92" i="4"/>
  <c r="C92" i="4"/>
  <c r="D92" i="4"/>
  <c r="E92" i="4"/>
  <c r="F92" i="4"/>
  <c r="G92" i="4"/>
  <c r="B93" i="4"/>
  <c r="C93" i="4"/>
  <c r="D93" i="4"/>
  <c r="E93" i="4"/>
  <c r="F93" i="4"/>
  <c r="G93" i="4"/>
  <c r="B94" i="4"/>
  <c r="C94" i="4"/>
  <c r="D94" i="4"/>
  <c r="E94" i="4"/>
  <c r="F94" i="4"/>
  <c r="G94" i="4"/>
  <c r="B95" i="4"/>
  <c r="C95" i="4"/>
  <c r="D95" i="4"/>
  <c r="E95" i="4"/>
  <c r="F95" i="4"/>
  <c r="G95" i="4"/>
  <c r="B96" i="4"/>
  <c r="C96" i="4"/>
  <c r="D96" i="4"/>
  <c r="E96" i="4"/>
  <c r="F96" i="4"/>
  <c r="G96" i="4"/>
  <c r="B97" i="4"/>
  <c r="C97" i="4"/>
  <c r="D97" i="4"/>
  <c r="E97" i="4"/>
  <c r="F97" i="4"/>
  <c r="G97" i="4"/>
  <c r="B98" i="4"/>
  <c r="C98" i="4"/>
  <c r="D98" i="4"/>
  <c r="E98" i="4"/>
  <c r="F98" i="4"/>
  <c r="G98" i="4"/>
  <c r="B99" i="4"/>
  <c r="C99" i="4"/>
  <c r="D99" i="4"/>
  <c r="E99" i="4"/>
  <c r="F99" i="4"/>
  <c r="G99" i="4"/>
  <c r="B100" i="4"/>
  <c r="C100" i="4"/>
  <c r="D100" i="4"/>
  <c r="E100" i="4"/>
  <c r="F100" i="4"/>
  <c r="G100" i="4"/>
  <c r="B101" i="4"/>
  <c r="C101" i="4"/>
  <c r="D101" i="4"/>
  <c r="E101" i="4"/>
  <c r="F101" i="4"/>
  <c r="G101" i="4"/>
  <c r="B102" i="4"/>
  <c r="C102" i="4"/>
  <c r="D102" i="4"/>
  <c r="E102" i="4"/>
  <c r="F102" i="4"/>
  <c r="G102" i="4"/>
  <c r="A102" i="3"/>
  <c r="A101" i="3"/>
  <c r="A100" i="3"/>
  <c r="A99" i="3"/>
  <c r="A98" i="3"/>
  <c r="A97" i="3"/>
  <c r="A96" i="3"/>
  <c r="A95" i="3"/>
  <c r="A94" i="3"/>
  <c r="A93" i="3"/>
  <c r="A92" i="3"/>
  <c r="A91" i="3"/>
  <c r="A90" i="3"/>
  <c r="A89" i="3"/>
  <c r="A88" i="3"/>
  <c r="A87" i="3"/>
  <c r="A86" i="3"/>
  <c r="A85" i="3"/>
  <c r="A84" i="3"/>
  <c r="A83" i="3"/>
  <c r="A82" i="3"/>
  <c r="A81" i="3"/>
  <c r="A80" i="3"/>
  <c r="A79" i="3"/>
  <c r="A78" i="3"/>
  <c r="A77" i="3"/>
  <c r="A76" i="3"/>
  <c r="A75" i="3"/>
  <c r="A74" i="3"/>
  <c r="A73" i="3"/>
  <c r="A72" i="3"/>
  <c r="A71" i="3"/>
  <c r="A70" i="3"/>
  <c r="A69" i="3"/>
  <c r="A68" i="3"/>
  <c r="A67" i="3"/>
  <c r="A66" i="3"/>
  <c r="A65" i="3"/>
  <c r="A64" i="3"/>
  <c r="A63" i="3"/>
  <c r="A62" i="3"/>
  <c r="A61" i="3"/>
  <c r="A60" i="3"/>
  <c r="A59" i="3"/>
  <c r="A58" i="3"/>
  <c r="A57" i="3"/>
  <c r="A56" i="3"/>
  <c r="A55" i="3"/>
  <c r="A54" i="3"/>
  <c r="A53" i="3"/>
  <c r="A52" i="3"/>
  <c r="A51" i="3"/>
  <c r="A50" i="3"/>
  <c r="A49" i="3"/>
  <c r="A48" i="3"/>
  <c r="A47" i="3"/>
  <c r="A46" i="3"/>
  <c r="A45" i="3"/>
  <c r="A44" i="3"/>
  <c r="A43" i="3"/>
  <c r="A42" i="3"/>
  <c r="A41" i="3"/>
  <c r="A40" i="3"/>
  <c r="A39" i="3"/>
  <c r="A38" i="3"/>
  <c r="A37" i="3"/>
  <c r="A36" i="3"/>
  <c r="A35" i="3"/>
  <c r="A34" i="3"/>
  <c r="A33" i="3"/>
  <c r="A32" i="3"/>
  <c r="A31" i="3"/>
  <c r="A30" i="3"/>
  <c r="A29" i="3"/>
  <c r="A28" i="3"/>
  <c r="A27" i="3"/>
  <c r="A26" i="3"/>
  <c r="A25" i="3"/>
  <c r="A24" i="3"/>
  <c r="A23" i="3"/>
  <c r="A22" i="3"/>
  <c r="A21" i="3"/>
  <c r="A20" i="3"/>
  <c r="A19" i="3"/>
  <c r="A18" i="3"/>
  <c r="A17" i="3"/>
  <c r="A16" i="3"/>
  <c r="A15" i="3"/>
  <c r="A14" i="3"/>
  <c r="A13" i="3"/>
  <c r="A12" i="3"/>
  <c r="A11" i="3"/>
  <c r="A10" i="3"/>
  <c r="A9" i="3"/>
  <c r="A8" i="3"/>
  <c r="A7" i="3"/>
  <c r="A6" i="3"/>
  <c r="A5" i="3"/>
  <c r="A4" i="3"/>
  <c r="A3" i="3"/>
  <c r="A3" i="2"/>
  <c r="A5" i="2"/>
  <c r="A6" i="2"/>
  <c r="A7" i="2"/>
  <c r="A8" i="2"/>
  <c r="A9" i="2"/>
  <c r="A10" i="2"/>
  <c r="A11" i="2"/>
  <c r="A12" i="2"/>
  <c r="A13" i="2"/>
  <c r="A14" i="2"/>
  <c r="A15" i="2"/>
  <c r="A16" i="2"/>
  <c r="A17" i="2"/>
  <c r="A18" i="2"/>
  <c r="A19" i="2"/>
  <c r="A20" i="2"/>
  <c r="A21" i="2"/>
  <c r="A22" i="2"/>
  <c r="A23" i="2"/>
  <c r="A24" i="2"/>
  <c r="A25" i="2"/>
  <c r="A26" i="2"/>
  <c r="A27" i="2"/>
  <c r="A28" i="2"/>
  <c r="A29" i="2"/>
  <c r="A30" i="2"/>
  <c r="A31" i="2"/>
  <c r="A32" i="2"/>
  <c r="A33" i="2"/>
  <c r="A34" i="2"/>
  <c r="A35" i="2"/>
  <c r="A36" i="2"/>
  <c r="A37" i="2"/>
  <c r="A38" i="2"/>
  <c r="A39" i="2"/>
  <c r="A40" i="2"/>
  <c r="A41" i="2"/>
  <c r="A42" i="2"/>
  <c r="A43" i="2"/>
  <c r="A44" i="2"/>
  <c r="A45" i="2"/>
  <c r="A46" i="2"/>
  <c r="A47" i="2"/>
  <c r="A48" i="2"/>
  <c r="A49" i="2"/>
  <c r="A50" i="2"/>
  <c r="A51" i="2"/>
  <c r="A52" i="2"/>
  <c r="A53" i="2"/>
  <c r="A54" i="2"/>
  <c r="A55" i="2"/>
  <c r="A56" i="2"/>
  <c r="A57" i="2"/>
  <c r="A58" i="2"/>
  <c r="A59" i="2"/>
  <c r="A60" i="2"/>
  <c r="A61" i="2"/>
  <c r="A62" i="2"/>
  <c r="A63" i="2"/>
  <c r="A64" i="2"/>
  <c r="A65" i="2"/>
  <c r="A66" i="2"/>
  <c r="A67" i="2"/>
  <c r="A68" i="2"/>
  <c r="A69" i="2"/>
  <c r="A70" i="2"/>
  <c r="A71" i="2"/>
  <c r="A72" i="2"/>
  <c r="A73" i="2"/>
  <c r="A74" i="2"/>
  <c r="A75" i="2"/>
  <c r="A76" i="2"/>
  <c r="A77" i="2"/>
  <c r="A78" i="2"/>
  <c r="A79" i="2"/>
  <c r="A80" i="2"/>
  <c r="A81" i="2"/>
  <c r="A82" i="2"/>
  <c r="A83" i="2"/>
  <c r="A84" i="2"/>
  <c r="A85" i="2"/>
  <c r="A86" i="2"/>
  <c r="A87" i="2"/>
  <c r="A88" i="2"/>
  <c r="A89" i="2"/>
  <c r="A90" i="2"/>
  <c r="A91" i="2"/>
  <c r="A92" i="2"/>
  <c r="A93" i="2"/>
  <c r="A94" i="2"/>
  <c r="A95" i="2"/>
  <c r="A96" i="2"/>
  <c r="A97" i="2"/>
  <c r="A98" i="2"/>
  <c r="A99" i="2"/>
  <c r="A100" i="2"/>
  <c r="A101" i="2"/>
  <c r="A102" i="2"/>
  <c r="A4" i="2"/>
  <c r="C4" i="2"/>
  <c r="D4" i="2"/>
  <c r="E4" i="2"/>
  <c r="F4" i="2"/>
  <c r="G4" i="2"/>
  <c r="C5" i="2"/>
  <c r="D5" i="2"/>
  <c r="E5" i="2"/>
  <c r="F5" i="2"/>
  <c r="G5" i="2"/>
  <c r="C6" i="2"/>
  <c r="D6" i="2"/>
  <c r="E6" i="2"/>
  <c r="F6" i="2"/>
  <c r="G6" i="2"/>
  <c r="C7" i="2"/>
  <c r="D7" i="2"/>
  <c r="E7" i="2"/>
  <c r="F7" i="2"/>
  <c r="G7" i="2"/>
  <c r="C8" i="2"/>
  <c r="D8" i="2"/>
  <c r="E8" i="2"/>
  <c r="F8" i="2"/>
  <c r="G8" i="2"/>
  <c r="C9" i="2"/>
  <c r="D9" i="2"/>
  <c r="E9" i="2"/>
  <c r="F9" i="2"/>
  <c r="G9" i="2"/>
  <c r="C10" i="2"/>
  <c r="D10" i="2"/>
  <c r="E10" i="2"/>
  <c r="F10" i="2"/>
  <c r="G10" i="2"/>
  <c r="C11" i="2"/>
  <c r="D11" i="2"/>
  <c r="E11" i="2"/>
  <c r="F11" i="2"/>
  <c r="G11" i="2"/>
  <c r="C12" i="2"/>
  <c r="D12" i="2"/>
  <c r="E12" i="2"/>
  <c r="F12" i="2"/>
  <c r="G12" i="2"/>
  <c r="C13" i="2"/>
  <c r="D13" i="2"/>
  <c r="E13" i="2"/>
  <c r="F13" i="2"/>
  <c r="G13" i="2"/>
  <c r="C14" i="2"/>
  <c r="D14" i="2"/>
  <c r="E14" i="2"/>
  <c r="F14" i="2"/>
  <c r="G14" i="2"/>
  <c r="C15" i="2"/>
  <c r="D15" i="2"/>
  <c r="E15" i="2"/>
  <c r="F15" i="2"/>
  <c r="G15" i="2"/>
  <c r="C16" i="2"/>
  <c r="D16" i="2"/>
  <c r="E16" i="2"/>
  <c r="F16" i="2"/>
  <c r="G16" i="2"/>
  <c r="C17" i="2"/>
  <c r="D17" i="2"/>
  <c r="E17" i="2"/>
  <c r="F17" i="2"/>
  <c r="G17" i="2"/>
  <c r="C18" i="2"/>
  <c r="D18" i="2"/>
  <c r="E18" i="2"/>
  <c r="F18" i="2"/>
  <c r="G18" i="2"/>
  <c r="C19" i="2"/>
  <c r="D19" i="2"/>
  <c r="E19" i="2"/>
  <c r="F19" i="2"/>
  <c r="G19" i="2"/>
  <c r="C20" i="2"/>
  <c r="D20" i="2"/>
  <c r="E20" i="2"/>
  <c r="F20" i="2"/>
  <c r="G20" i="2"/>
  <c r="C21" i="2"/>
  <c r="D21" i="2"/>
  <c r="E21" i="2"/>
  <c r="F21" i="2"/>
  <c r="G21" i="2"/>
  <c r="C22" i="2"/>
  <c r="D22" i="2"/>
  <c r="E22" i="2"/>
  <c r="F22" i="2"/>
  <c r="G22" i="2"/>
  <c r="C23" i="2"/>
  <c r="D23" i="2"/>
  <c r="E23" i="2"/>
  <c r="F23" i="2"/>
  <c r="G23" i="2"/>
  <c r="C24" i="2"/>
  <c r="D24" i="2"/>
  <c r="E24" i="2"/>
  <c r="F24" i="2"/>
  <c r="G24" i="2"/>
  <c r="C25" i="2"/>
  <c r="D25" i="2"/>
  <c r="E25" i="2"/>
  <c r="F25" i="2"/>
  <c r="G25" i="2"/>
  <c r="C26" i="2"/>
  <c r="D26" i="2"/>
  <c r="E26" i="2"/>
  <c r="F26" i="2"/>
  <c r="G26" i="2"/>
  <c r="C27" i="2"/>
  <c r="D27" i="2"/>
  <c r="E27" i="2"/>
  <c r="F27" i="2"/>
  <c r="G27" i="2"/>
  <c r="C28" i="2"/>
  <c r="D28" i="2"/>
  <c r="E28" i="2"/>
  <c r="F28" i="2"/>
  <c r="G28" i="2"/>
  <c r="C29" i="2"/>
  <c r="D29" i="2"/>
  <c r="E29" i="2"/>
  <c r="F29" i="2"/>
  <c r="G29" i="2"/>
  <c r="C30" i="2"/>
  <c r="D30" i="2"/>
  <c r="E30" i="2"/>
  <c r="F30" i="2"/>
  <c r="G30" i="2"/>
  <c r="C31" i="2"/>
  <c r="D31" i="2"/>
  <c r="E31" i="2"/>
  <c r="F31" i="2"/>
  <c r="G31" i="2"/>
  <c r="C32" i="2"/>
  <c r="D32" i="2"/>
  <c r="E32" i="2"/>
  <c r="F32" i="2"/>
  <c r="G32" i="2"/>
  <c r="C33" i="2"/>
  <c r="D33" i="2"/>
  <c r="E33" i="2"/>
  <c r="F33" i="2"/>
  <c r="G33" i="2"/>
  <c r="C34" i="2"/>
  <c r="D34" i="2"/>
  <c r="E34" i="2"/>
  <c r="F34" i="2"/>
  <c r="G34" i="2"/>
  <c r="C35" i="2"/>
  <c r="D35" i="2"/>
  <c r="E35" i="2"/>
  <c r="F35" i="2"/>
  <c r="G35" i="2"/>
  <c r="C36" i="2"/>
  <c r="D36" i="2"/>
  <c r="E36" i="2"/>
  <c r="F36" i="2"/>
  <c r="G36" i="2"/>
  <c r="C37" i="2"/>
  <c r="D37" i="2"/>
  <c r="E37" i="2"/>
  <c r="F37" i="2"/>
  <c r="G37" i="2"/>
  <c r="C38" i="2"/>
  <c r="D38" i="2"/>
  <c r="E38" i="2"/>
  <c r="F38" i="2"/>
  <c r="G38" i="2"/>
  <c r="C39" i="2"/>
  <c r="D39" i="2"/>
  <c r="E39" i="2"/>
  <c r="F39" i="2"/>
  <c r="G39" i="2"/>
  <c r="C40" i="2"/>
  <c r="D40" i="2"/>
  <c r="E40" i="2"/>
  <c r="F40" i="2"/>
  <c r="G40" i="2"/>
  <c r="C41" i="2"/>
  <c r="D41" i="2"/>
  <c r="E41" i="2"/>
  <c r="F41" i="2"/>
  <c r="G41" i="2"/>
  <c r="C42" i="2"/>
  <c r="D42" i="2"/>
  <c r="E42" i="2"/>
  <c r="F42" i="2"/>
  <c r="G42" i="2"/>
  <c r="C43" i="2"/>
  <c r="D43" i="2"/>
  <c r="E43" i="2"/>
  <c r="F43" i="2"/>
  <c r="G43" i="2"/>
  <c r="C44" i="2"/>
  <c r="D44" i="2"/>
  <c r="E44" i="2"/>
  <c r="F44" i="2"/>
  <c r="G44" i="2"/>
  <c r="C45" i="2"/>
  <c r="D45" i="2"/>
  <c r="E45" i="2"/>
  <c r="F45" i="2"/>
  <c r="G45" i="2"/>
  <c r="C46" i="2"/>
  <c r="D46" i="2"/>
  <c r="E46" i="2"/>
  <c r="F46" i="2"/>
  <c r="G46" i="2"/>
  <c r="C47" i="2"/>
  <c r="D47" i="2"/>
  <c r="E47" i="2"/>
  <c r="F47" i="2"/>
  <c r="G47" i="2"/>
  <c r="C48" i="2"/>
  <c r="D48" i="2"/>
  <c r="E48" i="2"/>
  <c r="F48" i="2"/>
  <c r="G48" i="2"/>
  <c r="C49" i="2"/>
  <c r="D49" i="2"/>
  <c r="E49" i="2"/>
  <c r="F49" i="2"/>
  <c r="G49" i="2"/>
  <c r="C50" i="2"/>
  <c r="D50" i="2"/>
  <c r="E50" i="2"/>
  <c r="F50" i="2"/>
  <c r="G50" i="2"/>
  <c r="C51" i="2"/>
  <c r="D51" i="2"/>
  <c r="E51" i="2"/>
  <c r="F51" i="2"/>
  <c r="G51" i="2"/>
  <c r="C52" i="2"/>
  <c r="D52" i="2"/>
  <c r="E52" i="2"/>
  <c r="F52" i="2"/>
  <c r="G52" i="2"/>
  <c r="C53" i="2"/>
  <c r="D53" i="2"/>
  <c r="E53" i="2"/>
  <c r="F53" i="2"/>
  <c r="G53" i="2"/>
  <c r="C54" i="2"/>
  <c r="D54" i="2"/>
  <c r="E54" i="2"/>
  <c r="F54" i="2"/>
  <c r="G54" i="2"/>
  <c r="C55" i="2"/>
  <c r="D55" i="2"/>
  <c r="E55" i="2"/>
  <c r="F55" i="2"/>
  <c r="G55" i="2"/>
  <c r="C56" i="2"/>
  <c r="D56" i="2"/>
  <c r="E56" i="2"/>
  <c r="F56" i="2"/>
  <c r="G56" i="2"/>
  <c r="C57" i="2"/>
  <c r="D57" i="2"/>
  <c r="E57" i="2"/>
  <c r="F57" i="2"/>
  <c r="G57" i="2"/>
  <c r="C58" i="2"/>
  <c r="D58" i="2"/>
  <c r="E58" i="2"/>
  <c r="F58" i="2"/>
  <c r="G58" i="2"/>
  <c r="C59" i="2"/>
  <c r="D59" i="2"/>
  <c r="E59" i="2"/>
  <c r="F59" i="2"/>
  <c r="G59" i="2"/>
  <c r="C60" i="2"/>
  <c r="D60" i="2"/>
  <c r="E60" i="2"/>
  <c r="F60" i="2"/>
  <c r="G60" i="2"/>
  <c r="C61" i="2"/>
  <c r="D61" i="2"/>
  <c r="E61" i="2"/>
  <c r="F61" i="2"/>
  <c r="G61" i="2"/>
  <c r="C62" i="2"/>
  <c r="D62" i="2"/>
  <c r="E62" i="2"/>
  <c r="F62" i="2"/>
  <c r="G62" i="2"/>
  <c r="C63" i="2"/>
  <c r="D63" i="2"/>
  <c r="E63" i="2"/>
  <c r="F63" i="2"/>
  <c r="G63" i="2"/>
  <c r="C64" i="2"/>
  <c r="D64" i="2"/>
  <c r="E64" i="2"/>
  <c r="F64" i="2"/>
  <c r="G64" i="2"/>
  <c r="C65" i="2"/>
  <c r="D65" i="2"/>
  <c r="E65" i="2"/>
  <c r="F65" i="2"/>
  <c r="G65" i="2"/>
  <c r="C66" i="2"/>
  <c r="D66" i="2"/>
  <c r="E66" i="2"/>
  <c r="F66" i="2"/>
  <c r="G66" i="2"/>
  <c r="C67" i="2"/>
  <c r="D67" i="2"/>
  <c r="E67" i="2"/>
  <c r="F67" i="2"/>
  <c r="G67" i="2"/>
  <c r="C68" i="2"/>
  <c r="D68" i="2"/>
  <c r="E68" i="2"/>
  <c r="F68" i="2"/>
  <c r="G68" i="2"/>
  <c r="C69" i="2"/>
  <c r="D69" i="2"/>
  <c r="E69" i="2"/>
  <c r="F69" i="2"/>
  <c r="G69" i="2"/>
  <c r="C70" i="2"/>
  <c r="D70" i="2"/>
  <c r="E70" i="2"/>
  <c r="F70" i="2"/>
  <c r="G70" i="2"/>
  <c r="C71" i="2"/>
  <c r="D71" i="2"/>
  <c r="E71" i="2"/>
  <c r="F71" i="2"/>
  <c r="G71" i="2"/>
  <c r="C72" i="2"/>
  <c r="D72" i="2"/>
  <c r="E72" i="2"/>
  <c r="F72" i="2"/>
  <c r="G72" i="2"/>
  <c r="C73" i="2"/>
  <c r="D73" i="2"/>
  <c r="E73" i="2"/>
  <c r="F73" i="2"/>
  <c r="G73" i="2"/>
  <c r="C74" i="2"/>
  <c r="D74" i="2"/>
  <c r="E74" i="2"/>
  <c r="F74" i="2"/>
  <c r="G74" i="2"/>
  <c r="C75" i="2"/>
  <c r="D75" i="2"/>
  <c r="E75" i="2"/>
  <c r="F75" i="2"/>
  <c r="G75" i="2"/>
  <c r="C76" i="2"/>
  <c r="D76" i="2"/>
  <c r="E76" i="2"/>
  <c r="F76" i="2"/>
  <c r="G76" i="2"/>
  <c r="C77" i="2"/>
  <c r="D77" i="2"/>
  <c r="E77" i="2"/>
  <c r="F77" i="2"/>
  <c r="G77" i="2"/>
  <c r="C78" i="2"/>
  <c r="D78" i="2"/>
  <c r="E78" i="2"/>
  <c r="F78" i="2"/>
  <c r="G78" i="2"/>
  <c r="C79" i="2"/>
  <c r="D79" i="2"/>
  <c r="E79" i="2"/>
  <c r="F79" i="2"/>
  <c r="G79" i="2"/>
  <c r="C80" i="2"/>
  <c r="D80" i="2"/>
  <c r="E80" i="2"/>
  <c r="F80" i="2"/>
  <c r="G80" i="2"/>
  <c r="C81" i="2"/>
  <c r="D81" i="2"/>
  <c r="E81" i="2"/>
  <c r="F81" i="2"/>
  <c r="G81" i="2"/>
  <c r="C82" i="2"/>
  <c r="D82" i="2"/>
  <c r="E82" i="2"/>
  <c r="F82" i="2"/>
  <c r="G82" i="2"/>
  <c r="C83" i="2"/>
  <c r="D83" i="2"/>
  <c r="E83" i="2"/>
  <c r="F83" i="2"/>
  <c r="G83" i="2"/>
  <c r="C84" i="2"/>
  <c r="D84" i="2"/>
  <c r="E84" i="2"/>
  <c r="F84" i="2"/>
  <c r="G84" i="2"/>
  <c r="C85" i="2"/>
  <c r="D85" i="2"/>
  <c r="E85" i="2"/>
  <c r="F85" i="2"/>
  <c r="G85" i="2"/>
  <c r="C86" i="2"/>
  <c r="D86" i="2"/>
  <c r="E86" i="2"/>
  <c r="F86" i="2"/>
  <c r="G86" i="2"/>
  <c r="C87" i="2"/>
  <c r="D87" i="2"/>
  <c r="E87" i="2"/>
  <c r="F87" i="2"/>
  <c r="G87" i="2"/>
  <c r="C88" i="2"/>
  <c r="D88" i="2"/>
  <c r="E88" i="2"/>
  <c r="F88" i="2"/>
  <c r="G88" i="2"/>
  <c r="C89" i="2"/>
  <c r="D89" i="2"/>
  <c r="E89" i="2"/>
  <c r="F89" i="2"/>
  <c r="G89" i="2"/>
  <c r="C90" i="2"/>
  <c r="D90" i="2"/>
  <c r="E90" i="2"/>
  <c r="F90" i="2"/>
  <c r="G90" i="2"/>
  <c r="C91" i="2"/>
  <c r="D91" i="2"/>
  <c r="E91" i="2"/>
  <c r="F91" i="2"/>
  <c r="G91" i="2"/>
  <c r="C92" i="2"/>
  <c r="D92" i="2"/>
  <c r="E92" i="2"/>
  <c r="F92" i="2"/>
  <c r="G92" i="2"/>
  <c r="C93" i="2"/>
  <c r="D93" i="2"/>
  <c r="E93" i="2"/>
  <c r="F93" i="2"/>
  <c r="G93" i="2"/>
  <c r="C94" i="2"/>
  <c r="D94" i="2"/>
  <c r="E94" i="2"/>
  <c r="F94" i="2"/>
  <c r="G94" i="2"/>
  <c r="C95" i="2"/>
  <c r="D95" i="2"/>
  <c r="E95" i="2"/>
  <c r="F95" i="2"/>
  <c r="G95" i="2"/>
  <c r="C96" i="2"/>
  <c r="D96" i="2"/>
  <c r="E96" i="2"/>
  <c r="F96" i="2"/>
  <c r="G96" i="2"/>
  <c r="C97" i="2"/>
  <c r="D97" i="2"/>
  <c r="E97" i="2"/>
  <c r="F97" i="2"/>
  <c r="G97" i="2"/>
  <c r="C98" i="2"/>
  <c r="D98" i="2"/>
  <c r="E98" i="2"/>
  <c r="F98" i="2"/>
  <c r="G98" i="2"/>
  <c r="C99" i="2"/>
  <c r="D99" i="2"/>
  <c r="E99" i="2"/>
  <c r="F99" i="2"/>
  <c r="G99" i="2"/>
  <c r="C100" i="2"/>
  <c r="D100" i="2"/>
  <c r="E100" i="2"/>
  <c r="F100" i="2"/>
  <c r="G100" i="2"/>
  <c r="C101" i="2"/>
  <c r="D101" i="2"/>
  <c r="E101" i="2"/>
  <c r="F101" i="2"/>
  <c r="G101" i="2"/>
  <c r="C102" i="2"/>
  <c r="D102" i="2"/>
  <c r="E102" i="2"/>
  <c r="F102" i="2"/>
  <c r="G102" i="2"/>
  <c r="G3" i="2"/>
  <c r="F3" i="2"/>
  <c r="E3" i="2"/>
  <c r="D3" i="2"/>
  <c r="C3" i="2"/>
  <c r="B4" i="2"/>
  <c r="B5" i="2"/>
  <c r="B6" i="2"/>
  <c r="B7" i="2"/>
  <c r="B8" i="2"/>
  <c r="B9" i="2"/>
  <c r="B10" i="2"/>
  <c r="B11" i="2"/>
  <c r="B12" i="2"/>
  <c r="B13" i="2"/>
  <c r="B14" i="2"/>
  <c r="B15" i="2"/>
  <c r="B16" i="2"/>
  <c r="B17" i="2"/>
  <c r="B18" i="2"/>
  <c r="B19" i="2"/>
  <c r="B20" i="2"/>
  <c r="B21" i="2"/>
  <c r="B22" i="2"/>
  <c r="B23" i="2"/>
  <c r="B24" i="2"/>
  <c r="B25" i="2"/>
  <c r="B26" i="2"/>
  <c r="B27" i="2"/>
  <c r="B28" i="2"/>
  <c r="B29" i="2"/>
  <c r="B30" i="2"/>
  <c r="B31" i="2"/>
  <c r="B32" i="2"/>
  <c r="B33" i="2"/>
  <c r="B34" i="2"/>
  <c r="B35" i="2"/>
  <c r="B36" i="2"/>
  <c r="B37" i="2"/>
  <c r="B38" i="2"/>
  <c r="B39" i="2"/>
  <c r="B40" i="2"/>
  <c r="B41" i="2"/>
  <c r="B42" i="2"/>
  <c r="B43" i="2"/>
  <c r="B44" i="2"/>
  <c r="B45" i="2"/>
  <c r="B46" i="2"/>
  <c r="B47" i="2"/>
  <c r="B48" i="2"/>
  <c r="B49" i="2"/>
  <c r="B50" i="2"/>
  <c r="B51" i="2"/>
  <c r="B52" i="2"/>
  <c r="B53" i="2"/>
  <c r="B54" i="2"/>
  <c r="B55" i="2"/>
  <c r="B56" i="2"/>
  <c r="B57" i="2"/>
  <c r="B58" i="2"/>
  <c r="B59" i="2"/>
  <c r="B60" i="2"/>
  <c r="B61" i="2"/>
  <c r="B62" i="2"/>
  <c r="B63" i="2"/>
  <c r="B64" i="2"/>
  <c r="B65" i="2"/>
  <c r="B66" i="2"/>
  <c r="B67" i="2"/>
  <c r="B68" i="2"/>
  <c r="B69" i="2"/>
  <c r="B70" i="2"/>
  <c r="B71" i="2"/>
  <c r="B72" i="2"/>
  <c r="B73" i="2"/>
  <c r="B74" i="2"/>
  <c r="B75" i="2"/>
  <c r="B76" i="2"/>
  <c r="B77" i="2"/>
  <c r="B78" i="2"/>
  <c r="B79" i="2"/>
  <c r="B80" i="2"/>
  <c r="B81" i="2"/>
  <c r="B82" i="2"/>
  <c r="B83" i="2"/>
  <c r="B84" i="2"/>
  <c r="B85" i="2"/>
  <c r="B86" i="2"/>
  <c r="B87" i="2"/>
  <c r="B88" i="2"/>
  <c r="B89" i="2"/>
  <c r="B90" i="2"/>
  <c r="B91" i="2"/>
  <c r="B92" i="2"/>
  <c r="B93" i="2"/>
  <c r="B94" i="2"/>
  <c r="B95" i="2"/>
  <c r="B96" i="2"/>
  <c r="B97" i="2"/>
  <c r="B98" i="2"/>
  <c r="B99" i="2"/>
  <c r="B100" i="2"/>
  <c r="B101" i="2"/>
  <c r="B102" i="2"/>
  <c r="B3" i="2"/>
  <c r="AS5" i="7" l="1" a="1"/>
  <c r="AS6" i="7" s="1" a="1"/>
  <c r="AS7" i="7" s="1" a="1"/>
  <c r="AS8" i="7" s="1" a="1"/>
  <c r="AS9" i="7" s="1" a="1"/>
  <c r="AS10" i="7" s="1" a="1"/>
  <c r="AS11" i="7" s="1" a="1"/>
  <c r="AS12" i="7" s="1" a="1"/>
  <c r="AS13" i="7" s="1" a="1"/>
  <c r="AS14" i="7" s="1" a="1"/>
  <c r="AS15" i="7" s="1" a="1"/>
  <c r="AS16" i="7" s="1" a="1"/>
  <c r="AS17" i="7" s="1" a="1"/>
  <c r="AS18" i="7" s="1" a="1"/>
  <c r="AS19" i="7" s="1" a="1"/>
  <c r="AT5" i="7" a="1"/>
  <c r="AT6" i="7" s="1" a="1"/>
  <c r="AT7" i="7" s="1" a="1"/>
  <c r="AT8" i="7" s="1" a="1"/>
  <c r="AT9" i="7" s="1" a="1"/>
  <c r="AT10" i="7" s="1" a="1"/>
  <c r="AT11" i="7" s="1" a="1"/>
  <c r="AT12" i="7" s="1" a="1"/>
  <c r="AT13" i="7" s="1" a="1"/>
  <c r="AT14" i="7" s="1" a="1"/>
  <c r="AT15" i="7" s="1" a="1"/>
  <c r="AT16" i="7" s="1" a="1"/>
  <c r="AT17" i="7" s="1" a="1"/>
  <c r="AT18" i="7" s="1" a="1"/>
  <c r="AT19" i="7" s="1" a="1"/>
  <c r="AT20" i="7" s="1" a="1"/>
  <c r="AU5" i="7" a="1"/>
  <c r="AU6" i="7" s="1" a="1"/>
  <c r="AU7" i="7" s="1" a="1"/>
  <c r="AU8" i="7" s="1" a="1"/>
  <c r="AU9" i="7" s="1" a="1"/>
  <c r="AU10" i="7" s="1" a="1"/>
  <c r="AU11" i="7" s="1" a="1"/>
  <c r="AU12" i="7" s="1" a="1"/>
  <c r="AU13" i="7" s="1" a="1"/>
  <c r="AU14" i="7" s="1" a="1"/>
  <c r="AU15" i="7" s="1" a="1"/>
  <c r="AU16" i="7" s="1" a="1"/>
  <c r="AU17" i="7" s="1" a="1"/>
  <c r="AU18" i="7" s="1" a="1"/>
  <c r="AV5" i="7" a="1"/>
  <c r="AV6" i="7" s="1" a="1"/>
  <c r="AV7" i="7" s="1" a="1"/>
  <c r="AV8" i="7" s="1" a="1"/>
  <c r="AV9" i="7" s="1" a="1"/>
  <c r="AV10" i="7" s="1" a="1"/>
  <c r="AV11" i="7" s="1" a="1"/>
  <c r="AV12" i="7" s="1" a="1"/>
  <c r="AV13" i="7" s="1" a="1"/>
  <c r="AV14" i="7" s="1" a="1"/>
  <c r="AV15" i="7" s="1" a="1"/>
  <c r="AV16" i="7" s="1" a="1"/>
  <c r="AV17" i="7" s="1" a="1"/>
  <c r="AV18" i="7" s="1" a="1"/>
  <c r="AV19" i="7" s="1" a="1"/>
  <c r="BA44" i="7" a="1"/>
  <c r="BA51" i="7" a="1"/>
  <c r="BA56" i="7" a="1"/>
  <c r="BA62" i="7" a="1"/>
  <c r="BA67" i="7" a="1"/>
  <c r="BA72" i="7" a="1"/>
  <c r="BA77" i="7" a="1"/>
  <c r="BA81" i="7" a="1"/>
  <c r="BA87" i="7" a="1"/>
  <c r="BA94" i="7" a="1"/>
  <c r="BA99" i="7" a="1"/>
  <c r="BA107" i="7" a="1"/>
  <c r="BC107" i="7" s="1" a="1"/>
  <c r="BA4" i="7" a="1"/>
  <c r="BC4" i="7" s="1" a="1"/>
  <c r="BA43" i="7" a="1"/>
  <c r="BA49" i="7" a="1"/>
  <c r="BA46" i="7" a="1"/>
  <c r="BA52" i="7" a="1"/>
  <c r="BA59" i="7" a="1"/>
  <c r="BA65" i="7" a="1"/>
  <c r="BA70" i="7" a="1"/>
  <c r="BA75" i="7" a="1"/>
  <c r="BA80" i="7" a="1"/>
  <c r="BA86" i="7" a="1"/>
  <c r="BA91" i="7" a="1"/>
  <c r="BA97" i="7" a="1"/>
  <c r="BA102" i="7" a="1"/>
  <c r="BA108" i="7" a="1"/>
  <c r="BC108" i="7" s="1" a="1"/>
  <c r="BA50" i="7" a="1"/>
  <c r="BA85" i="7" a="1"/>
  <c r="BA100" i="7" a="1"/>
  <c r="BA5" i="7" a="1"/>
  <c r="BA47" i="7" a="1"/>
  <c r="BA55" i="7" a="1"/>
  <c r="BA60" i="7" a="1"/>
  <c r="BA64" i="7" a="1"/>
  <c r="BA69" i="7" a="1"/>
  <c r="BA74" i="7" a="1"/>
  <c r="BA83" i="7" a="1"/>
  <c r="BA88" i="7" a="1"/>
  <c r="BA93" i="7" a="1"/>
  <c r="BA98" i="7" a="1"/>
  <c r="BA104" i="7" a="1"/>
  <c r="BC104" i="7" s="1" a="1"/>
  <c r="BA110" i="7" a="1"/>
  <c r="BC110" i="7" s="1" a="1"/>
  <c r="BA41" i="7" a="1"/>
  <c r="BA54" i="7" a="1"/>
  <c r="BA58" i="7" a="1"/>
  <c r="BA63" i="7" a="1"/>
  <c r="BA68" i="7" a="1"/>
  <c r="BA73" i="7" a="1"/>
  <c r="BA78" i="7" a="1"/>
  <c r="BA84" i="7" a="1"/>
  <c r="BA89" i="7" a="1"/>
  <c r="BA95" i="7" a="1"/>
  <c r="BA101" i="7" a="1"/>
  <c r="BA105" i="7" a="1"/>
  <c r="BC105" i="7" s="1" a="1"/>
  <c r="BA45" i="7" a="1"/>
  <c r="BA53" i="7" a="1"/>
  <c r="BA57" i="7" a="1"/>
  <c r="BA66" i="7" a="1"/>
  <c r="BA71" i="7" a="1"/>
  <c r="BA76" i="7" a="1"/>
  <c r="BA82" i="7" a="1"/>
  <c r="BA90" i="7" a="1"/>
  <c r="BA96" i="7" a="1"/>
  <c r="BA103" i="7" a="1"/>
  <c r="BA109" i="7" a="1"/>
  <c r="BC109" i="7" s="1" a="1"/>
  <c r="BA48" i="7" a="1"/>
  <c r="BA61" i="7" a="1"/>
  <c r="BA79" i="7" a="1"/>
  <c r="BA92" i="7" a="1"/>
  <c r="BA106" i="7" a="1"/>
  <c r="BC106" i="7" s="1" a="1"/>
  <c r="B38" i="14"/>
  <c r="B83" i="14"/>
  <c r="B93" i="14"/>
  <c r="B98" i="14"/>
  <c r="B81" i="14"/>
  <c r="B4" i="14"/>
  <c r="B9" i="14"/>
  <c r="B10" i="14"/>
  <c r="B15" i="14"/>
  <c r="B18" i="14"/>
  <c r="B19" i="14"/>
  <c r="B23" i="14"/>
  <c r="B27" i="14"/>
  <c r="B31" i="14"/>
  <c r="B34" i="14"/>
  <c r="B37" i="14"/>
  <c r="B41" i="14"/>
  <c r="B45" i="14"/>
  <c r="B50" i="14"/>
  <c r="B5" i="14"/>
  <c r="B8" i="14"/>
  <c r="B12" i="14"/>
  <c r="B13" i="14"/>
  <c r="B16" i="14"/>
  <c r="B21" i="14"/>
  <c r="B24" i="14"/>
  <c r="B26" i="14"/>
  <c r="B29" i="14"/>
  <c r="B33" i="14"/>
  <c r="B36" i="14"/>
  <c r="B39" i="14"/>
  <c r="B42" i="14"/>
  <c r="B44" i="14"/>
  <c r="B47" i="14"/>
  <c r="B48" i="14"/>
  <c r="B51" i="14"/>
  <c r="B53" i="14"/>
  <c r="B55" i="14"/>
  <c r="B57" i="14"/>
  <c r="B59" i="14"/>
  <c r="B60" i="14"/>
  <c r="B62" i="14"/>
  <c r="B64" i="14"/>
  <c r="B67" i="14"/>
  <c r="B68" i="14"/>
  <c r="B70" i="14"/>
  <c r="B72" i="14"/>
  <c r="B74" i="14"/>
  <c r="B75" i="14"/>
  <c r="B77" i="14"/>
  <c r="B79" i="14"/>
  <c r="B82" i="14"/>
  <c r="B85" i="14"/>
  <c r="B88" i="14"/>
  <c r="B89" i="14"/>
  <c r="B91" i="14"/>
  <c r="B95" i="14"/>
  <c r="B97" i="14"/>
  <c r="B100" i="14"/>
  <c r="B102" i="14"/>
  <c r="B6" i="14"/>
  <c r="B7" i="14"/>
  <c r="B11" i="14"/>
  <c r="B14" i="14"/>
  <c r="B17" i="14"/>
  <c r="B20" i="14"/>
  <c r="B22" i="14"/>
  <c r="B25" i="14"/>
  <c r="B28" i="14"/>
  <c r="B30" i="14"/>
  <c r="B32" i="14"/>
  <c r="B35" i="14"/>
  <c r="B40" i="14"/>
  <c r="B43" i="14"/>
  <c r="B46" i="14"/>
  <c r="B49" i="14"/>
  <c r="B52" i="14"/>
  <c r="B54" i="14"/>
  <c r="B56" i="14"/>
  <c r="B58" i="14"/>
  <c r="B61" i="14"/>
  <c r="B63" i="14"/>
  <c r="B65" i="14"/>
  <c r="B66" i="14"/>
  <c r="B69" i="14"/>
  <c r="B71" i="14"/>
  <c r="B73" i="14"/>
  <c r="B76" i="14"/>
  <c r="B78" i="14"/>
  <c r="B80" i="14"/>
  <c r="B84" i="14"/>
  <c r="B86" i="14"/>
  <c r="B87" i="14"/>
  <c r="B90" i="14"/>
  <c r="B92" i="14"/>
  <c r="B94" i="14"/>
  <c r="B96" i="14"/>
  <c r="B99" i="14"/>
  <c r="B101" i="14"/>
  <c r="B3" i="14"/>
  <c r="C3" i="13"/>
  <c r="BA6" i="7" a="1"/>
  <c r="BA10" i="7" a="1"/>
  <c r="BA13" i="7" a="1"/>
  <c r="BA15" i="7" a="1"/>
  <c r="BA17" i="7" a="1"/>
  <c r="BA19" i="7" a="1"/>
  <c r="BA22" i="7" a="1"/>
  <c r="BA24" i="7" a="1"/>
  <c r="BA26" i="7" a="1"/>
  <c r="BA28" i="7" a="1"/>
  <c r="BA31" i="7" a="1"/>
  <c r="BA34" i="7" a="1"/>
  <c r="BA37" i="7" a="1"/>
  <c r="BA40" i="7" a="1"/>
  <c r="BA9" i="7" a="1"/>
  <c r="BA21" i="7" a="1"/>
  <c r="BA25" i="7" a="1"/>
  <c r="BA30" i="7" a="1"/>
  <c r="BA33" i="7" a="1"/>
  <c r="BA36" i="7" a="1"/>
  <c r="BA39" i="7" a="1"/>
  <c r="BA42" i="7" a="1"/>
  <c r="BA7" i="7" a="1"/>
  <c r="BA8" i="7" a="1"/>
  <c r="BA11" i="7" a="1"/>
  <c r="BA12" i="7" a="1"/>
  <c r="BA14" i="7" a="1"/>
  <c r="BA16" i="7" a="1"/>
  <c r="BA18" i="7" a="1"/>
  <c r="BA20" i="7" a="1"/>
  <c r="BA23" i="7" a="1"/>
  <c r="BA27" i="7" a="1"/>
  <c r="BA29" i="7" a="1"/>
  <c r="BA32" i="7" a="1"/>
  <c r="BA35" i="7" a="1"/>
  <c r="BA38" i="7" a="1"/>
  <c r="AX4" i="7"/>
  <c r="AX5" i="7"/>
  <c r="C4" i="14" s="1"/>
  <c r="AX6" i="7"/>
  <c r="C5" i="14" s="1"/>
  <c r="AX7" i="7"/>
  <c r="C6" i="14" s="1"/>
  <c r="AX8" i="7"/>
  <c r="C7" i="14" s="1"/>
  <c r="AX9" i="7"/>
  <c r="C8" i="14" s="1"/>
  <c r="AX10" i="7"/>
  <c r="C9" i="14" s="1"/>
  <c r="AX11" i="7"/>
  <c r="C10" i="14" s="1"/>
  <c r="AX12" i="7"/>
  <c r="C11" i="14" s="1"/>
  <c r="AX13" i="7"/>
  <c r="C12" i="14" s="1"/>
  <c r="AX14" i="7"/>
  <c r="C13" i="14" s="1"/>
  <c r="AX15" i="7"/>
  <c r="C14" i="14" s="1"/>
  <c r="AX16" i="7"/>
  <c r="C15" i="14" s="1"/>
  <c r="AX17" i="7"/>
  <c r="C16" i="14" s="1"/>
  <c r="AX18" i="7"/>
  <c r="C17" i="14" s="1"/>
  <c r="AX19" i="7"/>
  <c r="C18" i="14" s="1"/>
  <c r="AX20" i="7"/>
  <c r="C19" i="14" s="1"/>
  <c r="AX21" i="7"/>
  <c r="C20" i="14" s="1"/>
  <c r="AX22" i="7"/>
  <c r="C21" i="14" s="1"/>
  <c r="AX23" i="7"/>
  <c r="C22" i="14" s="1"/>
  <c r="AX24" i="7"/>
  <c r="C23" i="14" s="1"/>
  <c r="AX25" i="7"/>
  <c r="C24" i="14" s="1"/>
  <c r="AX26" i="7"/>
  <c r="C25" i="14" s="1"/>
  <c r="AX27" i="7"/>
  <c r="C26" i="14" s="1"/>
  <c r="AX28" i="7"/>
  <c r="C27" i="14" s="1"/>
  <c r="AX29" i="7"/>
  <c r="C28" i="14" s="1"/>
  <c r="AX30" i="7"/>
  <c r="C29" i="14" s="1"/>
  <c r="AX31" i="7"/>
  <c r="C30" i="14" s="1"/>
  <c r="AX32" i="7"/>
  <c r="C31" i="14" s="1"/>
  <c r="AX33" i="7"/>
  <c r="C32" i="14" s="1"/>
  <c r="AX36" i="7"/>
  <c r="C35" i="14" s="1"/>
  <c r="AX38" i="7"/>
  <c r="C37" i="14" s="1"/>
  <c r="AX39" i="7"/>
  <c r="C38" i="14" s="1"/>
  <c r="AX40" i="7"/>
  <c r="C39" i="14" s="1"/>
  <c r="AX41" i="7"/>
  <c r="C40" i="14" s="1"/>
  <c r="AX42" i="7"/>
  <c r="C41" i="14" s="1"/>
  <c r="AX43" i="7"/>
  <c r="C42" i="14" s="1"/>
  <c r="AX44" i="7"/>
  <c r="C43" i="14" s="1"/>
  <c r="AX45" i="7"/>
  <c r="C44" i="14" s="1"/>
  <c r="AX46" i="7"/>
  <c r="C45" i="14" s="1"/>
  <c r="AX47" i="7"/>
  <c r="C46" i="14" s="1"/>
  <c r="AX49" i="7"/>
  <c r="C48" i="14" s="1"/>
  <c r="AX50" i="7"/>
  <c r="C49" i="14" s="1"/>
  <c r="AX54" i="7"/>
  <c r="C53" i="14" s="1"/>
  <c r="AX57" i="7"/>
  <c r="C56" i="14" s="1"/>
  <c r="AX63" i="7"/>
  <c r="C62" i="14" s="1"/>
  <c r="AX71" i="7"/>
  <c r="C70" i="14" s="1"/>
  <c r="AX78" i="7"/>
  <c r="C77" i="14" s="1"/>
  <c r="AX84" i="7"/>
  <c r="C83" i="14" s="1"/>
  <c r="AX90" i="7"/>
  <c r="C89" i="14" s="1"/>
  <c r="AX102" i="7"/>
  <c r="C101" i="14" s="1"/>
  <c r="AX109" i="7"/>
  <c r="AX88" i="7"/>
  <c r="C87" i="14" s="1"/>
  <c r="AX34" i="7"/>
  <c r="C33" i="14" s="1"/>
  <c r="AX52" i="7"/>
  <c r="C51" i="14" s="1"/>
  <c r="AX56" i="7"/>
  <c r="C55" i="14" s="1"/>
  <c r="AX58" i="7"/>
  <c r="C57" i="14" s="1"/>
  <c r="AX62" i="7"/>
  <c r="C61" i="14" s="1"/>
  <c r="AX66" i="7"/>
  <c r="C65" i="14" s="1"/>
  <c r="AX72" i="7"/>
  <c r="C71" i="14" s="1"/>
  <c r="AX81" i="7"/>
  <c r="C80" i="14" s="1"/>
  <c r="AX91" i="7"/>
  <c r="C90" i="14" s="1"/>
  <c r="AX96" i="7"/>
  <c r="C95" i="14" s="1"/>
  <c r="AX98" i="7"/>
  <c r="C97" i="14" s="1"/>
  <c r="AX105" i="7"/>
  <c r="AX107" i="7"/>
  <c r="AX35" i="7"/>
  <c r="C34" i="14" s="1"/>
  <c r="AX53" i="7"/>
  <c r="C52" i="14" s="1"/>
  <c r="AX60" i="7"/>
  <c r="C59" i="14" s="1"/>
  <c r="AX65" i="7"/>
  <c r="C64" i="14" s="1"/>
  <c r="AX68" i="7"/>
  <c r="C67" i="14" s="1"/>
  <c r="AX76" i="7"/>
  <c r="C75" i="14" s="1"/>
  <c r="AX77" i="7"/>
  <c r="C76" i="14" s="1"/>
  <c r="AX80" i="7"/>
  <c r="C79" i="14" s="1"/>
  <c r="AX85" i="7"/>
  <c r="C84" i="14" s="1"/>
  <c r="AX94" i="7"/>
  <c r="C93" i="14" s="1"/>
  <c r="AX100" i="7"/>
  <c r="C99" i="14" s="1"/>
  <c r="AX106" i="7"/>
  <c r="AX37" i="7"/>
  <c r="C36" i="14" s="1"/>
  <c r="AX51" i="7"/>
  <c r="C50" i="14" s="1"/>
  <c r="AX55" i="7"/>
  <c r="C54" i="14" s="1"/>
  <c r="AX59" i="7"/>
  <c r="C58" i="14" s="1"/>
  <c r="AX61" i="7"/>
  <c r="C60" i="14" s="1"/>
  <c r="AX69" i="7"/>
  <c r="C68" i="14" s="1"/>
  <c r="AX74" i="7"/>
  <c r="C73" i="14" s="1"/>
  <c r="AX83" i="7"/>
  <c r="C82" i="14" s="1"/>
  <c r="AX86" i="7"/>
  <c r="C85" i="14" s="1"/>
  <c r="AX87" i="7"/>
  <c r="C86" i="14" s="1"/>
  <c r="AX92" i="7"/>
  <c r="C91" i="14" s="1"/>
  <c r="AX95" i="7"/>
  <c r="C94" i="14" s="1"/>
  <c r="AX99" i="7"/>
  <c r="C98" i="14" s="1"/>
  <c r="AX104" i="7"/>
  <c r="AX108" i="7"/>
  <c r="AX48" i="7"/>
  <c r="C47" i="14" s="1"/>
  <c r="AX64" i="7"/>
  <c r="C63" i="14" s="1"/>
  <c r="AX67" i="7"/>
  <c r="C66" i="14" s="1"/>
  <c r="AX70" i="7"/>
  <c r="C69" i="14" s="1"/>
  <c r="AX73" i="7"/>
  <c r="C72" i="14" s="1"/>
  <c r="AX75" i="7"/>
  <c r="C74" i="14" s="1"/>
  <c r="AX79" i="7"/>
  <c r="C78" i="14" s="1"/>
  <c r="AX82" i="7"/>
  <c r="C81" i="14" s="1"/>
  <c r="AX89" i="7"/>
  <c r="C88" i="14" s="1"/>
  <c r="AX93" i="7"/>
  <c r="C92" i="14" s="1"/>
  <c r="AX97" i="7"/>
  <c r="C96" i="14" s="1"/>
  <c r="AX101" i="7"/>
  <c r="C100" i="14" s="1"/>
  <c r="AX103" i="7"/>
  <c r="C102" i="14" s="1"/>
  <c r="AX110" i="7"/>
  <c r="I3" i="13"/>
  <c r="G3" i="13"/>
  <c r="E3" i="13"/>
  <c r="AM5" i="7" a="1"/>
  <c r="AM6" i="7" s="1" a="1"/>
  <c r="AM7" i="7" s="1" a="1"/>
  <c r="AM8" i="7" s="1" a="1"/>
  <c r="AM9" i="7" s="1" a="1"/>
  <c r="AM10" i="7" s="1" a="1"/>
  <c r="AM11" i="7" s="1" a="1"/>
  <c r="AM12" i="7" s="1" a="1"/>
  <c r="AM13" i="7" s="1" a="1"/>
  <c r="AM14" i="7" s="1" a="1"/>
  <c r="AM15" i="7" s="1" a="1"/>
  <c r="AM16" i="7" s="1" a="1"/>
  <c r="AM17" i="7" s="1" a="1"/>
  <c r="AM18" i="7" s="1" a="1"/>
  <c r="AM19" i="7" s="1" a="1"/>
  <c r="AM20" i="7" s="1" a="1"/>
  <c r="AM21" i="7" s="1" a="1"/>
  <c r="AM22" i="7" s="1" a="1"/>
  <c r="AM23" i="7" s="1" a="1"/>
  <c r="AM24" i="7" s="1" a="1"/>
  <c r="AM25" i="7" s="1" a="1"/>
  <c r="AN5" i="7" a="1"/>
  <c r="AN6" i="7" s="1" a="1"/>
  <c r="AN7" i="7" s="1" a="1"/>
  <c r="AN8" i="7" s="1" a="1"/>
  <c r="AN9" i="7" s="1" a="1"/>
  <c r="AN10" i="7" s="1" a="1"/>
  <c r="AN11" i="7" s="1" a="1"/>
  <c r="AN12" i="7" s="1" a="1"/>
  <c r="AN13" i="7" s="1" a="1"/>
  <c r="AN14" i="7" s="1" a="1"/>
  <c r="AN15" i="7" s="1" a="1"/>
  <c r="AN16" i="7" s="1" a="1"/>
  <c r="AN17" i="7" s="1" a="1"/>
  <c r="AN18" i="7" s="1" a="1"/>
  <c r="AN19" i="7" s="1" a="1"/>
  <c r="AN20" i="7" s="1" a="1"/>
  <c r="AN21" i="7" s="1" a="1"/>
  <c r="AN22" i="7" s="1" a="1"/>
  <c r="AN23" i="7" s="1" a="1"/>
  <c r="AN24" i="7" s="1" a="1"/>
  <c r="AN25" i="7" s="1" a="1"/>
  <c r="AO5" i="7" a="1"/>
  <c r="AO6" i="7" s="1" a="1"/>
  <c r="AO7" i="7" s="1" a="1"/>
  <c r="AO8" i="7" s="1" a="1"/>
  <c r="AO9" i="7" s="1" a="1"/>
  <c r="AO10" i="7" s="1" a="1"/>
  <c r="AO11" i="7" s="1" a="1"/>
  <c r="AO12" i="7" s="1" a="1"/>
  <c r="AO13" i="7" s="1" a="1"/>
  <c r="AO14" i="7" s="1" a="1"/>
  <c r="AO15" i="7" s="1" a="1"/>
  <c r="AO16" i="7" s="1" a="1"/>
  <c r="AO17" i="7" s="1" a="1"/>
  <c r="AO18" i="7" s="1" a="1"/>
  <c r="AO19" i="7" s="1" a="1"/>
  <c r="AO20" i="7" s="1" a="1"/>
  <c r="AO21" i="7" s="1" a="1"/>
  <c r="AO22" i="7" s="1" a="1"/>
  <c r="AO23" i="7" s="1" a="1"/>
  <c r="AO24" i="7" s="1" a="1"/>
  <c r="AO25" i="7" s="1" a="1"/>
  <c r="AP5" i="7" a="1"/>
  <c r="AP6" i="7" s="1" a="1"/>
  <c r="AP7" i="7" s="1" a="1"/>
  <c r="AP8" i="7" s="1" a="1"/>
  <c r="AP9" i="7" s="1" a="1"/>
  <c r="AP10" i="7" s="1" a="1"/>
  <c r="AP11" i="7" s="1" a="1"/>
  <c r="AP12" i="7" s="1" a="1"/>
  <c r="AP13" i="7" s="1" a="1"/>
  <c r="AP14" i="7" s="1" a="1"/>
  <c r="AP15" i="7" s="1" a="1"/>
  <c r="AP16" i="7" s="1" a="1"/>
  <c r="AP17" i="7" s="1" a="1"/>
  <c r="AP18" i="7" s="1" a="1"/>
  <c r="AP19" i="7" s="1" a="1"/>
  <c r="AP20" i="7" s="1" a="1"/>
  <c r="AP21" i="7" s="1" a="1"/>
  <c r="AP22" i="7" s="1" a="1"/>
  <c r="AP23" i="7" s="1" a="1"/>
  <c r="AP24" i="7" s="1" a="1"/>
  <c r="AP25" i="7" s="1" a="1"/>
  <c r="AQ5" i="7" a="1"/>
  <c r="AQ6" i="7" s="1" a="1"/>
  <c r="AQ7" i="7" s="1" a="1"/>
  <c r="AQ8" i="7" s="1" a="1"/>
  <c r="AQ9" i="7" s="1" a="1"/>
  <c r="AQ10" i="7" s="1" a="1"/>
  <c r="AQ11" i="7" s="1" a="1"/>
  <c r="AQ12" i="7" s="1" a="1"/>
  <c r="AQ13" i="7" s="1" a="1"/>
  <c r="AQ14" i="7" s="1" a="1"/>
  <c r="AQ15" i="7" s="1" a="1"/>
  <c r="AQ16" i="7" s="1" a="1"/>
  <c r="AQ17" i="7" s="1" a="1"/>
  <c r="AQ18" i="7" s="1" a="1"/>
  <c r="AQ19" i="7" s="1" a="1"/>
  <c r="AQ20" i="7" s="1" a="1"/>
  <c r="AQ21" i="7" s="1" a="1"/>
  <c r="AQ22" i="7" s="1" a="1"/>
  <c r="AQ23" i="7" s="1" a="1"/>
  <c r="AQ24" i="7" s="1" a="1"/>
  <c r="AQ25" i="7" s="1" a="1"/>
  <c r="AR5" i="7" a="1"/>
  <c r="AR6" i="7" s="1" a="1"/>
  <c r="AR7" i="7" s="1" a="1"/>
  <c r="AR8" i="7" s="1" a="1"/>
  <c r="AR9" i="7" s="1" a="1"/>
  <c r="AR10" i="7" s="1" a="1"/>
  <c r="AR11" i="7" s="1" a="1"/>
  <c r="AR12" i="7" s="1" a="1"/>
  <c r="AR13" i="7" s="1" a="1"/>
  <c r="AR14" i="7" s="1" a="1"/>
  <c r="AR15" i="7" s="1" a="1"/>
  <c r="AR16" i="7" s="1" a="1"/>
  <c r="AR17" i="7" s="1" a="1"/>
  <c r="AR18" i="7" s="1" a="1"/>
  <c r="AR19" i="7" s="1" a="1"/>
  <c r="AR20" i="7" s="1" a="1"/>
  <c r="AR21" i="7" s="1" a="1"/>
  <c r="AR22" i="7" s="1" a="1"/>
  <c r="AR23" i="7" s="1" a="1"/>
  <c r="AR24" i="7" s="1" a="1"/>
  <c r="AR25" i="7" s="1" a="1"/>
  <c r="R5" i="7" a="1"/>
  <c r="R6" i="7" s="1" a="1"/>
  <c r="R7" i="7" s="1" a="1"/>
  <c r="R8" i="7" s="1" a="1"/>
  <c r="R9" i="7" s="1" a="1"/>
  <c r="R10" i="7" s="1" a="1"/>
  <c r="R11" i="7" s="1" a="1"/>
  <c r="R12" i="7" s="1" a="1"/>
  <c r="R13" i="7" s="1" a="1"/>
  <c r="R14" i="7" s="1" a="1"/>
  <c r="R15" i="7" s="1" a="1"/>
  <c r="R16" i="7" s="1" a="1"/>
  <c r="R17" i="7" s="1" a="1"/>
  <c r="R18" i="7" s="1" a="1"/>
  <c r="R19" i="7" s="1" a="1"/>
  <c r="R20" i="7" s="1" a="1"/>
  <c r="R21" i="7" s="1" a="1"/>
  <c r="R22" i="7" s="1" a="1"/>
  <c r="R23" i="7" s="1" a="1"/>
  <c r="R24" i="7" s="1" a="1"/>
  <c r="R25" i="7" s="1" a="1"/>
  <c r="S5" i="7" a="1"/>
  <c r="S6" i="7" s="1" a="1"/>
  <c r="S7" i="7" s="1" a="1"/>
  <c r="S8" i="7" s="1" a="1"/>
  <c r="S9" i="7" s="1" a="1"/>
  <c r="S10" i="7" s="1" a="1"/>
  <c r="S11" i="7" s="1" a="1"/>
  <c r="S12" i="7" s="1" a="1"/>
  <c r="S13" i="7" s="1" a="1"/>
  <c r="S14" i="7" s="1" a="1"/>
  <c r="S15" i="7" s="1" a="1"/>
  <c r="S16" i="7" s="1" a="1"/>
  <c r="S17" i="7" s="1" a="1"/>
  <c r="S18" i="7" s="1" a="1"/>
  <c r="S19" i="7" s="1" a="1"/>
  <c r="S20" i="7" s="1" a="1"/>
  <c r="S21" i="7" s="1" a="1"/>
  <c r="S22" i="7" s="1" a="1"/>
  <c r="S23" i="7" s="1" a="1"/>
  <c r="S24" i="7" s="1" a="1"/>
  <c r="S25" i="7" s="1" a="1"/>
  <c r="T5" i="7" a="1"/>
  <c r="T6" i="7" s="1" a="1"/>
  <c r="T7" i="7" s="1" a="1"/>
  <c r="T8" i="7" s="1" a="1"/>
  <c r="T9" i="7" s="1" a="1"/>
  <c r="T10" i="7" s="1" a="1"/>
  <c r="T11" i="7" s="1" a="1"/>
  <c r="T12" i="7" s="1" a="1"/>
  <c r="T13" i="7" s="1" a="1"/>
  <c r="T14" i="7" s="1" a="1"/>
  <c r="T15" i="7" s="1" a="1"/>
  <c r="T16" i="7" s="1" a="1"/>
  <c r="T17" i="7" s="1" a="1"/>
  <c r="T18" i="7" s="1" a="1"/>
  <c r="T19" i="7" s="1" a="1"/>
  <c r="T20" i="7" s="1" a="1"/>
  <c r="T21" i="7" s="1" a="1"/>
  <c r="T22" i="7" s="1" a="1"/>
  <c r="T23" i="7" s="1" a="1"/>
  <c r="T24" i="7" s="1" a="1"/>
  <c r="T25" i="7" s="1" a="1"/>
  <c r="U5" i="7" a="1"/>
  <c r="U6" i="7" s="1" a="1"/>
  <c r="U7" i="7" s="1" a="1"/>
  <c r="U8" i="7" s="1" a="1"/>
  <c r="U9" i="7" s="1" a="1"/>
  <c r="U10" i="7" s="1" a="1"/>
  <c r="U11" i="7" s="1" a="1"/>
  <c r="U12" i="7" s="1" a="1"/>
  <c r="U13" i="7" s="1" a="1"/>
  <c r="U14" i="7" s="1" a="1"/>
  <c r="U15" i="7" s="1" a="1"/>
  <c r="U16" i="7" s="1" a="1"/>
  <c r="U17" i="7" s="1" a="1"/>
  <c r="U18" i="7" s="1" a="1"/>
  <c r="U19" i="7" s="1" a="1"/>
  <c r="U20" i="7" s="1" a="1"/>
  <c r="U21" i="7" s="1" a="1"/>
  <c r="U22" i="7" s="1" a="1"/>
  <c r="U23" i="7" s="1" a="1"/>
  <c r="U24" i="7" s="1" a="1"/>
  <c r="U25" i="7" s="1" a="1"/>
  <c r="V5" i="7" a="1"/>
  <c r="V6" i="7" s="1" a="1"/>
  <c r="V7" i="7" s="1" a="1"/>
  <c r="V8" i="7" s="1" a="1"/>
  <c r="V9" i="7" s="1" a="1"/>
  <c r="V10" i="7" s="1" a="1"/>
  <c r="V11" i="7" s="1" a="1"/>
  <c r="V12" i="7" s="1" a="1"/>
  <c r="V13" i="7" s="1" a="1"/>
  <c r="V14" i="7" s="1" a="1"/>
  <c r="V15" i="7" s="1" a="1"/>
  <c r="V16" i="7" s="1" a="1"/>
  <c r="V17" i="7" s="1" a="1"/>
  <c r="V18" i="7" s="1" a="1"/>
  <c r="V19" i="7" s="1" a="1"/>
  <c r="V20" i="7" s="1" a="1"/>
  <c r="V21" i="7" s="1" a="1"/>
  <c r="V22" i="7" s="1" a="1"/>
  <c r="V23" i="7" s="1" a="1"/>
  <c r="V24" i="7" s="1" a="1"/>
  <c r="V25" i="7" s="1" a="1"/>
  <c r="W5" i="7" a="1"/>
  <c r="W6" i="7" s="1" a="1"/>
  <c r="W7" i="7" s="1" a="1"/>
  <c r="W8" i="7" s="1" a="1"/>
  <c r="W9" i="7" s="1" a="1"/>
  <c r="W10" i="7" s="1" a="1"/>
  <c r="W11" i="7" s="1" a="1"/>
  <c r="W12" i="7" s="1" a="1"/>
  <c r="W13" i="7" s="1" a="1"/>
  <c r="W14" i="7" s="1" a="1"/>
  <c r="W15" i="7" s="1" a="1"/>
  <c r="W16" i="7" s="1" a="1"/>
  <c r="W17" i="7" s="1" a="1"/>
  <c r="W18" i="7" s="1" a="1"/>
  <c r="W19" i="7" s="1" a="1"/>
  <c r="W20" i="7" s="1" a="1"/>
  <c r="W21" i="7" s="1" a="1"/>
  <c r="W22" i="7" s="1" a="1"/>
  <c r="W23" i="7" s="1" a="1"/>
  <c r="W24" i="7" s="1" a="1"/>
  <c r="W25" i="7" s="1" a="1"/>
  <c r="D3" i="11"/>
  <c r="F3" i="11"/>
  <c r="G3" i="11"/>
  <c r="C3" i="11"/>
  <c r="E3" i="11"/>
  <c r="B3" i="11"/>
  <c r="G3" i="12"/>
  <c r="F3" i="12"/>
  <c r="E3" i="12"/>
  <c r="D3" i="12"/>
  <c r="C3" i="12"/>
  <c r="B3" i="12"/>
  <c r="E4" i="9"/>
  <c r="E7" i="9"/>
  <c r="E9" i="9"/>
  <c r="E11" i="9"/>
  <c r="E13" i="9"/>
  <c r="E15" i="9"/>
  <c r="E17" i="9"/>
  <c r="E18" i="9"/>
  <c r="E19" i="9"/>
  <c r="E21" i="9"/>
  <c r="E23" i="9"/>
  <c r="E25" i="9"/>
  <c r="E28" i="9"/>
  <c r="E30" i="9"/>
  <c r="E33" i="9"/>
  <c r="E36" i="9"/>
  <c r="E39" i="9"/>
  <c r="E41" i="9"/>
  <c r="E43" i="9"/>
  <c r="E45" i="9"/>
  <c r="E47" i="9"/>
  <c r="E49" i="9"/>
  <c r="E51" i="9"/>
  <c r="E54" i="9"/>
  <c r="E56" i="9"/>
  <c r="E58" i="9"/>
  <c r="E59" i="9"/>
  <c r="E61" i="9"/>
  <c r="E62" i="9"/>
  <c r="E64" i="9"/>
  <c r="E66" i="9"/>
  <c r="E68" i="9"/>
  <c r="E70" i="9"/>
  <c r="E72" i="9"/>
  <c r="E74" i="9"/>
  <c r="E76" i="9"/>
  <c r="E78" i="9"/>
  <c r="E81" i="9"/>
  <c r="E83" i="9"/>
  <c r="E85" i="9"/>
  <c r="E87" i="9"/>
  <c r="E89" i="9"/>
  <c r="E91" i="9"/>
  <c r="E93" i="9"/>
  <c r="E97" i="9"/>
  <c r="E98" i="9"/>
  <c r="E101" i="9"/>
  <c r="E3" i="9"/>
  <c r="E5" i="9"/>
  <c r="E6" i="9"/>
  <c r="E8" i="9"/>
  <c r="E10" i="9"/>
  <c r="E12" i="9"/>
  <c r="E14" i="9"/>
  <c r="E16" i="9"/>
  <c r="E20" i="9"/>
  <c r="E22" i="9"/>
  <c r="E24" i="9"/>
  <c r="E26" i="9"/>
  <c r="E27" i="9"/>
  <c r="E29" i="9"/>
  <c r="E31" i="9"/>
  <c r="E32" i="9"/>
  <c r="E34" i="9"/>
  <c r="E35" i="9"/>
  <c r="E37" i="9"/>
  <c r="E38" i="9"/>
  <c r="E40" i="9"/>
  <c r="E42" i="9"/>
  <c r="E44" i="9"/>
  <c r="E46" i="9"/>
  <c r="E48" i="9"/>
  <c r="E50" i="9"/>
  <c r="E52" i="9"/>
  <c r="E53" i="9"/>
  <c r="E55" i="9"/>
  <c r="E57" i="9"/>
  <c r="E60" i="9"/>
  <c r="E63" i="9"/>
  <c r="E65" i="9"/>
  <c r="E67" i="9"/>
  <c r="E69" i="9"/>
  <c r="E71" i="9"/>
  <c r="E73" i="9"/>
  <c r="E75" i="9"/>
  <c r="E77" i="9"/>
  <c r="E79" i="9"/>
  <c r="E80" i="9"/>
  <c r="E82" i="9"/>
  <c r="E84" i="9"/>
  <c r="E86" i="9"/>
  <c r="E88" i="9"/>
  <c r="E90" i="9"/>
  <c r="E92" i="9"/>
  <c r="E94" i="9"/>
  <c r="E95" i="9"/>
  <c r="E96" i="9"/>
  <c r="E99" i="9"/>
  <c r="E100" i="9"/>
  <c r="E102" i="9"/>
  <c r="AK4" i="7"/>
  <c r="C4" i="9" s="1"/>
  <c r="L4" i="7" a="1"/>
  <c r="N4" i="7" s="1" a="1"/>
  <c r="O4" i="7" s="1" a="1"/>
  <c r="K5" i="7"/>
  <c r="M4" i="7" a="1"/>
  <c r="K17" i="1"/>
  <c r="K7" i="1"/>
  <c r="K23" i="1"/>
  <c r="K11" i="1"/>
  <c r="D8" i="5"/>
  <c r="U5" i="1" a="1"/>
  <c r="U6" i="1" a="1"/>
  <c r="U7" i="1" a="1"/>
  <c r="U8" i="1" a="1"/>
  <c r="U9" i="1" a="1"/>
  <c r="U10" i="1" a="1"/>
  <c r="U11" i="1" a="1"/>
  <c r="U12" i="1" a="1"/>
  <c r="U13" i="1" a="1"/>
  <c r="U14" i="1" a="1"/>
  <c r="U15" i="1" a="1"/>
  <c r="U16" i="1" a="1"/>
  <c r="U17" i="1" a="1"/>
  <c r="U18" i="1" a="1"/>
  <c r="U19" i="1" a="1"/>
  <c r="U20" i="1" a="1"/>
  <c r="U21" i="1" a="1"/>
  <c r="U22" i="1" a="1"/>
  <c r="U23" i="1" a="1"/>
  <c r="U27" i="1" a="1"/>
  <c r="U28" i="1" a="1"/>
  <c r="U4" i="1" a="1"/>
  <c r="T5" i="1" a="1"/>
  <c r="T6" i="1" a="1"/>
  <c r="T7" i="1" a="1"/>
  <c r="T8" i="1" a="1"/>
  <c r="T9" i="1" a="1"/>
  <c r="T10" i="1" a="1"/>
  <c r="T11" i="1" a="1"/>
  <c r="T12" i="1" a="1"/>
  <c r="T13" i="1" a="1"/>
  <c r="T14" i="1" a="1"/>
  <c r="T15" i="1" a="1"/>
  <c r="T16" i="1" a="1"/>
  <c r="T17" i="1" a="1"/>
  <c r="T18" i="1" a="1"/>
  <c r="T19" i="1" a="1"/>
  <c r="T20" i="1" a="1"/>
  <c r="T21" i="1" a="1"/>
  <c r="T22" i="1" a="1"/>
  <c r="T23" i="1" a="1"/>
  <c r="T27" i="1" a="1"/>
  <c r="T28" i="1" a="1"/>
  <c r="K24" i="1"/>
  <c r="T4" i="1" a="1"/>
  <c r="M4" i="1" a="1"/>
  <c r="S4" i="1" a="1"/>
  <c r="S5" i="1" a="1"/>
  <c r="S6" i="1" a="1"/>
  <c r="S7" i="1" a="1"/>
  <c r="S8" i="1" a="1"/>
  <c r="S9" i="1" a="1"/>
  <c r="S10" i="1" a="1"/>
  <c r="S11" i="1" a="1"/>
  <c r="S12" i="1" a="1"/>
  <c r="S13" i="1" a="1"/>
  <c r="S14" i="1" a="1"/>
  <c r="S15" i="1" a="1"/>
  <c r="S16" i="1" a="1"/>
  <c r="S17" i="1" a="1"/>
  <c r="S18" i="1" a="1"/>
  <c r="S19" i="1" a="1"/>
  <c r="S20" i="1" a="1"/>
  <c r="S21" i="1" a="1"/>
  <c r="S22" i="1" a="1"/>
  <c r="S23" i="1" a="1"/>
  <c r="S27" i="1" a="1"/>
  <c r="S28" i="1" a="1"/>
  <c r="K29" i="1"/>
  <c r="N5" i="1" a="1"/>
  <c r="N6" i="1" a="1"/>
  <c r="N7" i="1" a="1"/>
  <c r="N8" i="1" a="1"/>
  <c r="N9" i="1" a="1"/>
  <c r="N10" i="1" a="1"/>
  <c r="N11" i="1" a="1"/>
  <c r="N12" i="1" a="1"/>
  <c r="N13" i="1" a="1"/>
  <c r="N14" i="1" a="1"/>
  <c r="N15" i="1" a="1"/>
  <c r="N16" i="1" a="1"/>
  <c r="N4" i="1" a="1"/>
  <c r="M6" i="1" a="1"/>
  <c r="M7" i="1" a="1"/>
  <c r="M8" i="1" a="1"/>
  <c r="M9" i="1" a="1"/>
  <c r="M10" i="1" a="1"/>
  <c r="M11" i="1" a="1"/>
  <c r="M12" i="1" a="1"/>
  <c r="M13" i="1" a="1"/>
  <c r="M14" i="1" a="1"/>
  <c r="M15" i="1" a="1"/>
  <c r="M16" i="1" a="1"/>
  <c r="M5" i="1" a="1"/>
  <c r="L5" i="1" a="1"/>
  <c r="Q5" i="1" s="1" a="1"/>
  <c r="L6" i="1" a="1"/>
  <c r="Q6" i="1" s="1" a="1"/>
  <c r="L7" i="1" a="1"/>
  <c r="Q7" i="1" s="1" a="1"/>
  <c r="L8" i="1" a="1"/>
  <c r="Q8" i="1" s="1" a="1"/>
  <c r="L9" i="1" a="1"/>
  <c r="Q9" i="1" s="1" a="1"/>
  <c r="L10" i="1" a="1"/>
  <c r="Q10" i="1" s="1" a="1"/>
  <c r="L12" i="1" a="1"/>
  <c r="L13" i="1" a="1"/>
  <c r="L14" i="1" a="1"/>
  <c r="L4" i="1" a="1"/>
  <c r="N17" i="1" a="1"/>
  <c r="N18" i="1" a="1"/>
  <c r="N19" i="1" a="1"/>
  <c r="N20" i="1" a="1"/>
  <c r="N21" i="1" a="1"/>
  <c r="N22" i="1" a="1"/>
  <c r="N23" i="1" a="1"/>
  <c r="N24" i="1" a="1"/>
  <c r="N27" i="1" a="1"/>
  <c r="N28" i="1" a="1"/>
  <c r="N29" i="1" a="1"/>
  <c r="M17" i="1" a="1"/>
  <c r="M18" i="1" a="1"/>
  <c r="M19" i="1" a="1"/>
  <c r="M20" i="1" a="1"/>
  <c r="M21" i="1" a="1"/>
  <c r="M22" i="1" a="1"/>
  <c r="M23" i="1" a="1"/>
  <c r="M27" i="1" a="1"/>
  <c r="M28" i="1" a="1"/>
  <c r="L15" i="1" a="1"/>
  <c r="L16" i="1" a="1"/>
  <c r="L17" i="1" a="1"/>
  <c r="L18" i="1" a="1"/>
  <c r="L19" i="1" a="1"/>
  <c r="L20" i="1" a="1"/>
  <c r="L21" i="1" a="1"/>
  <c r="L22" i="1" a="1"/>
  <c r="L23" i="1" a="1"/>
  <c r="L27" i="1" a="1"/>
  <c r="L28" i="1" a="1"/>
  <c r="S24" i="6"/>
  <c r="R25" i="6"/>
  <c r="S25" i="6"/>
  <c r="Q26" i="6"/>
  <c r="R26" i="6"/>
  <c r="S26" i="6"/>
  <c r="P27" i="6"/>
  <c r="Q27" i="6"/>
  <c r="R27" i="6"/>
  <c r="S27" i="6"/>
  <c r="O28" i="6"/>
  <c r="P28" i="6"/>
  <c r="Q28" i="6"/>
  <c r="R28" i="6"/>
  <c r="S28" i="6"/>
  <c r="N29" i="6"/>
  <c r="O29" i="6"/>
  <c r="P29" i="6"/>
  <c r="Q29" i="6"/>
  <c r="R29" i="6"/>
  <c r="S29" i="6"/>
  <c r="N30" i="6"/>
  <c r="O30" i="6"/>
  <c r="P30" i="6"/>
  <c r="Q30" i="6"/>
  <c r="R30" i="6"/>
  <c r="S30" i="6"/>
  <c r="N31" i="6"/>
  <c r="O31" i="6"/>
  <c r="P31" i="6"/>
  <c r="Q31" i="6"/>
  <c r="R31" i="6"/>
  <c r="S31" i="6"/>
  <c r="N32" i="6"/>
  <c r="O32" i="6"/>
  <c r="P32" i="6"/>
  <c r="Q32" i="6"/>
  <c r="R32" i="6"/>
  <c r="S32" i="6"/>
  <c r="N33" i="6"/>
  <c r="O33" i="6"/>
  <c r="P33" i="6"/>
  <c r="Q33" i="6"/>
  <c r="R33" i="6"/>
  <c r="S33" i="6"/>
  <c r="N34" i="6"/>
  <c r="O34" i="6"/>
  <c r="P34" i="6"/>
  <c r="Q34" i="6"/>
  <c r="R34" i="6"/>
  <c r="S34" i="6"/>
  <c r="N35" i="6"/>
  <c r="O35" i="6"/>
  <c r="P35" i="6"/>
  <c r="Q35" i="6"/>
  <c r="R35" i="6"/>
  <c r="S35" i="6"/>
  <c r="N36" i="6"/>
  <c r="O36" i="6"/>
  <c r="P36" i="6"/>
  <c r="Q36" i="6"/>
  <c r="R36" i="6"/>
  <c r="S36" i="6"/>
  <c r="N37" i="6"/>
  <c r="O37" i="6"/>
  <c r="P37" i="6"/>
  <c r="Q37" i="6"/>
  <c r="R37" i="6"/>
  <c r="S37" i="6"/>
  <c r="N38" i="6"/>
  <c r="O38" i="6"/>
  <c r="P38" i="6"/>
  <c r="Q38" i="6"/>
  <c r="R38" i="6"/>
  <c r="S38" i="6"/>
  <c r="N39" i="6"/>
  <c r="O39" i="6"/>
  <c r="P39" i="6"/>
  <c r="Q39" i="6"/>
  <c r="R39" i="6"/>
  <c r="S39" i="6"/>
  <c r="N40" i="6"/>
  <c r="O40" i="6"/>
  <c r="P40" i="6"/>
  <c r="Q40" i="6"/>
  <c r="R40" i="6"/>
  <c r="S40" i="6"/>
  <c r="N41" i="6"/>
  <c r="O41" i="6"/>
  <c r="P41" i="6"/>
  <c r="Q41" i="6"/>
  <c r="R41" i="6"/>
  <c r="S41" i="6"/>
  <c r="N42" i="6"/>
  <c r="O42" i="6"/>
  <c r="P42" i="6"/>
  <c r="Q42" i="6"/>
  <c r="R42" i="6"/>
  <c r="S42" i="6"/>
  <c r="N43" i="6"/>
  <c r="O43" i="6"/>
  <c r="P43" i="6"/>
  <c r="Q43" i="6"/>
  <c r="R43" i="6"/>
  <c r="S43" i="6"/>
  <c r="N44" i="6"/>
  <c r="O44" i="6"/>
  <c r="P44" i="6"/>
  <c r="Q44" i="6"/>
  <c r="R44" i="6"/>
  <c r="S44" i="6"/>
  <c r="N45" i="6"/>
  <c r="O45" i="6"/>
  <c r="P45" i="6"/>
  <c r="Q45" i="6"/>
  <c r="R45" i="6"/>
  <c r="S45" i="6"/>
  <c r="N46" i="6"/>
  <c r="O46" i="6"/>
  <c r="P46" i="6"/>
  <c r="Q46" i="6"/>
  <c r="R46" i="6"/>
  <c r="S46" i="6"/>
  <c r="N47" i="6"/>
  <c r="O47" i="6"/>
  <c r="P47" i="6"/>
  <c r="Q47" i="6"/>
  <c r="R47" i="6"/>
  <c r="S47" i="6"/>
  <c r="N48" i="6"/>
  <c r="O48" i="6"/>
  <c r="P48" i="6"/>
  <c r="Q48" i="6"/>
  <c r="R48" i="6"/>
  <c r="S48" i="6"/>
  <c r="N49" i="6"/>
  <c r="O49" i="6"/>
  <c r="P49" i="6"/>
  <c r="Q49" i="6"/>
  <c r="R49" i="6"/>
  <c r="S49" i="6"/>
  <c r="N50" i="6"/>
  <c r="O50" i="6"/>
  <c r="P50" i="6"/>
  <c r="Q50" i="6"/>
  <c r="R50" i="6"/>
  <c r="S50" i="6"/>
  <c r="N51" i="6"/>
  <c r="O51" i="6"/>
  <c r="P51" i="6"/>
  <c r="Q51" i="6"/>
  <c r="R51" i="6"/>
  <c r="S51" i="6"/>
  <c r="N52" i="6"/>
  <c r="O52" i="6"/>
  <c r="P52" i="6"/>
  <c r="Q52" i="6"/>
  <c r="R52" i="6"/>
  <c r="S52" i="6"/>
  <c r="N53" i="6"/>
  <c r="O53" i="6"/>
  <c r="P53" i="6"/>
  <c r="Q53" i="6"/>
  <c r="R53" i="6"/>
  <c r="S53" i="6"/>
  <c r="N54" i="6"/>
  <c r="O54" i="6"/>
  <c r="P54" i="6"/>
  <c r="Q54" i="6"/>
  <c r="R54" i="6"/>
  <c r="S54" i="6"/>
  <c r="N55" i="6"/>
  <c r="O55" i="6"/>
  <c r="P55" i="6"/>
  <c r="Q55" i="6"/>
  <c r="R55" i="6"/>
  <c r="S55" i="6"/>
  <c r="N56" i="6"/>
  <c r="O56" i="6"/>
  <c r="P56" i="6"/>
  <c r="Q56" i="6"/>
  <c r="R56" i="6"/>
  <c r="S56" i="6"/>
  <c r="N57" i="6"/>
  <c r="O57" i="6"/>
  <c r="P57" i="6"/>
  <c r="Q57" i="6"/>
  <c r="R57" i="6"/>
  <c r="S57" i="6"/>
  <c r="N58" i="6"/>
  <c r="O58" i="6"/>
  <c r="P58" i="6"/>
  <c r="Q58" i="6"/>
  <c r="R58" i="6"/>
  <c r="S58" i="6"/>
  <c r="N59" i="6"/>
  <c r="O59" i="6"/>
  <c r="P59" i="6"/>
  <c r="Q59" i="6"/>
  <c r="R59" i="6"/>
  <c r="S59" i="6"/>
  <c r="N60" i="6"/>
  <c r="O60" i="6"/>
  <c r="P60" i="6"/>
  <c r="Q60" i="6"/>
  <c r="R60" i="6"/>
  <c r="S60" i="6"/>
  <c r="N61" i="6"/>
  <c r="O61" i="6"/>
  <c r="P61" i="6"/>
  <c r="Q61" i="6"/>
  <c r="R61" i="6"/>
  <c r="S61" i="6"/>
  <c r="N62" i="6"/>
  <c r="O62" i="6"/>
  <c r="P62" i="6"/>
  <c r="Q62" i="6"/>
  <c r="R62" i="6"/>
  <c r="S62" i="6"/>
  <c r="N63" i="6"/>
  <c r="O63" i="6"/>
  <c r="P63" i="6"/>
  <c r="Q63" i="6"/>
  <c r="R63" i="6"/>
  <c r="S63" i="6"/>
  <c r="N64" i="6"/>
  <c r="O64" i="6"/>
  <c r="P64" i="6"/>
  <c r="Q64" i="6"/>
  <c r="R64" i="6"/>
  <c r="S64" i="6"/>
  <c r="N65" i="6"/>
  <c r="O65" i="6"/>
  <c r="P65" i="6"/>
  <c r="Q65" i="6"/>
  <c r="R65" i="6"/>
  <c r="S65" i="6"/>
  <c r="N66" i="6"/>
  <c r="O66" i="6"/>
  <c r="P66" i="6"/>
  <c r="Q66" i="6"/>
  <c r="R66" i="6"/>
  <c r="S66" i="6"/>
  <c r="N67" i="6"/>
  <c r="O67" i="6"/>
  <c r="P67" i="6"/>
  <c r="Q67" i="6"/>
  <c r="R67" i="6"/>
  <c r="S67" i="6"/>
  <c r="N68" i="6"/>
  <c r="O68" i="6"/>
  <c r="P68" i="6"/>
  <c r="Q68" i="6"/>
  <c r="R68" i="6"/>
  <c r="S68" i="6"/>
  <c r="N69" i="6"/>
  <c r="O69" i="6"/>
  <c r="P69" i="6"/>
  <c r="Q69" i="6"/>
  <c r="R69" i="6"/>
  <c r="S69" i="6"/>
  <c r="N70" i="6"/>
  <c r="O70" i="6"/>
  <c r="P70" i="6"/>
  <c r="Q70" i="6"/>
  <c r="R70" i="6"/>
  <c r="S70" i="6"/>
  <c r="N71" i="6"/>
  <c r="O71" i="6"/>
  <c r="P71" i="6"/>
  <c r="Q71" i="6"/>
  <c r="R71" i="6"/>
  <c r="S71" i="6"/>
  <c r="N72" i="6"/>
  <c r="O72" i="6"/>
  <c r="P72" i="6"/>
  <c r="Q72" i="6"/>
  <c r="R72" i="6"/>
  <c r="S72" i="6"/>
  <c r="N73" i="6"/>
  <c r="O73" i="6"/>
  <c r="P73" i="6"/>
  <c r="Q73" i="6"/>
  <c r="R73" i="6"/>
  <c r="S73" i="6"/>
  <c r="N74" i="6"/>
  <c r="O74" i="6"/>
  <c r="P74" i="6"/>
  <c r="Q74" i="6"/>
  <c r="R74" i="6"/>
  <c r="S74" i="6"/>
  <c r="N75" i="6"/>
  <c r="O75" i="6"/>
  <c r="P75" i="6"/>
  <c r="Q75" i="6"/>
  <c r="R75" i="6"/>
  <c r="S75" i="6"/>
  <c r="N76" i="6"/>
  <c r="O76" i="6"/>
  <c r="P76" i="6"/>
  <c r="Q76" i="6"/>
  <c r="R76" i="6"/>
  <c r="S76" i="6"/>
  <c r="N77" i="6"/>
  <c r="O77" i="6"/>
  <c r="P77" i="6"/>
  <c r="Q77" i="6"/>
  <c r="R77" i="6"/>
  <c r="S77" i="6"/>
  <c r="N78" i="6"/>
  <c r="O78" i="6"/>
  <c r="P78" i="6"/>
  <c r="Q78" i="6"/>
  <c r="R78" i="6"/>
  <c r="S78" i="6"/>
  <c r="N79" i="6"/>
  <c r="O79" i="6"/>
  <c r="P79" i="6"/>
  <c r="Q79" i="6"/>
  <c r="R79" i="6"/>
  <c r="S79" i="6"/>
  <c r="N80" i="6"/>
  <c r="O80" i="6"/>
  <c r="P80" i="6"/>
  <c r="Q80" i="6"/>
  <c r="R80" i="6"/>
  <c r="S80" i="6"/>
  <c r="N81" i="6"/>
  <c r="O81" i="6"/>
  <c r="P81" i="6"/>
  <c r="Q81" i="6"/>
  <c r="R81" i="6"/>
  <c r="S81" i="6"/>
  <c r="N82" i="6"/>
  <c r="O82" i="6"/>
  <c r="P82" i="6"/>
  <c r="Q82" i="6"/>
  <c r="R82" i="6"/>
  <c r="S82" i="6"/>
  <c r="N83" i="6"/>
  <c r="O83" i="6"/>
  <c r="P83" i="6"/>
  <c r="Q83" i="6"/>
  <c r="R83" i="6"/>
  <c r="S83" i="6"/>
  <c r="N84" i="6"/>
  <c r="O84" i="6"/>
  <c r="P84" i="6"/>
  <c r="Q84" i="6"/>
  <c r="R84" i="6"/>
  <c r="S84" i="6"/>
  <c r="N85" i="6"/>
  <c r="O85" i="6"/>
  <c r="P85" i="6"/>
  <c r="Q85" i="6"/>
  <c r="R85" i="6"/>
  <c r="S85" i="6"/>
  <c r="N86" i="6"/>
  <c r="O86" i="6"/>
  <c r="P86" i="6"/>
  <c r="Q86" i="6"/>
  <c r="R86" i="6"/>
  <c r="S86" i="6"/>
  <c r="N87" i="6"/>
  <c r="O87" i="6"/>
  <c r="P87" i="6"/>
  <c r="Q87" i="6"/>
  <c r="R87" i="6"/>
  <c r="S87" i="6"/>
  <c r="N88" i="6"/>
  <c r="O88" i="6"/>
  <c r="P88" i="6"/>
  <c r="Q88" i="6"/>
  <c r="R88" i="6"/>
  <c r="S88" i="6"/>
  <c r="N89" i="6"/>
  <c r="O89" i="6"/>
  <c r="P89" i="6"/>
  <c r="Q89" i="6"/>
  <c r="R89" i="6"/>
  <c r="S89" i="6"/>
  <c r="N90" i="6"/>
  <c r="O90" i="6"/>
  <c r="P90" i="6"/>
  <c r="Q90" i="6"/>
  <c r="R90" i="6"/>
  <c r="S90" i="6"/>
  <c r="N91" i="6"/>
  <c r="O91" i="6"/>
  <c r="P91" i="6"/>
  <c r="Q91" i="6"/>
  <c r="R91" i="6"/>
  <c r="S91" i="6"/>
  <c r="N92" i="6"/>
  <c r="O92" i="6"/>
  <c r="P92" i="6"/>
  <c r="Q92" i="6"/>
  <c r="R92" i="6"/>
  <c r="S92" i="6"/>
  <c r="N93" i="6"/>
  <c r="O93" i="6"/>
  <c r="P93" i="6"/>
  <c r="Q93" i="6"/>
  <c r="R93" i="6"/>
  <c r="S93" i="6"/>
  <c r="N94" i="6"/>
  <c r="O94" i="6"/>
  <c r="P94" i="6"/>
  <c r="Q94" i="6"/>
  <c r="R94" i="6"/>
  <c r="S94" i="6"/>
  <c r="N95" i="6"/>
  <c r="O95" i="6"/>
  <c r="P95" i="6"/>
  <c r="Q95" i="6"/>
  <c r="R95" i="6"/>
  <c r="S95" i="6"/>
  <c r="N96" i="6"/>
  <c r="O96" i="6"/>
  <c r="P96" i="6"/>
  <c r="Q96" i="6"/>
  <c r="R96" i="6"/>
  <c r="S96" i="6"/>
  <c r="N97" i="6"/>
  <c r="O97" i="6"/>
  <c r="P97" i="6"/>
  <c r="Q97" i="6"/>
  <c r="R97" i="6"/>
  <c r="S97" i="6"/>
  <c r="N98" i="6"/>
  <c r="O98" i="6"/>
  <c r="P98" i="6"/>
  <c r="Q98" i="6"/>
  <c r="R98" i="6"/>
  <c r="S98" i="6"/>
  <c r="N99" i="6"/>
  <c r="O99" i="6"/>
  <c r="P99" i="6"/>
  <c r="Q99" i="6"/>
  <c r="R99" i="6"/>
  <c r="S99" i="6"/>
  <c r="N100" i="6"/>
  <c r="O100" i="6"/>
  <c r="P100" i="6"/>
  <c r="Q100" i="6"/>
  <c r="R100" i="6"/>
  <c r="S100" i="6"/>
  <c r="N101" i="6"/>
  <c r="O101" i="6"/>
  <c r="P101" i="6"/>
  <c r="Q101" i="6"/>
  <c r="R101" i="6"/>
  <c r="S101" i="6"/>
  <c r="N102" i="6"/>
  <c r="O102" i="6"/>
  <c r="P102" i="6"/>
  <c r="Q102" i="6"/>
  <c r="R102" i="6"/>
  <c r="S102" i="6"/>
  <c r="D11" i="5"/>
  <c r="D12" i="5"/>
  <c r="D13" i="5"/>
  <c r="D14" i="5"/>
  <c r="D15" i="5"/>
  <c r="D17" i="5"/>
  <c r="D18" i="5"/>
  <c r="D19" i="5"/>
  <c r="D20" i="5"/>
  <c r="D21" i="5"/>
  <c r="D26" i="5"/>
  <c r="D27" i="5"/>
  <c r="E71" i="5"/>
  <c r="C4" i="5"/>
  <c r="C7" i="5"/>
  <c r="C8" i="5"/>
  <c r="C9" i="5"/>
  <c r="C12" i="5"/>
  <c r="C13" i="5"/>
  <c r="C15" i="5"/>
  <c r="C17" i="5"/>
  <c r="C19" i="5"/>
  <c r="C20" i="5"/>
  <c r="C26" i="5"/>
  <c r="C27" i="5"/>
  <c r="C5" i="5"/>
  <c r="C11" i="5"/>
  <c r="C14" i="5"/>
  <c r="C18" i="5"/>
  <c r="C21" i="5"/>
  <c r="N4" i="6"/>
  <c r="O4" i="6"/>
  <c r="P4" i="6"/>
  <c r="Q4" i="6"/>
  <c r="R4" i="6"/>
  <c r="S4" i="6"/>
  <c r="N5" i="6"/>
  <c r="O5" i="6"/>
  <c r="P5" i="6"/>
  <c r="Q5" i="6"/>
  <c r="R5" i="6"/>
  <c r="S5" i="6"/>
  <c r="N6" i="6"/>
  <c r="O6" i="6"/>
  <c r="P6" i="6"/>
  <c r="Q6" i="6"/>
  <c r="R6" i="6"/>
  <c r="S6" i="6"/>
  <c r="N7" i="6"/>
  <c r="O7" i="6"/>
  <c r="P7" i="6"/>
  <c r="Q7" i="6"/>
  <c r="R7" i="6"/>
  <c r="S7" i="6"/>
  <c r="N8" i="6"/>
  <c r="O8" i="6"/>
  <c r="P8" i="6"/>
  <c r="Q8" i="6"/>
  <c r="R8" i="6"/>
  <c r="S8" i="6"/>
  <c r="N9" i="6"/>
  <c r="O9" i="6"/>
  <c r="P9" i="6"/>
  <c r="Q9" i="6"/>
  <c r="R9" i="6"/>
  <c r="S9" i="6"/>
  <c r="N10" i="6"/>
  <c r="O10" i="6"/>
  <c r="P10" i="6"/>
  <c r="Q10" i="6"/>
  <c r="R10" i="6"/>
  <c r="S10" i="6"/>
  <c r="N11" i="6"/>
  <c r="O11" i="6"/>
  <c r="P11" i="6"/>
  <c r="Q11" i="6"/>
  <c r="R11" i="6"/>
  <c r="S11" i="6"/>
  <c r="N12" i="6"/>
  <c r="O12" i="6"/>
  <c r="P12" i="6"/>
  <c r="Q12" i="6"/>
  <c r="R12" i="6"/>
  <c r="S12" i="6"/>
  <c r="N13" i="6"/>
  <c r="O13" i="6"/>
  <c r="P13" i="6"/>
  <c r="Q13" i="6"/>
  <c r="R13" i="6"/>
  <c r="S13" i="6"/>
  <c r="N14" i="6"/>
  <c r="O14" i="6"/>
  <c r="P14" i="6"/>
  <c r="Q14" i="6"/>
  <c r="R14" i="6"/>
  <c r="S14" i="6"/>
  <c r="N15" i="6"/>
  <c r="O15" i="6"/>
  <c r="P15" i="6"/>
  <c r="Q15" i="6"/>
  <c r="R15" i="6"/>
  <c r="S15" i="6"/>
  <c r="N16" i="6"/>
  <c r="O16" i="6"/>
  <c r="P16" i="6"/>
  <c r="Q16" i="6"/>
  <c r="R16" i="6"/>
  <c r="S16" i="6"/>
  <c r="N17" i="6"/>
  <c r="O17" i="6"/>
  <c r="P17" i="6"/>
  <c r="Q17" i="6"/>
  <c r="R17" i="6"/>
  <c r="S17" i="6"/>
  <c r="N18" i="6"/>
  <c r="O18" i="6"/>
  <c r="P18" i="6"/>
  <c r="Q18" i="6"/>
  <c r="R18" i="6"/>
  <c r="S18" i="6"/>
  <c r="N19" i="6"/>
  <c r="O19" i="6"/>
  <c r="P19" i="6"/>
  <c r="Q19" i="6"/>
  <c r="R19" i="6"/>
  <c r="S19" i="6"/>
  <c r="N20" i="6"/>
  <c r="O20" i="6"/>
  <c r="P20" i="6"/>
  <c r="Q20" i="6"/>
  <c r="R20" i="6"/>
  <c r="S20" i="6"/>
  <c r="N21" i="6"/>
  <c r="O21" i="6"/>
  <c r="P21" i="6"/>
  <c r="Q21" i="6"/>
  <c r="R21" i="6"/>
  <c r="S21" i="6"/>
  <c r="N22" i="6"/>
  <c r="O22" i="6"/>
  <c r="P22" i="6"/>
  <c r="Q22" i="6"/>
  <c r="R22" i="6"/>
  <c r="S22" i="6"/>
  <c r="N23" i="6"/>
  <c r="O23" i="6"/>
  <c r="P23" i="6"/>
  <c r="Q23" i="6"/>
  <c r="R23" i="6"/>
  <c r="S23" i="6"/>
  <c r="N24" i="6"/>
  <c r="O24" i="6"/>
  <c r="P24" i="6"/>
  <c r="Q24" i="6"/>
  <c r="R24" i="6"/>
  <c r="N25" i="6"/>
  <c r="O25" i="6"/>
  <c r="P25" i="6"/>
  <c r="Q25" i="6"/>
  <c r="N26" i="6"/>
  <c r="O26" i="6"/>
  <c r="P26" i="6"/>
  <c r="N27" i="6"/>
  <c r="O27" i="6"/>
  <c r="N28" i="6"/>
  <c r="E26" i="5"/>
  <c r="E28" i="5"/>
  <c r="E30" i="5"/>
  <c r="E34" i="5"/>
  <c r="E38" i="5"/>
  <c r="E41" i="5"/>
  <c r="E43" i="5"/>
  <c r="E45" i="5"/>
  <c r="E48" i="5"/>
  <c r="E50" i="5"/>
  <c r="E53" i="5"/>
  <c r="E55" i="5"/>
  <c r="E59" i="5"/>
  <c r="E63" i="5"/>
  <c r="E65" i="5"/>
  <c r="E69" i="5"/>
  <c r="E91" i="5"/>
  <c r="E93" i="5"/>
  <c r="E96" i="5"/>
  <c r="E98" i="5"/>
  <c r="E102" i="5"/>
  <c r="S3" i="6"/>
  <c r="R3" i="6"/>
  <c r="Q3" i="6"/>
  <c r="P3" i="6"/>
  <c r="O3" i="6"/>
  <c r="N3" i="6"/>
  <c r="E5" i="5"/>
  <c r="E8" i="5"/>
  <c r="E11" i="5"/>
  <c r="E14" i="5"/>
  <c r="E16" i="5"/>
  <c r="E19" i="5"/>
  <c r="E21" i="5"/>
  <c r="E23" i="5"/>
  <c r="E25" i="5"/>
  <c r="E27" i="5"/>
  <c r="E29" i="5"/>
  <c r="E32" i="5"/>
  <c r="E36" i="5"/>
  <c r="E39" i="5"/>
  <c r="E57" i="5"/>
  <c r="E60" i="5"/>
  <c r="E64" i="5"/>
  <c r="E68" i="5"/>
  <c r="E70" i="5"/>
  <c r="E72" i="5"/>
  <c r="E75" i="5"/>
  <c r="E77" i="5"/>
  <c r="E81" i="5"/>
  <c r="E84" i="5"/>
  <c r="E87" i="5"/>
  <c r="E89" i="5"/>
  <c r="E90" i="5"/>
  <c r="E94" i="5"/>
  <c r="E99" i="5"/>
  <c r="E3" i="5"/>
  <c r="E7" i="5"/>
  <c r="E10" i="5"/>
  <c r="E13" i="5"/>
  <c r="E17" i="5"/>
  <c r="E20" i="5"/>
  <c r="E24" i="5"/>
  <c r="E33" i="5"/>
  <c r="E37" i="5"/>
  <c r="E40" i="5"/>
  <c r="E44" i="5"/>
  <c r="E46" i="5"/>
  <c r="E49" i="5"/>
  <c r="E51" i="5"/>
  <c r="E54" i="5"/>
  <c r="E58" i="5"/>
  <c r="E62" i="5"/>
  <c r="E67" i="5"/>
  <c r="E74" i="5"/>
  <c r="E76" i="5"/>
  <c r="E79" i="5"/>
  <c r="E82" i="5"/>
  <c r="E85" i="5"/>
  <c r="E95" i="5"/>
  <c r="E100" i="5"/>
  <c r="E4" i="5"/>
  <c r="E6" i="5"/>
  <c r="E9" i="5"/>
  <c r="E12" i="5"/>
  <c r="E15" i="5"/>
  <c r="E18" i="5"/>
  <c r="E22" i="5"/>
  <c r="E31" i="5"/>
  <c r="E35" i="5"/>
  <c r="E42" i="5"/>
  <c r="E47" i="5"/>
  <c r="E52" i="5"/>
  <c r="E56" i="5"/>
  <c r="E61" i="5"/>
  <c r="E66" i="5"/>
  <c r="E73" i="5"/>
  <c r="E78" i="5"/>
  <c r="E80" i="5"/>
  <c r="E83" i="5"/>
  <c r="E86" i="5"/>
  <c r="E88" i="5"/>
  <c r="E92" i="5"/>
  <c r="E97" i="5"/>
  <c r="E101" i="5"/>
  <c r="AU19" i="7" l="1" a="1"/>
  <c r="AU20" i="7" s="1" a="1"/>
  <c r="AU21" i="7" s="1" a="1"/>
  <c r="AU22" i="7" s="1" a="1"/>
  <c r="AU23" i="7" s="1" a="1"/>
  <c r="AU24" i="7" s="1" a="1"/>
  <c r="AU25" i="7" s="1" a="1"/>
  <c r="AU26" i="7" s="1" a="1"/>
  <c r="AU27" i="7" s="1" a="1"/>
  <c r="AU28" i="7" s="1" a="1"/>
  <c r="AU29" i="7" s="1" a="1"/>
  <c r="AU30" i="7" s="1" a="1"/>
  <c r="AU31" i="7" s="1" a="1"/>
  <c r="AU32" i="7" s="1" a="1"/>
  <c r="AU33" i="7" s="1" a="1"/>
  <c r="AU34" i="7" s="1" a="1"/>
  <c r="AU35" i="7" s="1" a="1"/>
  <c r="AU36" i="7" s="1" a="1"/>
  <c r="AU37" i="7" s="1" a="1"/>
  <c r="AU38" i="7" s="1" a="1"/>
  <c r="AU39" i="7" s="1" a="1"/>
  <c r="AS20" i="7" a="1"/>
  <c r="AS21" i="7" s="1" a="1"/>
  <c r="AS22" i="7" s="1" a="1"/>
  <c r="AS23" i="7" s="1" a="1"/>
  <c r="AS24" i="7" s="1" a="1"/>
  <c r="AS25" i="7" s="1" a="1"/>
  <c r="AS26" i="7" s="1" a="1"/>
  <c r="AS27" i="7" s="1" a="1"/>
  <c r="AS28" i="7" s="1" a="1"/>
  <c r="AS29" i="7" s="1" a="1"/>
  <c r="AS30" i="7" s="1" a="1"/>
  <c r="AS31" i="7" s="1" a="1"/>
  <c r="AS32" i="7" s="1" a="1"/>
  <c r="AS33" i="7" s="1" a="1"/>
  <c r="AS34" i="7" s="1" a="1"/>
  <c r="AS35" i="7" s="1" a="1"/>
  <c r="AS36" i="7" s="1" a="1"/>
  <c r="AS37" i="7" s="1" a="1"/>
  <c r="AS38" i="7" s="1" a="1"/>
  <c r="AV20" i="7" a="1"/>
  <c r="AV21" i="7" s="1" a="1"/>
  <c r="AV22" i="7" s="1" a="1"/>
  <c r="AV23" i="7" s="1" a="1"/>
  <c r="AV24" i="7" s="1" a="1"/>
  <c r="AV25" i="7" s="1" a="1"/>
  <c r="AV26" i="7" s="1" a="1"/>
  <c r="AV27" i="7" s="1" a="1"/>
  <c r="AV28" i="7" s="1" a="1"/>
  <c r="AV29" i="7" s="1" a="1"/>
  <c r="AV30" i="7" s="1" a="1"/>
  <c r="AV31" i="7" s="1" a="1"/>
  <c r="AV32" i="7" s="1" a="1"/>
  <c r="AV33" i="7" s="1" a="1"/>
  <c r="AV34" i="7" s="1" a="1"/>
  <c r="AV35" i="7" s="1" a="1"/>
  <c r="AV36" i="7" s="1" a="1"/>
  <c r="AT21" i="7" a="1"/>
  <c r="AT22" i="7" s="1" a="1"/>
  <c r="AT23" i="7" s="1" a="1"/>
  <c r="AT24" i="7" s="1" a="1"/>
  <c r="AT25" i="7" s="1" a="1"/>
  <c r="AT26" i="7" s="1" a="1"/>
  <c r="AT27" i="7" s="1" a="1"/>
  <c r="AT28" i="7" s="1" a="1"/>
  <c r="AT29" i="7" s="1" a="1"/>
  <c r="AT30" i="7" s="1" a="1"/>
  <c r="AT31" i="7" s="1" a="1"/>
  <c r="AT32" i="7" s="1" a="1"/>
  <c r="AT33" i="7" s="1" a="1"/>
  <c r="BB109" i="7"/>
  <c r="I4" i="13"/>
  <c r="I5" i="13"/>
  <c r="I6" i="13"/>
  <c r="I7" i="13"/>
  <c r="I8" i="13"/>
  <c r="I9" i="13"/>
  <c r="I10" i="13"/>
  <c r="I11" i="13"/>
  <c r="I12" i="13"/>
  <c r="G4" i="13"/>
  <c r="G5" i="13"/>
  <c r="G6" i="13"/>
  <c r="G7" i="13"/>
  <c r="G8" i="13"/>
  <c r="G9" i="13"/>
  <c r="G10" i="13"/>
  <c r="G11" i="13"/>
  <c r="G12" i="13"/>
  <c r="E5" i="13"/>
  <c r="E8" i="13"/>
  <c r="E12" i="13"/>
  <c r="E6" i="13"/>
  <c r="E10" i="13"/>
  <c r="E4" i="13"/>
  <c r="E7" i="13"/>
  <c r="E9" i="13"/>
  <c r="E11" i="13"/>
  <c r="C4" i="13"/>
  <c r="C5" i="13"/>
  <c r="C6" i="13"/>
  <c r="C7" i="13"/>
  <c r="C8" i="13"/>
  <c r="C12" i="13"/>
  <c r="C10" i="13"/>
  <c r="C9" i="13"/>
  <c r="C11" i="13"/>
  <c r="G13" i="13"/>
  <c r="I13" i="13"/>
  <c r="Q4" i="7" a="1"/>
  <c r="P4" i="7" a="1"/>
  <c r="BB46" i="7"/>
  <c r="G45" i="14" s="1"/>
  <c r="BB44" i="7"/>
  <c r="G43" i="14" s="1"/>
  <c r="BB51" i="7"/>
  <c r="G50" i="14" s="1"/>
  <c r="BB56" i="7"/>
  <c r="G55" i="14" s="1"/>
  <c r="BB62" i="7"/>
  <c r="G61" i="14" s="1"/>
  <c r="BB67" i="7"/>
  <c r="G66" i="14" s="1"/>
  <c r="BB72" i="7"/>
  <c r="G71" i="14" s="1"/>
  <c r="AD4" i="7" a="1"/>
  <c r="F43" i="14"/>
  <c r="BC44" i="7" a="1"/>
  <c r="F50" i="14"/>
  <c r="BC51" i="7" a="1"/>
  <c r="F55" i="14"/>
  <c r="BC56" i="7" a="1"/>
  <c r="F61" i="14"/>
  <c r="BC62" i="7" a="1"/>
  <c r="F66" i="14"/>
  <c r="BC67" i="7" a="1"/>
  <c r="F71" i="14"/>
  <c r="BC72" i="7" a="1"/>
  <c r="F76" i="14"/>
  <c r="BC77" i="7" a="1"/>
  <c r="F80" i="14"/>
  <c r="BC81" i="7" a="1"/>
  <c r="F86" i="14"/>
  <c r="BC87" i="7" a="1"/>
  <c r="F93" i="14"/>
  <c r="BC94" i="7" a="1"/>
  <c r="F98" i="14"/>
  <c r="BC99" i="7" a="1"/>
  <c r="F42" i="14"/>
  <c r="BC43" i="7" a="1"/>
  <c r="F48" i="14"/>
  <c r="BC49" i="7" a="1"/>
  <c r="F45" i="14"/>
  <c r="BC46" i="7" a="1"/>
  <c r="F51" i="14"/>
  <c r="BC52" i="7" a="1"/>
  <c r="F58" i="14"/>
  <c r="BC59" i="7" a="1"/>
  <c r="F64" i="14"/>
  <c r="BC65" i="7" a="1"/>
  <c r="F69" i="14"/>
  <c r="BC70" i="7" a="1"/>
  <c r="F74" i="14"/>
  <c r="BC75" i="7" a="1"/>
  <c r="F79" i="14"/>
  <c r="BC80" i="7" a="1"/>
  <c r="F85" i="14"/>
  <c r="BC86" i="7" a="1"/>
  <c r="F90" i="14"/>
  <c r="BC91" i="7" a="1"/>
  <c r="F96" i="14"/>
  <c r="BC97" i="7" a="1"/>
  <c r="F101" i="14"/>
  <c r="BC102" i="7" a="1"/>
  <c r="F49" i="14"/>
  <c r="BC50" i="7" a="1"/>
  <c r="F84" i="14"/>
  <c r="BC85" i="7" a="1"/>
  <c r="F99" i="14"/>
  <c r="BC100" i="7" a="1"/>
  <c r="F4" i="14"/>
  <c r="BC5" i="7" a="1"/>
  <c r="F46" i="14"/>
  <c r="BC47" i="7" a="1"/>
  <c r="F54" i="14"/>
  <c r="BC55" i="7" a="1"/>
  <c r="F59" i="14"/>
  <c r="BC60" i="7" a="1"/>
  <c r="F63" i="14"/>
  <c r="BC64" i="7" a="1"/>
  <c r="F68" i="14"/>
  <c r="BC69" i="7" a="1"/>
  <c r="F73" i="14"/>
  <c r="BC74" i="7" a="1"/>
  <c r="F82" i="14"/>
  <c r="BC83" i="7" a="1"/>
  <c r="F87" i="14"/>
  <c r="BC88" i="7" a="1"/>
  <c r="F92" i="14"/>
  <c r="BC93" i="7" a="1"/>
  <c r="F97" i="14"/>
  <c r="BC98" i="7" a="1"/>
  <c r="F40" i="14"/>
  <c r="BC41" i="7" a="1"/>
  <c r="F53" i="14"/>
  <c r="BC54" i="7" a="1"/>
  <c r="F57" i="14"/>
  <c r="BC58" i="7" a="1"/>
  <c r="F62" i="14"/>
  <c r="BC63" i="7" a="1"/>
  <c r="F67" i="14"/>
  <c r="BC68" i="7" a="1"/>
  <c r="F72" i="14"/>
  <c r="BC73" i="7" a="1"/>
  <c r="F77" i="14"/>
  <c r="BC78" i="7" a="1"/>
  <c r="F83" i="14"/>
  <c r="BC84" i="7" a="1"/>
  <c r="F88" i="14"/>
  <c r="BC89" i="7" a="1"/>
  <c r="F94" i="14"/>
  <c r="BC95" i="7" a="1"/>
  <c r="F100" i="14"/>
  <c r="BC101" i="7" a="1"/>
  <c r="F44" i="14"/>
  <c r="BC45" i="7" a="1"/>
  <c r="F52" i="14"/>
  <c r="BC53" i="7" a="1"/>
  <c r="F56" i="14"/>
  <c r="BC57" i="7" a="1"/>
  <c r="F65" i="14"/>
  <c r="BC66" i="7" a="1"/>
  <c r="F70" i="14"/>
  <c r="BC71" i="7" a="1"/>
  <c r="F75" i="14"/>
  <c r="BC76" i="7" a="1"/>
  <c r="F81" i="14"/>
  <c r="BC82" i="7" a="1"/>
  <c r="F89" i="14"/>
  <c r="BC90" i="7" a="1"/>
  <c r="F95" i="14"/>
  <c r="BC96" i="7" a="1"/>
  <c r="F102" i="14"/>
  <c r="BC103" i="7" a="1"/>
  <c r="F47" i="14"/>
  <c r="BC48" i="7" a="1"/>
  <c r="F60" i="14"/>
  <c r="BC61" i="7" a="1"/>
  <c r="F78" i="14"/>
  <c r="BC79" i="7" a="1"/>
  <c r="F91" i="14"/>
  <c r="BC92" i="7" a="1"/>
  <c r="F5" i="14"/>
  <c r="BC6" i="7" a="1"/>
  <c r="F9" i="14"/>
  <c r="BC10" i="7" a="1"/>
  <c r="F12" i="14"/>
  <c r="BC13" i="7" a="1"/>
  <c r="F14" i="14"/>
  <c r="BC15" i="7" a="1"/>
  <c r="F16" i="14"/>
  <c r="BC17" i="7" a="1"/>
  <c r="F18" i="14"/>
  <c r="BC19" i="7" a="1"/>
  <c r="F21" i="14"/>
  <c r="BC22" i="7" a="1"/>
  <c r="F23" i="14"/>
  <c r="BC24" i="7" a="1"/>
  <c r="F25" i="14"/>
  <c r="BC26" i="7" a="1"/>
  <c r="F27" i="14"/>
  <c r="BC28" i="7" a="1"/>
  <c r="F30" i="14"/>
  <c r="BC31" i="7" a="1"/>
  <c r="F33" i="14"/>
  <c r="BC34" i="7" a="1"/>
  <c r="F36" i="14"/>
  <c r="BC37" i="7" a="1"/>
  <c r="F39" i="14"/>
  <c r="BC40" i="7" a="1"/>
  <c r="F8" i="14"/>
  <c r="BC9" i="7" a="1"/>
  <c r="F20" i="14"/>
  <c r="BC21" i="7" a="1"/>
  <c r="F24" i="14"/>
  <c r="BC25" i="7" a="1"/>
  <c r="F29" i="14"/>
  <c r="BC30" i="7" a="1"/>
  <c r="F32" i="14"/>
  <c r="BC33" i="7" a="1"/>
  <c r="F35" i="14"/>
  <c r="BC36" i="7" a="1"/>
  <c r="F38" i="14"/>
  <c r="BC39" i="7" a="1"/>
  <c r="F41" i="14"/>
  <c r="BC42" i="7" a="1"/>
  <c r="F6" i="14"/>
  <c r="BC7" i="7" a="1"/>
  <c r="F7" i="14"/>
  <c r="BC8" i="7" a="1"/>
  <c r="F10" i="14"/>
  <c r="BC11" i="7" a="1"/>
  <c r="F11" i="14"/>
  <c r="BC12" i="7" a="1"/>
  <c r="F13" i="14"/>
  <c r="BC14" i="7" a="1"/>
  <c r="F15" i="14"/>
  <c r="BC16" i="7" a="1"/>
  <c r="F17" i="14"/>
  <c r="BC18" i="7" a="1"/>
  <c r="F19" i="14"/>
  <c r="BC20" i="7" a="1"/>
  <c r="F22" i="14"/>
  <c r="BC23" i="7" a="1"/>
  <c r="F26" i="14"/>
  <c r="BC27" i="7" a="1"/>
  <c r="F28" i="14"/>
  <c r="BC29" i="7" a="1"/>
  <c r="F31" i="14"/>
  <c r="BC32" i="7" a="1"/>
  <c r="F34" i="14"/>
  <c r="BC35" i="7" a="1"/>
  <c r="F37" i="14"/>
  <c r="BC38" i="7" a="1"/>
  <c r="C3" i="14"/>
  <c r="X4" i="7" a="1"/>
  <c r="B3" i="10" s="1"/>
  <c r="BB5" i="7"/>
  <c r="G4" i="14" s="1"/>
  <c r="BB41" i="7"/>
  <c r="G40" i="14" s="1"/>
  <c r="BB43" i="7"/>
  <c r="G42" i="14" s="1"/>
  <c r="BB45" i="7"/>
  <c r="G44" i="14" s="1"/>
  <c r="BB47" i="7"/>
  <c r="G46" i="14" s="1"/>
  <c r="BB48" i="7"/>
  <c r="G47" i="14" s="1"/>
  <c r="BB49" i="7"/>
  <c r="G48" i="14" s="1"/>
  <c r="BB50" i="7"/>
  <c r="G49" i="14" s="1"/>
  <c r="BB52" i="7"/>
  <c r="G51" i="14" s="1"/>
  <c r="BB53" i="7"/>
  <c r="G52" i="14" s="1"/>
  <c r="BB54" i="7"/>
  <c r="G53" i="14" s="1"/>
  <c r="BB55" i="7"/>
  <c r="G54" i="14" s="1"/>
  <c r="BB57" i="7"/>
  <c r="G56" i="14" s="1"/>
  <c r="BB58" i="7"/>
  <c r="G57" i="14" s="1"/>
  <c r="BB59" i="7"/>
  <c r="G58" i="14" s="1"/>
  <c r="BB60" i="7"/>
  <c r="G59" i="14" s="1"/>
  <c r="BB61" i="7"/>
  <c r="G60" i="14" s="1"/>
  <c r="BB63" i="7"/>
  <c r="G62" i="14" s="1"/>
  <c r="BB64" i="7"/>
  <c r="G63" i="14" s="1"/>
  <c r="BB65" i="7"/>
  <c r="G64" i="14" s="1"/>
  <c r="BB66" i="7"/>
  <c r="G65" i="14" s="1"/>
  <c r="BB68" i="7"/>
  <c r="G67" i="14" s="1"/>
  <c r="BB69" i="7"/>
  <c r="G68" i="14" s="1"/>
  <c r="BB70" i="7"/>
  <c r="G69" i="14" s="1"/>
  <c r="BB71" i="7"/>
  <c r="G70" i="14" s="1"/>
  <c r="BB73" i="7"/>
  <c r="G72" i="14" s="1"/>
  <c r="BB74" i="7"/>
  <c r="G73" i="14" s="1"/>
  <c r="BB75" i="7"/>
  <c r="G74" i="14" s="1"/>
  <c r="BB76" i="7"/>
  <c r="G75" i="14" s="1"/>
  <c r="BB77" i="7"/>
  <c r="G76" i="14" s="1"/>
  <c r="BB78" i="7"/>
  <c r="G77" i="14" s="1"/>
  <c r="BB79" i="7"/>
  <c r="G78" i="14" s="1"/>
  <c r="BB80" i="7"/>
  <c r="G79" i="14" s="1"/>
  <c r="BB96" i="7"/>
  <c r="G95" i="14" s="1"/>
  <c r="BB99" i="7"/>
  <c r="G98" i="14" s="1"/>
  <c r="BB103" i="7"/>
  <c r="G102" i="14" s="1"/>
  <c r="BB106" i="7"/>
  <c r="BB107" i="7"/>
  <c r="BB4" i="7"/>
  <c r="G3" i="14" s="1"/>
  <c r="F3" i="14"/>
  <c r="BB81" i="7"/>
  <c r="G80" i="14" s="1"/>
  <c r="BB82" i="7"/>
  <c r="G81" i="14" s="1"/>
  <c r="BB83" i="7"/>
  <c r="G82" i="14" s="1"/>
  <c r="BB84" i="7"/>
  <c r="G83" i="14" s="1"/>
  <c r="BB85" i="7"/>
  <c r="G84" i="14" s="1"/>
  <c r="BB86" i="7"/>
  <c r="G85" i="14" s="1"/>
  <c r="BB87" i="7"/>
  <c r="G86" i="14" s="1"/>
  <c r="BB88" i="7"/>
  <c r="G87" i="14" s="1"/>
  <c r="BB89" i="7"/>
  <c r="G88" i="14" s="1"/>
  <c r="BB90" i="7"/>
  <c r="G89" i="14" s="1"/>
  <c r="BB91" i="7"/>
  <c r="G90" i="14" s="1"/>
  <c r="BB92" i="7"/>
  <c r="G91" i="14" s="1"/>
  <c r="BB93" i="7"/>
  <c r="G92" i="14" s="1"/>
  <c r="BB94" i="7"/>
  <c r="G93" i="14" s="1"/>
  <c r="BB95" i="7"/>
  <c r="G94" i="14" s="1"/>
  <c r="BB97" i="7"/>
  <c r="G96" i="14" s="1"/>
  <c r="BB98" i="7"/>
  <c r="G97" i="14" s="1"/>
  <c r="BB100" i="7"/>
  <c r="G99" i="14" s="1"/>
  <c r="BB101" i="7"/>
  <c r="G100" i="14" s="1"/>
  <c r="BB102" i="7"/>
  <c r="G101" i="14" s="1"/>
  <c r="BB104" i="7"/>
  <c r="BB105" i="7"/>
  <c r="BB108" i="7"/>
  <c r="BB110" i="7"/>
  <c r="BB6" i="7"/>
  <c r="G5" i="14" s="1"/>
  <c r="BB10" i="7"/>
  <c r="G9" i="14" s="1"/>
  <c r="BB13" i="7"/>
  <c r="G12" i="14" s="1"/>
  <c r="BB15" i="7"/>
  <c r="G14" i="14" s="1"/>
  <c r="BB17" i="7"/>
  <c r="G16" i="14" s="1"/>
  <c r="BB19" i="7"/>
  <c r="G18" i="14" s="1"/>
  <c r="BB22" i="7"/>
  <c r="G21" i="14" s="1"/>
  <c r="BB24" i="7"/>
  <c r="G23" i="14" s="1"/>
  <c r="BB26" i="7"/>
  <c r="G25" i="14" s="1"/>
  <c r="BB28" i="7"/>
  <c r="G27" i="14" s="1"/>
  <c r="BB31" i="7"/>
  <c r="G30" i="14" s="1"/>
  <c r="BB34" i="7"/>
  <c r="G33" i="14" s="1"/>
  <c r="BB37" i="7"/>
  <c r="G36" i="14" s="1"/>
  <c r="BB40" i="7"/>
  <c r="G39" i="14" s="1"/>
  <c r="BB9" i="7"/>
  <c r="G8" i="14" s="1"/>
  <c r="BB21" i="7"/>
  <c r="G20" i="14" s="1"/>
  <c r="BB25" i="7"/>
  <c r="G24" i="14" s="1"/>
  <c r="BB30" i="7"/>
  <c r="G29" i="14" s="1"/>
  <c r="BB33" i="7"/>
  <c r="G32" i="14" s="1"/>
  <c r="BB36" i="7"/>
  <c r="G35" i="14" s="1"/>
  <c r="BB39" i="7"/>
  <c r="G38" i="14" s="1"/>
  <c r="BB42" i="7"/>
  <c r="G41" i="14" s="1"/>
  <c r="BB7" i="7"/>
  <c r="G6" i="14" s="1"/>
  <c r="BB8" i="7"/>
  <c r="G7" i="14" s="1"/>
  <c r="BB11" i="7"/>
  <c r="G10" i="14" s="1"/>
  <c r="BB12" i="7"/>
  <c r="G11" i="14" s="1"/>
  <c r="BB14" i="7"/>
  <c r="G13" i="14" s="1"/>
  <c r="BB16" i="7"/>
  <c r="G15" i="14" s="1"/>
  <c r="BB18" i="7"/>
  <c r="G17" i="14" s="1"/>
  <c r="BB20" i="7"/>
  <c r="G19" i="14" s="1"/>
  <c r="BB23" i="7"/>
  <c r="G22" i="14" s="1"/>
  <c r="BB27" i="7"/>
  <c r="G26" i="14" s="1"/>
  <c r="BB29" i="7"/>
  <c r="G28" i="14" s="1"/>
  <c r="BB32" i="7"/>
  <c r="G31" i="14" s="1"/>
  <c r="BB35" i="7"/>
  <c r="G34" i="14" s="1"/>
  <c r="BB38" i="7"/>
  <c r="G37" i="14" s="1"/>
  <c r="E13" i="13"/>
  <c r="C13" i="13"/>
  <c r="S26" i="7" a="1"/>
  <c r="S27" i="7" s="1" a="1"/>
  <c r="AN26" i="7" a="1"/>
  <c r="AN27" i="7" s="1" a="1"/>
  <c r="AN28" i="7" s="1" a="1"/>
  <c r="AN29" i="7" s="1" a="1"/>
  <c r="AN30" i="7" s="1" a="1"/>
  <c r="AN31" i="7" s="1" a="1"/>
  <c r="AN32" i="7" s="1" a="1"/>
  <c r="AN33" i="7" s="1" a="1"/>
  <c r="V26" i="7" a="1"/>
  <c r="V27" i="7" s="1" a="1"/>
  <c r="W26" i="7" a="1"/>
  <c r="W27" i="7" s="1" a="1"/>
  <c r="T26" i="7" a="1"/>
  <c r="T27" i="7" s="1" a="1"/>
  <c r="U26" i="7" a="1"/>
  <c r="U27" i="7" s="1" a="1"/>
  <c r="AM26" i="7" a="1"/>
  <c r="AQ26" i="7" a="1"/>
  <c r="AQ27" i="7" s="1" a="1"/>
  <c r="AQ28" i="7" s="1" a="1"/>
  <c r="AQ29" i="7" s="1" a="1"/>
  <c r="AQ30" i="7" s="1" a="1"/>
  <c r="AQ31" i="7" s="1" a="1"/>
  <c r="AQ32" i="7" s="1" a="1"/>
  <c r="AQ33" i="7" s="1" a="1"/>
  <c r="AQ34" i="7" s="1" a="1"/>
  <c r="AQ35" i="7" s="1" a="1"/>
  <c r="AQ36" i="7" s="1" a="1"/>
  <c r="AQ37" i="7" s="1" a="1"/>
  <c r="AQ38" i="7" s="1" a="1"/>
  <c r="AQ39" i="7" s="1" a="1"/>
  <c r="AQ40" i="7" s="1" a="1"/>
  <c r="AQ41" i="7" s="1" a="1"/>
  <c r="AQ42" i="7" s="1" a="1"/>
  <c r="AQ43" i="7" s="1" a="1"/>
  <c r="AQ44" i="7" s="1" a="1"/>
  <c r="AQ45" i="7" s="1" a="1"/>
  <c r="AQ46" i="7" s="1" a="1"/>
  <c r="AQ47" i="7" s="1" a="1"/>
  <c r="AQ48" i="7" s="1" a="1"/>
  <c r="AQ49" i="7" s="1" a="1"/>
  <c r="AQ50" i="7" s="1" a="1"/>
  <c r="AQ51" i="7" s="1" a="1"/>
  <c r="AQ52" i="7" s="1" a="1"/>
  <c r="AQ53" i="7" s="1" a="1"/>
  <c r="AO26" i="7" a="1"/>
  <c r="AO27" i="7" s="1" a="1"/>
  <c r="AO28" i="7" s="1" a="1"/>
  <c r="AO29" i="7" s="1" a="1"/>
  <c r="AO30" i="7" s="1" a="1"/>
  <c r="AP26" i="7" a="1"/>
  <c r="AP27" i="7" s="1" a="1"/>
  <c r="AP28" i="7" s="1" a="1"/>
  <c r="AP29" i="7" s="1" a="1"/>
  <c r="AP30" i="7" s="1" a="1"/>
  <c r="AP31" i="7" s="1" a="1"/>
  <c r="AP32" i="7" s="1" a="1"/>
  <c r="AP33" i="7" s="1" a="1"/>
  <c r="AP34" i="7" s="1" a="1"/>
  <c r="AP35" i="7" s="1" a="1"/>
  <c r="AP36" i="7" s="1" a="1"/>
  <c r="AP37" i="7" s="1" a="1"/>
  <c r="AP38" i="7" s="1" a="1"/>
  <c r="AP39" i="7" s="1" a="1"/>
  <c r="AP40" i="7" s="1" a="1"/>
  <c r="AP41" i="7" s="1" a="1"/>
  <c r="AP42" i="7" s="1" a="1"/>
  <c r="AP43" i="7" s="1" a="1"/>
  <c r="AP44" i="7" s="1" a="1"/>
  <c r="AP45" i="7" s="1" a="1"/>
  <c r="AP46" i="7" s="1" a="1"/>
  <c r="AP47" i="7" s="1" a="1"/>
  <c r="AP48" i="7" s="1" a="1"/>
  <c r="AP49" i="7" s="1" a="1"/>
  <c r="AP50" i="7" s="1" a="1"/>
  <c r="AP51" i="7" s="1" a="1"/>
  <c r="AP52" i="7" s="1" a="1"/>
  <c r="AP53" i="7" s="1" a="1"/>
  <c r="AP54" i="7" s="1" a="1"/>
  <c r="AP55" i="7" s="1" a="1"/>
  <c r="AR26" i="7" a="1"/>
  <c r="AR27" i="7" s="1" a="1"/>
  <c r="AR28" i="7" s="1" a="1"/>
  <c r="R26" i="7" a="1"/>
  <c r="R27" i="7" s="1" a="1"/>
  <c r="E9" i="12"/>
  <c r="G16" i="12"/>
  <c r="B17" i="12"/>
  <c r="C17" i="12"/>
  <c r="D17" i="12"/>
  <c r="E17" i="12"/>
  <c r="F17" i="12"/>
  <c r="G17" i="12"/>
  <c r="B18" i="12"/>
  <c r="C18" i="12"/>
  <c r="D18" i="12"/>
  <c r="E18" i="12"/>
  <c r="F18" i="12"/>
  <c r="G18" i="12"/>
  <c r="B19" i="12"/>
  <c r="C19" i="12"/>
  <c r="D19" i="12"/>
  <c r="E19" i="12"/>
  <c r="F19" i="12"/>
  <c r="G19" i="12"/>
  <c r="B20" i="12"/>
  <c r="C20" i="12"/>
  <c r="D20" i="12"/>
  <c r="E20" i="12"/>
  <c r="F20" i="12"/>
  <c r="G20" i="12"/>
  <c r="B21" i="12"/>
  <c r="C21" i="12"/>
  <c r="D21" i="12"/>
  <c r="E21" i="12"/>
  <c r="F21" i="12"/>
  <c r="G21" i="12"/>
  <c r="B22" i="12"/>
  <c r="C22" i="12"/>
  <c r="D22" i="12"/>
  <c r="F22" i="12"/>
  <c r="B23" i="12"/>
  <c r="C23" i="12"/>
  <c r="D23" i="12"/>
  <c r="E23" i="12"/>
  <c r="F23" i="12"/>
  <c r="G23" i="12"/>
  <c r="B24" i="12"/>
  <c r="C24" i="12"/>
  <c r="E24" i="12"/>
  <c r="F24" i="12"/>
  <c r="G24" i="12"/>
  <c r="C4" i="11"/>
  <c r="D4" i="11"/>
  <c r="E4" i="11"/>
  <c r="F4" i="11"/>
  <c r="G4" i="11"/>
  <c r="C5" i="11"/>
  <c r="D5" i="11"/>
  <c r="E5" i="11"/>
  <c r="F5" i="11"/>
  <c r="G5" i="11"/>
  <c r="C6" i="11"/>
  <c r="E6" i="11"/>
  <c r="G6" i="11"/>
  <c r="C7" i="11"/>
  <c r="E7" i="11"/>
  <c r="G7" i="11"/>
  <c r="C8" i="11"/>
  <c r="E8" i="11"/>
  <c r="G8" i="11"/>
  <c r="D9" i="11"/>
  <c r="F9" i="11"/>
  <c r="C10" i="11"/>
  <c r="G10" i="11"/>
  <c r="D11" i="11"/>
  <c r="F11" i="11"/>
  <c r="C12" i="11"/>
  <c r="E12" i="11"/>
  <c r="C13" i="11"/>
  <c r="E13" i="11"/>
  <c r="G13" i="11"/>
  <c r="D14" i="11"/>
  <c r="G14" i="11"/>
  <c r="C15" i="11"/>
  <c r="E15" i="11"/>
  <c r="C16" i="11"/>
  <c r="F16" i="11"/>
  <c r="D17" i="11"/>
  <c r="G17" i="11"/>
  <c r="E18" i="11"/>
  <c r="G18" i="11"/>
  <c r="D19" i="11"/>
  <c r="E19" i="11"/>
  <c r="G19" i="11"/>
  <c r="D20" i="11"/>
  <c r="E20" i="11"/>
  <c r="F20" i="11"/>
  <c r="C21" i="11"/>
  <c r="F21" i="11"/>
  <c r="C22" i="11"/>
  <c r="E22" i="11"/>
  <c r="G22" i="11"/>
  <c r="F23" i="11"/>
  <c r="C24" i="11"/>
  <c r="E24" i="11"/>
  <c r="G24" i="11"/>
  <c r="B6" i="11"/>
  <c r="B19" i="11"/>
  <c r="B23" i="11"/>
  <c r="B5" i="11"/>
  <c r="B7" i="11"/>
  <c r="B8" i="11"/>
  <c r="B9" i="11"/>
  <c r="B10" i="11"/>
  <c r="B11" i="11"/>
  <c r="B12" i="11"/>
  <c r="B13" i="11"/>
  <c r="B14" i="11"/>
  <c r="B15" i="11"/>
  <c r="B16" i="11"/>
  <c r="B18" i="11"/>
  <c r="B21" i="11"/>
  <c r="B24" i="11"/>
  <c r="C4" i="12"/>
  <c r="E4" i="12"/>
  <c r="G4" i="12"/>
  <c r="C5" i="12"/>
  <c r="F5" i="12"/>
  <c r="B6" i="12"/>
  <c r="E7" i="12"/>
  <c r="B8" i="12"/>
  <c r="C8" i="12"/>
  <c r="E8" i="12"/>
  <c r="B9" i="12"/>
  <c r="G9" i="12"/>
  <c r="F10" i="12"/>
  <c r="B13" i="12"/>
  <c r="C13" i="12"/>
  <c r="C14" i="12"/>
  <c r="C15" i="12"/>
  <c r="F15" i="12"/>
  <c r="F16" i="12"/>
  <c r="G22" i="12"/>
  <c r="E22" i="12"/>
  <c r="F6" i="11"/>
  <c r="D24" i="12"/>
  <c r="D6" i="11"/>
  <c r="D7" i="11"/>
  <c r="F7" i="11"/>
  <c r="D8" i="11"/>
  <c r="F8" i="11"/>
  <c r="C9" i="11"/>
  <c r="E9" i="11"/>
  <c r="G9" i="11"/>
  <c r="D10" i="11"/>
  <c r="E10" i="11"/>
  <c r="F10" i="11"/>
  <c r="C11" i="11"/>
  <c r="E11" i="11"/>
  <c r="G11" i="11"/>
  <c r="D12" i="11"/>
  <c r="F12" i="11"/>
  <c r="G12" i="11"/>
  <c r="D13" i="11"/>
  <c r="F13" i="11"/>
  <c r="C14" i="11"/>
  <c r="E14" i="11"/>
  <c r="F14" i="11"/>
  <c r="D15" i="11"/>
  <c r="F15" i="11"/>
  <c r="G15" i="11"/>
  <c r="D16" i="11"/>
  <c r="E16" i="11"/>
  <c r="G16" i="11"/>
  <c r="C17" i="11"/>
  <c r="E17" i="11"/>
  <c r="F17" i="11"/>
  <c r="C18" i="11"/>
  <c r="F18" i="11"/>
  <c r="C19" i="11"/>
  <c r="F19" i="11"/>
  <c r="C20" i="11"/>
  <c r="G20" i="11"/>
  <c r="D21" i="11"/>
  <c r="G21" i="11"/>
  <c r="C23" i="11"/>
  <c r="E23" i="11"/>
  <c r="D24" i="11"/>
  <c r="F24" i="11"/>
  <c r="B17" i="11"/>
  <c r="B20" i="11"/>
  <c r="B22" i="11"/>
  <c r="B4" i="12"/>
  <c r="D4" i="12"/>
  <c r="F4" i="12"/>
  <c r="B5" i="12"/>
  <c r="D5" i="12"/>
  <c r="E5" i="12"/>
  <c r="C6" i="12"/>
  <c r="D6" i="12"/>
  <c r="F6" i="12"/>
  <c r="G6" i="12"/>
  <c r="B7" i="12"/>
  <c r="D7" i="12"/>
  <c r="F7" i="12"/>
  <c r="D8" i="12"/>
  <c r="G8" i="12"/>
  <c r="C9" i="12"/>
  <c r="C10" i="12"/>
  <c r="B11" i="12"/>
  <c r="C11" i="12"/>
  <c r="E11" i="12"/>
  <c r="G11" i="12"/>
  <c r="C12" i="12"/>
  <c r="G12" i="12"/>
  <c r="D13" i="12"/>
  <c r="G13" i="12"/>
  <c r="F14" i="12"/>
  <c r="B15" i="12"/>
  <c r="G15" i="12"/>
  <c r="C16" i="12"/>
  <c r="D18" i="11"/>
  <c r="E21" i="11"/>
  <c r="D22" i="11"/>
  <c r="F22" i="11"/>
  <c r="D23" i="11"/>
  <c r="G23" i="11"/>
  <c r="G5" i="12"/>
  <c r="E6" i="12"/>
  <c r="C7" i="12"/>
  <c r="G7" i="12"/>
  <c r="F8" i="12"/>
  <c r="D9" i="12"/>
  <c r="F9" i="12"/>
  <c r="B10" i="12"/>
  <c r="D10" i="12"/>
  <c r="E10" i="12"/>
  <c r="G10" i="12"/>
  <c r="D11" i="12"/>
  <c r="F11" i="12"/>
  <c r="B12" i="12"/>
  <c r="D12" i="12"/>
  <c r="E12" i="12"/>
  <c r="F12" i="12"/>
  <c r="E13" i="12"/>
  <c r="F13" i="12"/>
  <c r="B14" i="12"/>
  <c r="D14" i="12"/>
  <c r="E14" i="12"/>
  <c r="G14" i="12"/>
  <c r="D15" i="12"/>
  <c r="E15" i="12"/>
  <c r="B16" i="12"/>
  <c r="D16" i="12"/>
  <c r="E16" i="12"/>
  <c r="B4" i="11"/>
  <c r="K6" i="7"/>
  <c r="AK5" i="7"/>
  <c r="C5" i="9" s="1"/>
  <c r="M5" i="7" a="1"/>
  <c r="L5" i="7" a="1"/>
  <c r="N5" i="7" s="1" a="1"/>
  <c r="O5" i="7" s="1" a="1"/>
  <c r="D6" i="5"/>
  <c r="L11" i="1" a="1"/>
  <c r="Q11" i="1" s="1" a="1"/>
  <c r="Q12" i="1" a="1"/>
  <c r="Q13" i="1" a="1"/>
  <c r="Q14" i="1" a="1"/>
  <c r="Q4" i="1" a="1"/>
  <c r="K25" i="1"/>
  <c r="D10" i="5"/>
  <c r="D22" i="5"/>
  <c r="C6" i="5"/>
  <c r="C16" i="5"/>
  <c r="D16" i="5"/>
  <c r="C10" i="5"/>
  <c r="C22" i="5"/>
  <c r="T24" i="1" a="1"/>
  <c r="U24" i="1" a="1"/>
  <c r="S24" i="1" a="1"/>
  <c r="W4" i="1" a="1"/>
  <c r="X4" i="1" a="1"/>
  <c r="W5" i="1" a="1"/>
  <c r="X5" i="1" a="1"/>
  <c r="W6" i="1" a="1"/>
  <c r="X6" i="1" a="1"/>
  <c r="W7" i="1" a="1"/>
  <c r="X7" i="1" a="1"/>
  <c r="W8" i="1" a="1"/>
  <c r="X8" i="1" a="1"/>
  <c r="W9" i="1" a="1"/>
  <c r="X9" i="1" a="1"/>
  <c r="W10" i="1" a="1"/>
  <c r="X10" i="1" a="1"/>
  <c r="W11" i="1" a="1"/>
  <c r="X11" i="1" a="1"/>
  <c r="W12" i="1" a="1"/>
  <c r="X12" i="1" a="1"/>
  <c r="W13" i="1" a="1"/>
  <c r="X13" i="1" a="1"/>
  <c r="W14" i="1" a="1"/>
  <c r="X14" i="1" a="1"/>
  <c r="W15" i="1" a="1"/>
  <c r="X15" i="1" a="1"/>
  <c r="W16" i="1" a="1"/>
  <c r="X16" i="1" a="1"/>
  <c r="W17" i="1" a="1"/>
  <c r="X17" i="1" a="1"/>
  <c r="W18" i="1" a="1"/>
  <c r="X18" i="1" a="1"/>
  <c r="W19" i="1" a="1"/>
  <c r="X19" i="1" a="1"/>
  <c r="W20" i="1" a="1"/>
  <c r="X20" i="1" a="1"/>
  <c r="W21" i="1" a="1"/>
  <c r="X21" i="1" a="1"/>
  <c r="W22" i="1" a="1"/>
  <c r="X22" i="1" a="1"/>
  <c r="W23" i="1" a="1"/>
  <c r="X23" i="1" a="1"/>
  <c r="W27" i="1" a="1"/>
  <c r="X27" i="1" a="1"/>
  <c r="W28" i="1" a="1"/>
  <c r="X28" i="1" a="1"/>
  <c r="S29" i="1" a="1"/>
  <c r="T29" i="1" a="1"/>
  <c r="U29" i="1" a="1"/>
  <c r="P4" i="1" a="1"/>
  <c r="V4" i="1" a="1"/>
  <c r="K30" i="1"/>
  <c r="M24" i="1" a="1"/>
  <c r="M29" i="1" a="1"/>
  <c r="Q15" i="1" a="1"/>
  <c r="Q16" i="1" a="1"/>
  <c r="Q17" i="1" a="1"/>
  <c r="Q18" i="1" a="1"/>
  <c r="Q19" i="1" a="1"/>
  <c r="Q20" i="1" a="1"/>
  <c r="Q21" i="1" a="1"/>
  <c r="Q22" i="1" a="1"/>
  <c r="Q23" i="1" a="1"/>
  <c r="L24" i="1" a="1"/>
  <c r="Q24" i="1" s="1" a="1"/>
  <c r="Q27" i="1" a="1"/>
  <c r="Q28" i="1" a="1"/>
  <c r="L29" i="1" a="1"/>
  <c r="Q29" i="1" s="1" a="1"/>
  <c r="D23" i="5"/>
  <c r="D28" i="5"/>
  <c r="C28" i="5"/>
  <c r="C23" i="5"/>
  <c r="K26" i="1"/>
  <c r="U25" i="1" a="1"/>
  <c r="T25" i="1" a="1"/>
  <c r="S25" i="1" a="1"/>
  <c r="R11" i="1"/>
  <c r="D25" i="5"/>
  <c r="D24" i="5"/>
  <c r="O5" i="1" a="1"/>
  <c r="P5" i="1" a="1"/>
  <c r="O6" i="1" a="1"/>
  <c r="P6" i="1" a="1"/>
  <c r="O7" i="1" a="1"/>
  <c r="P7" i="1" a="1"/>
  <c r="O8" i="1" a="1"/>
  <c r="P8" i="1" a="1"/>
  <c r="O9" i="1" a="1"/>
  <c r="P9" i="1" a="1"/>
  <c r="O10" i="1" a="1"/>
  <c r="P10" i="1" a="1"/>
  <c r="O11" i="1" a="1"/>
  <c r="P11" i="1" a="1"/>
  <c r="O12" i="1" a="1"/>
  <c r="P12" i="1" a="1"/>
  <c r="O13" i="1" a="1"/>
  <c r="P13" i="1" a="1"/>
  <c r="O14" i="1" a="1"/>
  <c r="P14" i="1" a="1"/>
  <c r="O4" i="1" a="1"/>
  <c r="N25" i="1" a="1"/>
  <c r="N26" i="1" a="1"/>
  <c r="R4" i="1"/>
  <c r="R7" i="1"/>
  <c r="R9" i="1"/>
  <c r="R14" i="1"/>
  <c r="Y4" i="1"/>
  <c r="Y5" i="1"/>
  <c r="Y6" i="1"/>
  <c r="P15" i="1" a="1"/>
  <c r="O15" i="1" a="1"/>
  <c r="P16" i="1" a="1"/>
  <c r="O16" i="1" a="1"/>
  <c r="P17" i="1" a="1"/>
  <c r="O17" i="1" a="1"/>
  <c r="P18" i="1" a="1"/>
  <c r="O18" i="1" a="1"/>
  <c r="P19" i="1" a="1"/>
  <c r="O19" i="1" a="1"/>
  <c r="P20" i="1" a="1"/>
  <c r="O20" i="1" a="1"/>
  <c r="P21" i="1" a="1"/>
  <c r="O21" i="1" a="1"/>
  <c r="P22" i="1" a="1"/>
  <c r="O22" i="1" a="1"/>
  <c r="P23" i="1" a="1"/>
  <c r="O23" i="1" a="1"/>
  <c r="P27" i="1" a="1"/>
  <c r="O27" i="1" a="1"/>
  <c r="P28" i="1" a="1"/>
  <c r="O28" i="1" a="1"/>
  <c r="R20" i="1"/>
  <c r="R23" i="1"/>
  <c r="R28" i="1"/>
  <c r="Y9" i="1"/>
  <c r="Y7" i="1"/>
  <c r="Y8" i="1"/>
  <c r="Y10" i="1"/>
  <c r="Y11" i="1"/>
  <c r="Y13" i="1"/>
  <c r="Y16" i="1"/>
  <c r="Y20" i="1"/>
  <c r="Y21" i="1"/>
  <c r="Y22" i="1"/>
  <c r="Y27" i="1"/>
  <c r="Y12" i="1"/>
  <c r="Y14" i="1"/>
  <c r="Y15" i="1"/>
  <c r="Y19" i="1"/>
  <c r="Y28" i="1"/>
  <c r="Y23" i="1"/>
  <c r="Y17" i="1"/>
  <c r="Y18" i="1"/>
  <c r="AZ102" i="7" l="1" a="1"/>
  <c r="E101" i="14" s="1"/>
  <c r="AZ59" i="7" a="1"/>
  <c r="E58" i="14" s="1"/>
  <c r="AZ26" i="7" a="1"/>
  <c r="AZ106" i="7" a="1"/>
  <c r="AZ61" i="7" a="1"/>
  <c r="E60" i="14" s="1"/>
  <c r="AZ37" i="7" a="1"/>
  <c r="AZ104" i="7" a="1"/>
  <c r="AZ97" i="7" a="1"/>
  <c r="E96" i="14" s="1"/>
  <c r="AZ89" i="7" a="1"/>
  <c r="E88" i="14" s="1"/>
  <c r="AZ84" i="7" a="1"/>
  <c r="E83" i="14" s="1"/>
  <c r="AZ75" i="7" a="1"/>
  <c r="E74" i="14" s="1"/>
  <c r="AZ70" i="7" a="1"/>
  <c r="E69" i="14" s="1"/>
  <c r="AZ64" i="7" a="1"/>
  <c r="E63" i="14" s="1"/>
  <c r="AZ57" i="7" a="1"/>
  <c r="E56" i="14" s="1"/>
  <c r="AZ47" i="7" a="1"/>
  <c r="E46" i="14" s="1"/>
  <c r="AZ40" i="7" a="1"/>
  <c r="AZ33" i="7" a="1"/>
  <c r="AZ28" i="7" a="1"/>
  <c r="AZ105" i="7" a="1"/>
  <c r="AZ85" i="7" a="1"/>
  <c r="E84" i="14" s="1"/>
  <c r="AZ69" i="7" a="1"/>
  <c r="E68" i="14" s="1"/>
  <c r="AZ56" i="7" a="1"/>
  <c r="E55" i="14" s="1"/>
  <c r="AZ39" i="7" a="1"/>
  <c r="AZ50" i="7" a="1"/>
  <c r="E49" i="14" s="1"/>
  <c r="AZ109" i="7" a="1"/>
  <c r="AZ94" i="7" a="1"/>
  <c r="E93" i="14" s="1"/>
  <c r="AZ65" i="7" a="1"/>
  <c r="E64" i="14" s="1"/>
  <c r="AZ49" i="7" a="1"/>
  <c r="E48" i="14" s="1"/>
  <c r="AZ30" i="7" a="1"/>
  <c r="AZ110" i="7" a="1"/>
  <c r="AZ71" i="7" a="1"/>
  <c r="E70" i="14" s="1"/>
  <c r="AZ54" i="7" a="1"/>
  <c r="E53" i="14" s="1"/>
  <c r="AZ27" i="7" a="1"/>
  <c r="AZ91" i="7" a="1"/>
  <c r="E90" i="14" s="1"/>
  <c r="AZ74" i="7" a="1"/>
  <c r="E73" i="14" s="1"/>
  <c r="AZ46" i="7" a="1"/>
  <c r="AZ99" i="7" a="1"/>
  <c r="E98" i="14" s="1"/>
  <c r="AZ81" i="7" a="1"/>
  <c r="E80" i="14" s="1"/>
  <c r="AZ62" i="7" a="1"/>
  <c r="E61" i="14" s="1"/>
  <c r="AZ53" i="7" a="1"/>
  <c r="E52" i="14" s="1"/>
  <c r="AZ35" i="7" a="1"/>
  <c r="AZ23" i="7" a="1"/>
  <c r="AZ103" i="7" a="1"/>
  <c r="E102" i="14" s="1"/>
  <c r="AZ98" i="7" a="1"/>
  <c r="E97" i="14" s="1"/>
  <c r="AZ95" i="7" a="1"/>
  <c r="E94" i="14" s="1"/>
  <c r="AZ90" i="7" a="1"/>
  <c r="E89" i="14" s="1"/>
  <c r="AZ87" i="7" a="1"/>
  <c r="E86" i="14" s="1"/>
  <c r="AZ83" i="7" a="1"/>
  <c r="E82" i="14" s="1"/>
  <c r="AZ79" i="7" a="1"/>
  <c r="E78" i="14" s="1"/>
  <c r="AZ76" i="7" a="1"/>
  <c r="E75" i="14" s="1"/>
  <c r="AZ72" i="7" a="1"/>
  <c r="E71" i="14" s="1"/>
  <c r="AZ68" i="7" a="1"/>
  <c r="E67" i="14" s="1"/>
  <c r="AZ63" i="7" a="1"/>
  <c r="E62" i="14" s="1"/>
  <c r="AZ58" i="7" a="1"/>
  <c r="E57" i="14" s="1"/>
  <c r="AZ55" i="7" a="1"/>
  <c r="E54" i="14" s="1"/>
  <c r="AZ52" i="7" a="1"/>
  <c r="E51" i="14" s="1"/>
  <c r="AZ48" i="7" a="1"/>
  <c r="E47" i="14" s="1"/>
  <c r="AZ45" i="7" a="1"/>
  <c r="AZ41" i="7" a="1"/>
  <c r="AZ38" i="7" a="1"/>
  <c r="AZ34" i="7" a="1"/>
  <c r="AZ29" i="7" a="1"/>
  <c r="AZ25" i="7" a="1"/>
  <c r="AZ107" i="7" a="1"/>
  <c r="AZ101" i="7" a="1"/>
  <c r="E100" i="14" s="1"/>
  <c r="AZ96" i="7" a="1"/>
  <c r="E95" i="14" s="1"/>
  <c r="AZ92" i="7" a="1"/>
  <c r="E91" i="14" s="1"/>
  <c r="AZ88" i="7" a="1"/>
  <c r="E87" i="14" s="1"/>
  <c r="AZ82" i="7" a="1"/>
  <c r="E81" i="14" s="1"/>
  <c r="AZ78" i="7" a="1"/>
  <c r="E77" i="14" s="1"/>
  <c r="AZ77" i="7" a="1"/>
  <c r="E76" i="14" s="1"/>
  <c r="AZ42" i="7" a="1"/>
  <c r="AZ66" i="7" a="1"/>
  <c r="E65" i="14" s="1"/>
  <c r="AZ44" i="7" a="1"/>
  <c r="AZ32" i="7" a="1"/>
  <c r="AZ108" i="7" a="1"/>
  <c r="AZ100" i="7" a="1"/>
  <c r="E99" i="14" s="1"/>
  <c r="AZ93" i="7" a="1"/>
  <c r="E92" i="14" s="1"/>
  <c r="AZ86" i="7" a="1"/>
  <c r="E85" i="14" s="1"/>
  <c r="AZ80" i="7" a="1"/>
  <c r="E79" i="14" s="1"/>
  <c r="AZ73" i="7" a="1"/>
  <c r="E72" i="14" s="1"/>
  <c r="AZ67" i="7" a="1"/>
  <c r="E66" i="14" s="1"/>
  <c r="AZ60" i="7" a="1"/>
  <c r="E59" i="14" s="1"/>
  <c r="AZ51" i="7" a="1"/>
  <c r="E50" i="14" s="1"/>
  <c r="AZ43" i="7" a="1"/>
  <c r="AZ36" i="7" a="1"/>
  <c r="AZ31" i="7" a="1"/>
  <c r="AZ24" i="7" a="1"/>
  <c r="AT34" i="7" a="1"/>
  <c r="AT35" i="7" s="1" a="1"/>
  <c r="AT36" i="7" s="1" a="1"/>
  <c r="AT37" i="7" s="1" a="1"/>
  <c r="AT38" i="7" s="1" a="1"/>
  <c r="AT39" i="7" s="1" a="1"/>
  <c r="AT40" i="7" s="1" a="1"/>
  <c r="AV37" i="7" a="1"/>
  <c r="AV38" i="7" s="1" a="1"/>
  <c r="AV39" i="7" s="1" a="1"/>
  <c r="AV40" i="7" s="1" a="1"/>
  <c r="AV41" i="7" s="1" a="1"/>
  <c r="AV42" i="7" s="1" a="1"/>
  <c r="AV43" i="7" s="1" a="1"/>
  <c r="AV44" i="7" s="1" a="1"/>
  <c r="AV45" i="7" s="1" a="1"/>
  <c r="AV46" i="7" s="1" a="1"/>
  <c r="AV47" i="7" s="1" a="1"/>
  <c r="AV48" i="7" s="1" a="1"/>
  <c r="AV49" i="7" s="1" a="1"/>
  <c r="AV50" i="7" s="1" a="1"/>
  <c r="AV51" i="7" s="1" a="1"/>
  <c r="AV52" i="7" s="1" a="1"/>
  <c r="AS39" i="7" a="1"/>
  <c r="AS40" i="7" s="1" a="1"/>
  <c r="AS41" i="7" s="1" a="1"/>
  <c r="AS42" i="7" s="1" a="1"/>
  <c r="AS43" i="7" s="1" a="1"/>
  <c r="AU40" i="7" a="1"/>
  <c r="AU41" i="7" s="1" a="1"/>
  <c r="AU42" i="7" s="1" a="1"/>
  <c r="AU43" i="7" s="1" a="1"/>
  <c r="AU44" i="7" s="1" a="1"/>
  <c r="AU45" i="7" s="1" a="1"/>
  <c r="AU46" i="7" s="1" a="1"/>
  <c r="AU47" i="7" s="1" a="1"/>
  <c r="AU48" i="7" s="1" a="1"/>
  <c r="AY66" i="7" a="1"/>
  <c r="D65" i="14" s="1"/>
  <c r="AY62" i="7" a="1"/>
  <c r="D61" i="14" s="1"/>
  <c r="AY58" i="7" a="1"/>
  <c r="D57" i="14" s="1"/>
  <c r="AY53" i="7" a="1"/>
  <c r="D52" i="14" s="1"/>
  <c r="AY48" i="7" a="1"/>
  <c r="D47" i="14" s="1"/>
  <c r="AY39" i="7" a="1"/>
  <c r="AY34" i="7" a="1"/>
  <c r="AY29" i="7" a="1"/>
  <c r="AY24" i="7" a="1"/>
  <c r="AY73" i="7" a="1"/>
  <c r="D72" i="14" s="1"/>
  <c r="AY89" i="7" a="1"/>
  <c r="D88" i="14" s="1"/>
  <c r="AY59" i="7" a="1"/>
  <c r="D58" i="14" s="1"/>
  <c r="AY30" i="7" a="1"/>
  <c r="AY100" i="7" a="1"/>
  <c r="D99" i="14" s="1"/>
  <c r="AY72" i="7" a="1"/>
  <c r="D71" i="14" s="1"/>
  <c r="AY47" i="7" a="1"/>
  <c r="D46" i="14" s="1"/>
  <c r="AY67" i="7" a="1"/>
  <c r="D66" i="14" s="1"/>
  <c r="AY43" i="7" a="1"/>
  <c r="AY108" i="7" a="1"/>
  <c r="AY55" i="7" a="1"/>
  <c r="D54" i="14" s="1"/>
  <c r="AY27" i="7" a="1"/>
  <c r="AY78" i="7" a="1"/>
  <c r="D77" i="14" s="1"/>
  <c r="AY42" i="7" a="1"/>
  <c r="AY86" i="7" a="1"/>
  <c r="D85" i="14" s="1"/>
  <c r="AY68" i="7" a="1"/>
  <c r="D67" i="14" s="1"/>
  <c r="AY63" i="7" a="1"/>
  <c r="D62" i="14" s="1"/>
  <c r="AY35" i="7" a="1"/>
  <c r="AY87" i="7" a="1"/>
  <c r="D86" i="14" s="1"/>
  <c r="AY79" i="7" a="1"/>
  <c r="D78" i="14" s="1"/>
  <c r="AY52" i="7" a="1"/>
  <c r="D51" i="14" s="1"/>
  <c r="AY28" i="7" a="1"/>
  <c r="AY44" i="7" a="1"/>
  <c r="AY95" i="7" a="1"/>
  <c r="D94" i="14" s="1"/>
  <c r="AY74" i="7" a="1"/>
  <c r="D73" i="14" s="1"/>
  <c r="AY41" i="7" a="1"/>
  <c r="AY77" i="7" a="1"/>
  <c r="D76" i="14" s="1"/>
  <c r="AY23" i="7" a="1"/>
  <c r="AY36" i="7" a="1"/>
  <c r="AY106" i="7" a="1"/>
  <c r="AY101" i="7" a="1"/>
  <c r="D100" i="14" s="1"/>
  <c r="AY93" i="7" a="1"/>
  <c r="D92" i="14" s="1"/>
  <c r="AY70" i="7" a="1"/>
  <c r="D69" i="14" s="1"/>
  <c r="AY40" i="7" a="1"/>
  <c r="AY107" i="7" a="1"/>
  <c r="AY99" i="7" a="1"/>
  <c r="D98" i="14" s="1"/>
  <c r="AY57" i="7" a="1"/>
  <c r="D56" i="14" s="1"/>
  <c r="AY33" i="7" a="1"/>
  <c r="AY45" i="7" a="1"/>
  <c r="AY102" i="7" a="1"/>
  <c r="D101" i="14" s="1"/>
  <c r="AY82" i="7" a="1"/>
  <c r="D81" i="14" s="1"/>
  <c r="AY37" i="7" a="1"/>
  <c r="AY84" i="7" a="1"/>
  <c r="D83" i="14" s="1"/>
  <c r="AY64" i="7" a="1"/>
  <c r="D63" i="14" s="1"/>
  <c r="AY105" i="7" a="1"/>
  <c r="AY96" i="7" a="1"/>
  <c r="D95" i="14" s="1"/>
  <c r="AY94" i="7" a="1"/>
  <c r="D93" i="14" s="1"/>
  <c r="AY71" i="7" a="1"/>
  <c r="D70" i="14" s="1"/>
  <c r="AY60" i="7" a="1"/>
  <c r="D59" i="14" s="1"/>
  <c r="AY51" i="7" a="1"/>
  <c r="D50" i="14" s="1"/>
  <c r="AY26" i="7" a="1"/>
  <c r="AY88" i="7" a="1"/>
  <c r="D87" i="14" s="1"/>
  <c r="AY110" i="7" a="1"/>
  <c r="AY91" i="7" a="1"/>
  <c r="D90" i="14" s="1"/>
  <c r="AY85" i="7" a="1"/>
  <c r="D84" i="14" s="1"/>
  <c r="AY75" i="7" a="1"/>
  <c r="D74" i="14" s="1"/>
  <c r="AY80" i="7" a="1"/>
  <c r="D79" i="14" s="1"/>
  <c r="AY76" i="7" a="1"/>
  <c r="D75" i="14" s="1"/>
  <c r="AY49" i="7" a="1"/>
  <c r="D48" i="14" s="1"/>
  <c r="AY25" i="7" a="1"/>
  <c r="AY81" i="7" a="1"/>
  <c r="D80" i="14" s="1"/>
  <c r="AY65" i="7" a="1"/>
  <c r="D64" i="14" s="1"/>
  <c r="AY38" i="7" a="1"/>
  <c r="AY46" i="7" a="1"/>
  <c r="AY97" i="7" a="1"/>
  <c r="D96" i="14" s="1"/>
  <c r="AY90" i="7" a="1"/>
  <c r="D89" i="14" s="1"/>
  <c r="AY50" i="7" a="1"/>
  <c r="D49" i="14" s="1"/>
  <c r="AY32" i="7" a="1"/>
  <c r="AY83" i="7" a="1"/>
  <c r="D82" i="14" s="1"/>
  <c r="AY56" i="7" a="1"/>
  <c r="D55" i="14" s="1"/>
  <c r="AY103" i="7" a="1"/>
  <c r="D102" i="14" s="1"/>
  <c r="AY104" i="7" a="1"/>
  <c r="AY98" i="7" a="1"/>
  <c r="D97" i="14" s="1"/>
  <c r="AY54" i="7" a="1"/>
  <c r="D53" i="14" s="1"/>
  <c r="AY92" i="7" a="1"/>
  <c r="D91" i="14" s="1"/>
  <c r="AY61" i="7" a="1"/>
  <c r="D60" i="14" s="1"/>
  <c r="AY69" i="7" a="1"/>
  <c r="D68" i="14" s="1"/>
  <c r="AY109" i="7" a="1"/>
  <c r="AY31" i="7" a="1"/>
  <c r="Q5" i="7" a="1"/>
  <c r="P5" i="7" a="1"/>
  <c r="BD5" i="7"/>
  <c r="BD6" i="7"/>
  <c r="H3" i="10"/>
  <c r="BD4" i="7"/>
  <c r="H3" i="14" s="1"/>
  <c r="AE4" i="7" a="1"/>
  <c r="AD5" i="7" a="1"/>
  <c r="Y4" i="7" a="1"/>
  <c r="X5" i="7" a="1"/>
  <c r="I14" i="13"/>
  <c r="G15" i="13"/>
  <c r="G14" i="13"/>
  <c r="E14" i="13"/>
  <c r="C14" i="13"/>
  <c r="S28" i="7" a="1"/>
  <c r="AR29" i="7" a="1"/>
  <c r="AR30" i="7" s="1" a="1"/>
  <c r="AR31" i="7" s="1" a="1"/>
  <c r="AR32" i="7" s="1" a="1"/>
  <c r="AR33" i="7" s="1" a="1"/>
  <c r="AR34" i="7" s="1" a="1"/>
  <c r="AR35" i="7" s="1" a="1"/>
  <c r="AR36" i="7" s="1" a="1"/>
  <c r="AR37" i="7" s="1" a="1"/>
  <c r="AR38" i="7" s="1" a="1"/>
  <c r="AR39" i="7" s="1" a="1"/>
  <c r="AR40" i="7" s="1" a="1"/>
  <c r="AR41" i="7" s="1" a="1"/>
  <c r="AR42" i="7" s="1" a="1"/>
  <c r="AR43" i="7" s="1" a="1"/>
  <c r="AR44" i="7" s="1" a="1"/>
  <c r="AR45" i="7" s="1" a="1"/>
  <c r="AR46" i="7" s="1" a="1"/>
  <c r="AR47" i="7" s="1" a="1"/>
  <c r="AR48" i="7" s="1" a="1"/>
  <c r="AR49" i="7" s="1" a="1"/>
  <c r="AR50" i="7" s="1" a="1"/>
  <c r="AR51" i="7" s="1" a="1"/>
  <c r="AR52" i="7" s="1" a="1"/>
  <c r="AR53" i="7" s="1" a="1"/>
  <c r="AR54" i="7" s="1" a="1"/>
  <c r="AR55" i="7" s="1" a="1"/>
  <c r="AR56" i="7" s="1" a="1"/>
  <c r="AR57" i="7" s="1" a="1"/>
  <c r="AR58" i="7" s="1" a="1"/>
  <c r="AO31" i="7" a="1"/>
  <c r="AO32" i="7" s="1" a="1"/>
  <c r="AO33" i="7" s="1" a="1"/>
  <c r="AO34" i="7" s="1" a="1"/>
  <c r="AO35" i="7" s="1" a="1"/>
  <c r="AO36" i="7" s="1" a="1"/>
  <c r="AO37" i="7" s="1" a="1"/>
  <c r="AO38" i="7" s="1" a="1"/>
  <c r="AO39" i="7" s="1" a="1"/>
  <c r="AO40" i="7" s="1" a="1"/>
  <c r="AO41" i="7" s="1" a="1"/>
  <c r="AO42" i="7" s="1" a="1"/>
  <c r="AO43" i="7" s="1" a="1"/>
  <c r="AO44" i="7" s="1" a="1"/>
  <c r="AO45" i="7" s="1" a="1"/>
  <c r="AO46" i="7" s="1" a="1"/>
  <c r="AO47" i="7" s="1" a="1"/>
  <c r="AO48" i="7" s="1" a="1"/>
  <c r="AO49" i="7" s="1" a="1"/>
  <c r="AO50" i="7" s="1" a="1"/>
  <c r="AO51" i="7" s="1" a="1"/>
  <c r="AO52" i="7" s="1" a="1"/>
  <c r="AO53" i="7" s="1" a="1"/>
  <c r="AO54" i="7" s="1" a="1"/>
  <c r="AO55" i="7" s="1" a="1"/>
  <c r="AO56" i="7" s="1" a="1"/>
  <c r="AO57" i="7" s="1" a="1"/>
  <c r="AO58" i="7" s="1" a="1"/>
  <c r="AO59" i="7" s="1" a="1"/>
  <c r="AO60" i="7" s="1" a="1"/>
  <c r="AO61" i="7" s="1" a="1"/>
  <c r="AO62" i="7" s="1" a="1"/>
  <c r="AO63" i="7" s="1" a="1"/>
  <c r="AO64" i="7" s="1" a="1"/>
  <c r="AO65" i="7" s="1" a="1"/>
  <c r="AO66" i="7" s="1" a="1"/>
  <c r="AO67" i="7" s="1" a="1"/>
  <c r="AO68" i="7" s="1" a="1"/>
  <c r="AO69" i="7" s="1" a="1"/>
  <c r="AO70" i="7" s="1" a="1"/>
  <c r="AO71" i="7" s="1" a="1"/>
  <c r="AO72" i="7" s="1" a="1"/>
  <c r="AO73" i="7" s="1" a="1"/>
  <c r="AO74" i="7" s="1" a="1"/>
  <c r="AO75" i="7" s="1" a="1"/>
  <c r="AO76" i="7" s="1" a="1"/>
  <c r="AO77" i="7" s="1" a="1"/>
  <c r="AO78" i="7" s="1" a="1"/>
  <c r="AO79" i="7" s="1" a="1"/>
  <c r="AO80" i="7" s="1" a="1"/>
  <c r="AO81" i="7" s="1" a="1"/>
  <c r="AO82" i="7" s="1" a="1"/>
  <c r="AO83" i="7" s="1" a="1"/>
  <c r="AO84" i="7" s="1" a="1"/>
  <c r="AO85" i="7" s="1" a="1"/>
  <c r="AO86" i="7" s="1" a="1"/>
  <c r="AO87" i="7" s="1" a="1"/>
  <c r="AO88" i="7" s="1" a="1"/>
  <c r="AO89" i="7" s="1" a="1"/>
  <c r="AO90" i="7" s="1" a="1"/>
  <c r="AO91" i="7" s="1" a="1"/>
  <c r="AO92" i="7" s="1" a="1"/>
  <c r="AO93" i="7" s="1" a="1"/>
  <c r="AO94" i="7" s="1" a="1"/>
  <c r="AO95" i="7" s="1" a="1"/>
  <c r="AO96" i="7" s="1" a="1"/>
  <c r="AO97" i="7" s="1" a="1"/>
  <c r="AO98" i="7" s="1" a="1"/>
  <c r="AO99" i="7" s="1" a="1"/>
  <c r="AO100" i="7" s="1" a="1"/>
  <c r="AO101" i="7" s="1" a="1"/>
  <c r="AO102" i="7" s="1" a="1"/>
  <c r="AO103" i="7" s="1" a="1"/>
  <c r="AO104" i="7" s="1" a="1"/>
  <c r="AO105" i="7" s="1" a="1"/>
  <c r="AO106" i="7" s="1" a="1"/>
  <c r="AO107" i="7" s="1" a="1"/>
  <c r="AO108" i="7" s="1" a="1"/>
  <c r="AO109" i="7" s="1" a="1"/>
  <c r="AO110" i="7" s="1" a="1"/>
  <c r="R28" i="7" a="1"/>
  <c r="R29" i="7" s="1" a="1"/>
  <c r="R30" i="7" s="1" a="1"/>
  <c r="C25" i="11"/>
  <c r="C26" i="11"/>
  <c r="AN34" i="7" a="1"/>
  <c r="AN35" i="7" s="1" a="1"/>
  <c r="AN36" i="7" s="1" a="1"/>
  <c r="AN37" i="7" s="1" a="1"/>
  <c r="AN38" i="7" s="1" a="1"/>
  <c r="T28" i="7" a="1"/>
  <c r="T29" i="7" s="1" a="1"/>
  <c r="T30" i="7" s="1" a="1"/>
  <c r="T31" i="7" s="1" a="1"/>
  <c r="T32" i="7" s="1" a="1"/>
  <c r="T33" i="7" s="1" a="1"/>
  <c r="T34" i="7" s="1" a="1"/>
  <c r="T35" i="7" s="1" a="1"/>
  <c r="W28" i="7" a="1"/>
  <c r="U28" i="7" a="1"/>
  <c r="C27" i="12"/>
  <c r="C25" i="12"/>
  <c r="C26" i="12"/>
  <c r="C28" i="12"/>
  <c r="C32" i="12"/>
  <c r="C29" i="12"/>
  <c r="C30" i="12"/>
  <c r="C31" i="12"/>
  <c r="AM27" i="7" a="1"/>
  <c r="AP56" i="7" a="1"/>
  <c r="AP57" i="7" s="1" a="1"/>
  <c r="AP58" i="7" s="1" a="1"/>
  <c r="AP59" i="7" s="1" a="1"/>
  <c r="AP60" i="7" s="1" a="1"/>
  <c r="AP61" i="7" s="1" a="1"/>
  <c r="AP62" i="7" s="1" a="1"/>
  <c r="AP63" i="7" s="1" a="1"/>
  <c r="AP64" i="7" s="1" a="1"/>
  <c r="AP65" i="7" s="1" a="1"/>
  <c r="AP66" i="7" s="1" a="1"/>
  <c r="AP67" i="7" s="1" a="1"/>
  <c r="AP68" i="7" s="1" a="1"/>
  <c r="AP69" i="7" s="1" a="1"/>
  <c r="AP70" i="7" s="1" a="1"/>
  <c r="AP71" i="7" s="1" a="1"/>
  <c r="AP72" i="7" s="1" a="1"/>
  <c r="AP73" i="7" s="1" a="1"/>
  <c r="AP74" i="7" s="1" a="1"/>
  <c r="AP75" i="7" s="1" a="1"/>
  <c r="AP76" i="7" s="1" a="1"/>
  <c r="AP77" i="7" s="1" a="1"/>
  <c r="AP78" i="7" s="1" a="1"/>
  <c r="AP79" i="7" s="1" a="1"/>
  <c r="AP80" i="7" s="1" a="1"/>
  <c r="AP81" i="7" s="1" a="1"/>
  <c r="AP82" i="7" s="1" a="1"/>
  <c r="AP83" i="7" s="1" a="1"/>
  <c r="AP84" i="7" s="1" a="1"/>
  <c r="AP85" i="7" s="1" a="1"/>
  <c r="AP86" i="7" s="1" a="1"/>
  <c r="AP87" i="7" s="1" a="1"/>
  <c r="AP88" i="7" s="1" a="1"/>
  <c r="AP89" i="7" s="1" a="1"/>
  <c r="AP90" i="7" s="1" a="1"/>
  <c r="AP91" i="7" s="1" a="1"/>
  <c r="AP92" i="7" s="1" a="1"/>
  <c r="AP93" i="7" s="1" a="1"/>
  <c r="AP94" i="7" s="1" a="1"/>
  <c r="AP95" i="7" s="1" a="1"/>
  <c r="AP96" i="7" s="1" a="1"/>
  <c r="AP97" i="7" s="1" a="1"/>
  <c r="AP98" i="7" s="1" a="1"/>
  <c r="AP99" i="7" s="1" a="1"/>
  <c r="AP100" i="7" s="1" a="1"/>
  <c r="AP101" i="7" s="1" a="1"/>
  <c r="AP102" i="7" s="1" a="1"/>
  <c r="AP103" i="7" s="1" a="1"/>
  <c r="AP104" i="7" s="1" a="1"/>
  <c r="AP105" i="7" s="1" a="1"/>
  <c r="AP106" i="7" s="1" a="1"/>
  <c r="AP107" i="7" s="1" a="1"/>
  <c r="AP108" i="7" s="1" a="1"/>
  <c r="AP109" i="7" s="1" a="1"/>
  <c r="AP110" i="7" s="1" a="1"/>
  <c r="AQ54" i="7" a="1"/>
  <c r="AQ55" i="7" s="1" a="1"/>
  <c r="AQ56" i="7" s="1" a="1"/>
  <c r="AQ57" i="7" s="1" a="1"/>
  <c r="AQ58" i="7" s="1" a="1"/>
  <c r="AQ59" i="7" s="1" a="1"/>
  <c r="AQ60" i="7" s="1" a="1"/>
  <c r="AQ61" i="7" s="1" a="1"/>
  <c r="AQ62" i="7" s="1" a="1"/>
  <c r="AQ63" i="7" s="1" a="1"/>
  <c r="AQ64" i="7" s="1" a="1"/>
  <c r="AQ65" i="7" s="1" a="1"/>
  <c r="AQ66" i="7" s="1" a="1"/>
  <c r="AQ67" i="7" s="1" a="1"/>
  <c r="AQ68" i="7" s="1" a="1"/>
  <c r="AQ69" i="7" s="1" a="1"/>
  <c r="AQ70" i="7" s="1" a="1"/>
  <c r="AQ71" i="7" s="1" a="1"/>
  <c r="AQ72" i="7" s="1" a="1"/>
  <c r="AQ73" i="7" s="1" a="1"/>
  <c r="AQ74" i="7" s="1" a="1"/>
  <c r="AQ75" i="7" s="1" a="1"/>
  <c r="AQ76" i="7" s="1" a="1"/>
  <c r="AQ77" i="7" s="1" a="1"/>
  <c r="AQ78" i="7" s="1" a="1"/>
  <c r="AQ79" i="7" s="1" a="1"/>
  <c r="AQ80" i="7" s="1" a="1"/>
  <c r="AQ81" i="7" s="1" a="1"/>
  <c r="AQ82" i="7" s="1" a="1"/>
  <c r="AQ83" i="7" s="1" a="1"/>
  <c r="AQ84" i="7" s="1" a="1"/>
  <c r="AQ85" i="7" s="1" a="1"/>
  <c r="AQ86" i="7" s="1" a="1"/>
  <c r="AQ87" i="7" s="1" a="1"/>
  <c r="AQ88" i="7" s="1" a="1"/>
  <c r="AQ89" i="7" s="1" a="1"/>
  <c r="AQ90" i="7" s="1" a="1"/>
  <c r="AQ91" i="7" s="1" a="1"/>
  <c r="AQ92" i="7" s="1" a="1"/>
  <c r="AQ93" i="7" s="1" a="1"/>
  <c r="AQ94" i="7" s="1" a="1"/>
  <c r="AQ95" i="7" s="1" a="1"/>
  <c r="AQ96" i="7" s="1" a="1"/>
  <c r="AQ97" i="7" s="1" a="1"/>
  <c r="AQ98" i="7" s="1" a="1"/>
  <c r="AQ99" i="7" s="1" a="1"/>
  <c r="AQ100" i="7" s="1" a="1"/>
  <c r="AQ101" i="7" s="1" a="1"/>
  <c r="AQ102" i="7" s="1" a="1"/>
  <c r="AQ103" i="7" s="1" a="1"/>
  <c r="AQ104" i="7" s="1" a="1"/>
  <c r="AQ105" i="7" s="1" a="1"/>
  <c r="AQ106" i="7" s="1" a="1"/>
  <c r="AQ107" i="7" s="1" a="1"/>
  <c r="AQ108" i="7" s="1" a="1"/>
  <c r="AQ109" i="7" s="1" a="1"/>
  <c r="AQ110" i="7" s="1" a="1"/>
  <c r="V28" i="7" a="1"/>
  <c r="V29" i="7" s="1" a="1"/>
  <c r="F25" i="11"/>
  <c r="F26" i="11"/>
  <c r="G26" i="11"/>
  <c r="G25" i="11"/>
  <c r="E26" i="11"/>
  <c r="D25" i="11"/>
  <c r="D26" i="11"/>
  <c r="E25" i="11"/>
  <c r="F25" i="12"/>
  <c r="E25" i="12"/>
  <c r="G25" i="12"/>
  <c r="D25" i="12"/>
  <c r="F26" i="12"/>
  <c r="E26" i="12"/>
  <c r="F30" i="12"/>
  <c r="D26" i="12"/>
  <c r="E28" i="12"/>
  <c r="F29" i="12"/>
  <c r="E30" i="12"/>
  <c r="E31" i="12"/>
  <c r="F32" i="12"/>
  <c r="G27" i="12"/>
  <c r="E32" i="12"/>
  <c r="E33" i="12"/>
  <c r="F33" i="12"/>
  <c r="G26" i="12"/>
  <c r="D27" i="12"/>
  <c r="E27" i="12"/>
  <c r="F27" i="12"/>
  <c r="D28" i="12"/>
  <c r="F28" i="12"/>
  <c r="E29" i="12"/>
  <c r="F31" i="12"/>
  <c r="E34" i="12"/>
  <c r="F34" i="12"/>
  <c r="B25" i="11"/>
  <c r="D29" i="12"/>
  <c r="B25" i="12"/>
  <c r="E35" i="12"/>
  <c r="F35" i="12"/>
  <c r="B26" i="11"/>
  <c r="K7" i="7"/>
  <c r="AK6" i="7"/>
  <c r="C6" i="9" s="1"/>
  <c r="M6" i="7" a="1"/>
  <c r="L6" i="7" a="1"/>
  <c r="N6" i="7" s="1" a="1"/>
  <c r="O6" i="7" s="1" a="1"/>
  <c r="M25" i="1" a="1"/>
  <c r="M26" i="1" a="1"/>
  <c r="L25" i="1" a="1"/>
  <c r="Q25" i="1" s="1" a="1"/>
  <c r="L26" i="1" a="1"/>
  <c r="Q26" i="1" s="1" a="1"/>
  <c r="C24" i="5"/>
  <c r="C25" i="5"/>
  <c r="W24" i="1" a="1"/>
  <c r="X24" i="1" a="1"/>
  <c r="W29" i="1" a="1"/>
  <c r="X29" i="1" a="1"/>
  <c r="S30" i="1" a="1"/>
  <c r="T30" i="1" a="1"/>
  <c r="U30" i="1" a="1"/>
  <c r="N30" i="1" a="1"/>
  <c r="L30" i="1" a="1"/>
  <c r="M30" i="1" a="1"/>
  <c r="K31" i="1"/>
  <c r="S26" i="1" a="1"/>
  <c r="T26" i="1" a="1"/>
  <c r="U26" i="1" a="1"/>
  <c r="W25" i="1" a="1"/>
  <c r="X25" i="1" a="1"/>
  <c r="D29" i="5"/>
  <c r="C29" i="5"/>
  <c r="P24" i="1" a="1"/>
  <c r="O24" i="1" a="1"/>
  <c r="P29" i="1" a="1"/>
  <c r="O29" i="1" a="1"/>
  <c r="R24" i="1"/>
  <c r="R25" i="1"/>
  <c r="R29" i="1"/>
  <c r="Y24" i="1"/>
  <c r="Y29" i="1"/>
  <c r="R5" i="1"/>
  <c r="R6" i="1" s="1"/>
  <c r="Y25" i="1"/>
  <c r="O25" i="1" a="1"/>
  <c r="P25" i="1" a="1"/>
  <c r="O26" i="1" a="1"/>
  <c r="P26" i="1" a="1"/>
  <c r="R8" i="1"/>
  <c r="AA4" i="1"/>
  <c r="R15" i="1"/>
  <c r="R10" i="1"/>
  <c r="Z7" i="1"/>
  <c r="Z9" i="1"/>
  <c r="AB4" i="1"/>
  <c r="V5" i="1"/>
  <c r="R21" i="1"/>
  <c r="Z23" i="1"/>
  <c r="Z20" i="1"/>
  <c r="R12" i="1"/>
  <c r="R13" i="1" s="1"/>
  <c r="Z11" i="1"/>
  <c r="Z14" i="1"/>
  <c r="Z28" i="1"/>
  <c r="AU49" i="7" l="1" a="1"/>
  <c r="AU50" i="7" s="1" a="1"/>
  <c r="AU51" i="7" s="1" a="1"/>
  <c r="AU52" i="7" s="1" a="1"/>
  <c r="AU53" i="7" s="1" a="1"/>
  <c r="AU54" i="7" s="1" a="1"/>
  <c r="AU55" i="7" s="1" a="1"/>
  <c r="AU56" i="7" s="1" a="1"/>
  <c r="AU57" i="7" s="1" a="1"/>
  <c r="AU58" i="7" s="1" a="1"/>
  <c r="AU59" i="7" s="1" a="1"/>
  <c r="AU60" i="7" s="1" a="1"/>
  <c r="AU61" i="7" s="1" a="1"/>
  <c r="AU62" i="7" s="1" a="1"/>
  <c r="AU63" i="7" s="1" a="1"/>
  <c r="AU64" i="7" s="1" a="1"/>
  <c r="AU65" i="7" s="1" a="1"/>
  <c r="AU66" i="7" s="1" a="1"/>
  <c r="AU67" i="7" s="1" a="1"/>
  <c r="AU68" i="7" s="1" a="1"/>
  <c r="AU69" i="7" s="1" a="1"/>
  <c r="AU70" i="7" s="1" a="1"/>
  <c r="AU71" i="7" s="1" a="1"/>
  <c r="AU72" i="7" s="1" a="1"/>
  <c r="AU73" i="7" s="1" a="1"/>
  <c r="AU74" i="7" s="1" a="1"/>
  <c r="AU75" i="7" s="1" a="1"/>
  <c r="AU76" i="7" s="1" a="1"/>
  <c r="AU77" i="7" s="1" a="1"/>
  <c r="AU78" i="7" s="1" a="1"/>
  <c r="AU79" i="7" s="1" a="1"/>
  <c r="AU80" i="7" s="1" a="1"/>
  <c r="AU81" i="7" s="1" a="1"/>
  <c r="AU82" i="7" s="1" a="1"/>
  <c r="AU83" i="7" s="1" a="1"/>
  <c r="AU84" i="7" s="1" a="1"/>
  <c r="AU85" i="7" s="1" a="1"/>
  <c r="AU86" i="7" s="1" a="1"/>
  <c r="AU87" i="7" s="1" a="1"/>
  <c r="AU88" i="7" s="1" a="1"/>
  <c r="AU89" i="7" s="1" a="1"/>
  <c r="AU90" i="7" s="1" a="1"/>
  <c r="AU91" i="7" s="1" a="1"/>
  <c r="AU92" i="7" s="1" a="1"/>
  <c r="AU93" i="7" s="1" a="1"/>
  <c r="AU94" i="7" s="1" a="1"/>
  <c r="AU95" i="7" s="1" a="1"/>
  <c r="AU96" i="7" s="1" a="1"/>
  <c r="AU97" i="7" s="1" a="1"/>
  <c r="AU98" i="7" s="1" a="1"/>
  <c r="AU99" i="7" s="1" a="1"/>
  <c r="AU100" i="7" s="1" a="1"/>
  <c r="AU101" i="7" s="1" a="1"/>
  <c r="AU102" i="7" s="1" a="1"/>
  <c r="AU103" i="7" s="1" a="1"/>
  <c r="AU104" i="7" s="1" a="1"/>
  <c r="AU105" i="7" s="1" a="1"/>
  <c r="AU106" i="7" s="1" a="1"/>
  <c r="AU107" i="7" s="1" a="1"/>
  <c r="AU108" i="7" s="1" a="1"/>
  <c r="AU109" i="7" s="1" a="1"/>
  <c r="AU110" i="7" s="1" a="1"/>
  <c r="AS44" i="7" a="1"/>
  <c r="AS45" i="7" s="1" a="1"/>
  <c r="AS46" i="7" s="1" a="1"/>
  <c r="AS47" i="7" s="1" a="1"/>
  <c r="AS48" i="7" s="1" a="1"/>
  <c r="AS49" i="7" s="1" a="1"/>
  <c r="AS50" i="7" s="1" a="1"/>
  <c r="AS51" i="7" s="1" a="1"/>
  <c r="AS52" i="7" s="1" a="1"/>
  <c r="AS53" i="7" s="1" a="1"/>
  <c r="AS54" i="7" s="1" a="1"/>
  <c r="AS55" i="7" s="1" a="1"/>
  <c r="AS56" i="7" s="1" a="1"/>
  <c r="AS57" i="7" s="1" a="1"/>
  <c r="AS58" i="7" s="1" a="1"/>
  <c r="AS59" i="7" s="1" a="1"/>
  <c r="AS60" i="7" s="1" a="1"/>
  <c r="AS61" i="7" s="1" a="1"/>
  <c r="AS62" i="7" s="1" a="1"/>
  <c r="AS63" i="7" s="1" a="1"/>
  <c r="AS64" i="7" s="1" a="1"/>
  <c r="AS65" i="7" s="1" a="1"/>
  <c r="AS66" i="7" s="1" a="1"/>
  <c r="AS67" i="7" s="1" a="1"/>
  <c r="AS68" i="7" s="1" a="1"/>
  <c r="AS69" i="7" s="1" a="1"/>
  <c r="AS70" i="7" s="1" a="1"/>
  <c r="AS71" i="7" s="1" a="1"/>
  <c r="AS72" i="7" s="1" a="1"/>
  <c r="AS73" i="7" s="1" a="1"/>
  <c r="AS74" i="7" s="1" a="1"/>
  <c r="AS75" i="7" s="1" a="1"/>
  <c r="AS76" i="7" s="1" a="1"/>
  <c r="AS77" i="7" s="1" a="1"/>
  <c r="AS78" i="7" s="1" a="1"/>
  <c r="AS79" i="7" s="1" a="1"/>
  <c r="AS80" i="7" s="1" a="1"/>
  <c r="AS81" i="7" s="1" a="1"/>
  <c r="AS82" i="7" s="1" a="1"/>
  <c r="AS83" i="7" s="1" a="1"/>
  <c r="AS84" i="7" s="1" a="1"/>
  <c r="AS85" i="7" s="1" a="1"/>
  <c r="AS86" i="7" s="1" a="1"/>
  <c r="AS87" i="7" s="1" a="1"/>
  <c r="AS88" i="7" s="1" a="1"/>
  <c r="AS89" i="7" s="1" a="1"/>
  <c r="AS90" i="7" s="1" a="1"/>
  <c r="AS91" i="7" s="1" a="1"/>
  <c r="AS92" i="7" s="1" a="1"/>
  <c r="AS93" i="7" s="1" a="1"/>
  <c r="AS94" i="7" s="1" a="1"/>
  <c r="AS95" i="7" s="1" a="1"/>
  <c r="AS96" i="7" s="1" a="1"/>
  <c r="AS97" i="7" s="1" a="1"/>
  <c r="AS98" i="7" s="1" a="1"/>
  <c r="AS99" i="7" s="1" a="1"/>
  <c r="AS100" i="7" s="1" a="1"/>
  <c r="AS101" i="7" s="1" a="1"/>
  <c r="AS102" i="7" s="1" a="1"/>
  <c r="AS103" i="7" s="1" a="1"/>
  <c r="AS104" i="7" s="1" a="1"/>
  <c r="AS105" i="7" s="1" a="1"/>
  <c r="AS106" i="7" s="1" a="1"/>
  <c r="AS107" i="7" s="1" a="1"/>
  <c r="AS108" i="7" s="1" a="1"/>
  <c r="AS109" i="7" s="1" a="1"/>
  <c r="AS110" i="7" s="1" a="1"/>
  <c r="AV53" i="7" a="1"/>
  <c r="AV54" i="7" s="1" a="1"/>
  <c r="AV55" i="7" s="1" a="1"/>
  <c r="AV56" i="7" s="1" a="1"/>
  <c r="AV57" i="7" s="1" a="1"/>
  <c r="AV58" i="7" s="1" a="1"/>
  <c r="AV59" i="7" s="1" a="1"/>
  <c r="AV60" i="7" s="1" a="1"/>
  <c r="AV61" i="7" s="1" a="1"/>
  <c r="AV62" i="7" s="1" a="1"/>
  <c r="AV63" i="7" s="1" a="1"/>
  <c r="AV64" i="7" s="1" a="1"/>
  <c r="AV65" i="7" s="1" a="1"/>
  <c r="AV66" i="7" s="1" a="1"/>
  <c r="AV67" i="7" s="1" a="1"/>
  <c r="AV68" i="7" s="1" a="1"/>
  <c r="AV69" i="7" s="1" a="1"/>
  <c r="AV70" i="7" s="1" a="1"/>
  <c r="AV71" i="7" s="1" a="1"/>
  <c r="AV72" i="7" s="1" a="1"/>
  <c r="AV73" i="7" s="1" a="1"/>
  <c r="AV74" i="7" s="1" a="1"/>
  <c r="AV75" i="7" s="1" a="1"/>
  <c r="AV76" i="7" s="1" a="1"/>
  <c r="AV77" i="7" s="1" a="1"/>
  <c r="AV78" i="7" s="1" a="1"/>
  <c r="AV79" i="7" s="1" a="1"/>
  <c r="AV80" i="7" s="1" a="1"/>
  <c r="AV81" i="7" s="1" a="1"/>
  <c r="AV82" i="7" s="1" a="1"/>
  <c r="AV83" i="7" s="1" a="1"/>
  <c r="AV84" i="7" s="1" a="1"/>
  <c r="AV85" i="7" s="1" a="1"/>
  <c r="AV86" i="7" s="1" a="1"/>
  <c r="AV87" i="7" s="1" a="1"/>
  <c r="AV88" i="7" s="1" a="1"/>
  <c r="AV89" i="7" s="1" a="1"/>
  <c r="AV90" i="7" s="1" a="1"/>
  <c r="AV91" i="7" s="1" a="1"/>
  <c r="AV92" i="7" s="1" a="1"/>
  <c r="AV93" i="7" s="1" a="1"/>
  <c r="AV94" i="7" s="1" a="1"/>
  <c r="AV95" i="7" s="1" a="1"/>
  <c r="AV96" i="7" s="1" a="1"/>
  <c r="AV97" i="7" s="1" a="1"/>
  <c r="AV98" i="7" s="1" a="1"/>
  <c r="AV99" i="7" s="1" a="1"/>
  <c r="AV100" i="7" s="1" a="1"/>
  <c r="AV101" i="7" s="1" a="1"/>
  <c r="AV102" i="7" s="1" a="1"/>
  <c r="AV103" i="7" s="1" a="1"/>
  <c r="AV104" i="7" s="1" a="1"/>
  <c r="AV105" i="7" s="1" a="1"/>
  <c r="AV106" i="7" s="1" a="1"/>
  <c r="AV107" i="7" s="1" a="1"/>
  <c r="AV108" i="7" s="1" a="1"/>
  <c r="AV109" i="7" s="1" a="1"/>
  <c r="AV110" i="7" s="1" a="1"/>
  <c r="AT41" i="7" a="1"/>
  <c r="AT42" i="7" s="1" a="1"/>
  <c r="AT43" i="7" s="1" a="1"/>
  <c r="AT44" i="7" s="1" a="1"/>
  <c r="AT45" i="7" s="1" a="1"/>
  <c r="AT46" i="7" s="1" a="1"/>
  <c r="AT47" i="7" s="1" a="1"/>
  <c r="AT48" i="7" s="1" a="1"/>
  <c r="AT49" i="7" s="1" a="1"/>
  <c r="AT50" i="7" s="1" a="1"/>
  <c r="AT51" i="7" s="1" a="1"/>
  <c r="AT52" i="7" s="1" a="1"/>
  <c r="AT53" i="7" s="1" a="1"/>
  <c r="AT54" i="7" s="1" a="1"/>
  <c r="H5" i="14"/>
  <c r="P6" i="7" a="1"/>
  <c r="Q6" i="7" a="1"/>
  <c r="H4" i="14"/>
  <c r="AF4" i="7" a="1"/>
  <c r="AD6" i="7" a="1"/>
  <c r="AE5" i="7" a="1"/>
  <c r="Z4" i="7" a="1"/>
  <c r="X6" i="7" a="1"/>
  <c r="Y5" i="7" a="1"/>
  <c r="I3" i="10"/>
  <c r="C3" i="10"/>
  <c r="I15" i="13"/>
  <c r="G16" i="13"/>
  <c r="E15" i="13"/>
  <c r="C15" i="13"/>
  <c r="H4" i="10"/>
  <c r="B4" i="10"/>
  <c r="AR59" i="7" a="1"/>
  <c r="AR60" i="7" s="1" a="1"/>
  <c r="AR61" i="7" s="1" a="1"/>
  <c r="AR62" i="7" s="1" a="1"/>
  <c r="AR63" i="7" s="1" a="1"/>
  <c r="AR64" i="7" s="1" a="1"/>
  <c r="AR65" i="7" s="1" a="1"/>
  <c r="AR66" i="7" s="1" a="1"/>
  <c r="AR67" i="7" s="1" a="1"/>
  <c r="AR68" i="7" s="1" a="1"/>
  <c r="AR69" i="7" s="1" a="1"/>
  <c r="AR70" i="7" s="1" a="1"/>
  <c r="AR71" i="7" s="1" a="1"/>
  <c r="AR72" i="7" s="1" a="1"/>
  <c r="AR73" i="7" s="1" a="1"/>
  <c r="AR74" i="7" s="1" a="1"/>
  <c r="AR75" i="7" s="1" a="1"/>
  <c r="AR76" i="7" s="1" a="1"/>
  <c r="AR77" i="7" s="1" a="1"/>
  <c r="AR78" i="7" s="1" a="1"/>
  <c r="AR79" i="7" s="1" a="1"/>
  <c r="AR80" i="7" s="1" a="1"/>
  <c r="AR81" i="7" s="1" a="1"/>
  <c r="AR82" i="7" s="1" a="1"/>
  <c r="AR83" i="7" s="1" a="1"/>
  <c r="AR84" i="7" s="1" a="1"/>
  <c r="AR85" i="7" s="1" a="1"/>
  <c r="AR86" i="7" s="1" a="1"/>
  <c r="AR87" i="7" s="1" a="1"/>
  <c r="AR88" i="7" s="1" a="1"/>
  <c r="AR89" i="7" s="1" a="1"/>
  <c r="AR90" i="7" s="1" a="1"/>
  <c r="AR91" i="7" s="1" a="1"/>
  <c r="AR92" i="7" s="1" a="1"/>
  <c r="AR93" i="7" s="1" a="1"/>
  <c r="AR94" i="7" s="1" a="1"/>
  <c r="AR95" i="7" s="1" a="1"/>
  <c r="AR96" i="7" s="1" a="1"/>
  <c r="AR97" i="7" s="1" a="1"/>
  <c r="AR98" i="7" s="1" a="1"/>
  <c r="AR99" i="7" s="1" a="1"/>
  <c r="AR100" i="7" s="1" a="1"/>
  <c r="AR101" i="7" s="1" a="1"/>
  <c r="AR102" i="7" s="1" a="1"/>
  <c r="AR103" i="7" s="1" a="1"/>
  <c r="AR104" i="7" s="1" a="1"/>
  <c r="AR105" i="7" s="1" a="1"/>
  <c r="AR106" i="7" s="1" a="1"/>
  <c r="AR107" i="7" s="1" a="1"/>
  <c r="AR108" i="7" s="1" a="1"/>
  <c r="AR109" i="7" s="1" a="1"/>
  <c r="AR110" i="7" s="1" a="1"/>
  <c r="S29" i="7" a="1"/>
  <c r="R31" i="7" a="1"/>
  <c r="R32" i="7" s="1" a="1"/>
  <c r="R33" i="7" s="1" a="1"/>
  <c r="R34" i="7" s="1" a="1"/>
  <c r="R35" i="7" s="1" a="1"/>
  <c r="C27" i="11"/>
  <c r="U29" i="7" a="1"/>
  <c r="U30" i="7" s="1" a="1"/>
  <c r="U31" i="7" s="1" a="1"/>
  <c r="U32" i="7" s="1" a="1"/>
  <c r="U33" i="7" s="1" a="1"/>
  <c r="U34" i="7" s="1" a="1"/>
  <c r="U35" i="7" s="1" a="1"/>
  <c r="U36" i="7" s="1" a="1"/>
  <c r="T36" i="7" a="1"/>
  <c r="T37" i="7" s="1" a="1"/>
  <c r="T38" i="7" s="1" a="1"/>
  <c r="T39" i="7" s="1" a="1"/>
  <c r="T40" i="7" s="1" a="1"/>
  <c r="T41" i="7" s="1" a="1"/>
  <c r="T42" i="7" s="1" a="1"/>
  <c r="T43" i="7" s="1" a="1"/>
  <c r="T44" i="7" s="1" a="1"/>
  <c r="T45" i="7" s="1" a="1"/>
  <c r="T46" i="7" s="1" a="1"/>
  <c r="T47" i="7" s="1" a="1"/>
  <c r="T48" i="7" s="1" a="1"/>
  <c r="T49" i="7" s="1" a="1"/>
  <c r="T50" i="7" s="1" a="1"/>
  <c r="T51" i="7" s="1" a="1"/>
  <c r="T52" i="7" s="1" a="1"/>
  <c r="T53" i="7" s="1" a="1"/>
  <c r="T54" i="7" s="1" a="1"/>
  <c r="T55" i="7" s="1" a="1"/>
  <c r="T56" i="7" s="1" a="1"/>
  <c r="T57" i="7" s="1" a="1"/>
  <c r="T58" i="7" s="1" a="1"/>
  <c r="T59" i="7" s="1" a="1"/>
  <c r="T60" i="7" s="1" a="1"/>
  <c r="T61" i="7" s="1" a="1"/>
  <c r="T62" i="7" s="1" a="1"/>
  <c r="T63" i="7" s="1" a="1"/>
  <c r="T64" i="7" s="1" a="1"/>
  <c r="T65" i="7" s="1" a="1"/>
  <c r="T66" i="7" s="1" a="1"/>
  <c r="T67" i="7" s="1" a="1"/>
  <c r="T68" i="7" s="1" a="1"/>
  <c r="T69" i="7" s="1" a="1"/>
  <c r="T70" i="7" s="1" a="1"/>
  <c r="T71" i="7" s="1" a="1"/>
  <c r="T72" i="7" s="1" a="1"/>
  <c r="T73" i="7" s="1" a="1"/>
  <c r="T74" i="7" s="1" a="1"/>
  <c r="T75" i="7" s="1" a="1"/>
  <c r="T76" i="7" s="1" a="1"/>
  <c r="T77" i="7" s="1" a="1"/>
  <c r="T78" i="7" s="1" a="1"/>
  <c r="T79" i="7" s="1" a="1"/>
  <c r="T80" i="7" s="1" a="1"/>
  <c r="T81" i="7" s="1" a="1"/>
  <c r="T82" i="7" s="1" a="1"/>
  <c r="T83" i="7" s="1" a="1"/>
  <c r="T84" i="7" s="1" a="1"/>
  <c r="T85" i="7" s="1" a="1"/>
  <c r="T86" i="7" s="1" a="1"/>
  <c r="T87" i="7" s="1" a="1"/>
  <c r="T88" i="7" s="1" a="1"/>
  <c r="T89" i="7" s="1" a="1"/>
  <c r="T90" i="7" s="1" a="1"/>
  <c r="T91" i="7" s="1" a="1"/>
  <c r="T92" i="7" s="1" a="1"/>
  <c r="T93" i="7" s="1" a="1"/>
  <c r="T94" i="7" s="1" a="1"/>
  <c r="T95" i="7" s="1" a="1"/>
  <c r="T96" i="7" s="1" a="1"/>
  <c r="T97" i="7" s="1" a="1"/>
  <c r="T98" i="7" s="1" a="1"/>
  <c r="T99" i="7" s="1" a="1"/>
  <c r="T100" i="7" s="1" a="1"/>
  <c r="T101" i="7" s="1" a="1"/>
  <c r="T102" i="7" s="1" a="1"/>
  <c r="T103" i="7" s="1" a="1"/>
  <c r="T104" i="7" s="1" a="1"/>
  <c r="T105" i="7" s="1" a="1"/>
  <c r="T106" i="7" s="1" a="1"/>
  <c r="T107" i="7" s="1" a="1"/>
  <c r="T108" i="7" s="1" a="1"/>
  <c r="T109" i="7" s="1" a="1"/>
  <c r="T110" i="7" s="1" a="1"/>
  <c r="W29" i="7" a="1"/>
  <c r="G31" i="12"/>
  <c r="G35" i="12"/>
  <c r="G34" i="12"/>
  <c r="B28" i="11"/>
  <c r="D30" i="12"/>
  <c r="G33" i="12"/>
  <c r="G29" i="12"/>
  <c r="G28" i="12"/>
  <c r="G30" i="12"/>
  <c r="G32" i="12"/>
  <c r="B27" i="11"/>
  <c r="G36" i="12"/>
  <c r="V30" i="7" a="1"/>
  <c r="V31" i="7" s="1" a="1"/>
  <c r="V32" i="7" s="1" a="1"/>
  <c r="V33" i="7" s="1" a="1"/>
  <c r="V34" i="7" s="1" a="1"/>
  <c r="V35" i="7" s="1" a="1"/>
  <c r="AN39" i="7" a="1"/>
  <c r="AN40" i="7" s="1" a="1"/>
  <c r="AN41" i="7" s="1" a="1"/>
  <c r="AN42" i="7" s="1" a="1"/>
  <c r="AN43" i="7" s="1" a="1"/>
  <c r="AN44" i="7" s="1" a="1"/>
  <c r="AN45" i="7" s="1" a="1"/>
  <c r="AN46" i="7" s="1" a="1"/>
  <c r="AN47" i="7" s="1" a="1"/>
  <c r="AN48" i="7" s="1" a="1"/>
  <c r="D31" i="11"/>
  <c r="D28" i="11"/>
  <c r="D33" i="11"/>
  <c r="D30" i="11"/>
  <c r="E27" i="11"/>
  <c r="G27" i="11"/>
  <c r="D34" i="11"/>
  <c r="D29" i="11"/>
  <c r="D32" i="11"/>
  <c r="D27" i="11"/>
  <c r="C34" i="12"/>
  <c r="C33" i="12"/>
  <c r="AM28" i="7" a="1"/>
  <c r="AM29" i="7" s="1" a="1"/>
  <c r="AM30" i="7" s="1" a="1"/>
  <c r="AM31" i="7" s="1" a="1"/>
  <c r="AM32" i="7" s="1" a="1"/>
  <c r="AM33" i="7" s="1" a="1"/>
  <c r="AM34" i="7" s="1" a="1"/>
  <c r="AM35" i="7" s="1" a="1"/>
  <c r="AM36" i="7" s="1" a="1"/>
  <c r="AM37" i="7" s="1" a="1"/>
  <c r="AM38" i="7" s="1" a="1"/>
  <c r="AM39" i="7" s="1" a="1"/>
  <c r="AM40" i="7" s="1" a="1"/>
  <c r="AM41" i="7" s="1" a="1"/>
  <c r="AM42" i="7" s="1" a="1"/>
  <c r="AM43" i="7" s="1" a="1"/>
  <c r="AM44" i="7" s="1" a="1"/>
  <c r="AM45" i="7" s="1" a="1"/>
  <c r="AM46" i="7" s="1" a="1"/>
  <c r="AM47" i="7" s="1" a="1"/>
  <c r="AM48" i="7" s="1" a="1"/>
  <c r="AM49" i="7" s="1" a="1"/>
  <c r="AM50" i="7" s="1" a="1"/>
  <c r="AM51" i="7" s="1" a="1"/>
  <c r="AM52" i="7" s="1" a="1"/>
  <c r="AM53" i="7" s="1" a="1"/>
  <c r="AM54" i="7" s="1" a="1"/>
  <c r="AM55" i="7" s="1" a="1"/>
  <c r="AM56" i="7" s="1" a="1"/>
  <c r="AM57" i="7" s="1" a="1"/>
  <c r="AM58" i="7" s="1" a="1"/>
  <c r="AM59" i="7" s="1" a="1"/>
  <c r="AM60" i="7" s="1" a="1"/>
  <c r="AM61" i="7" s="1" a="1"/>
  <c r="AM62" i="7" s="1" a="1"/>
  <c r="AM63" i="7" s="1" a="1"/>
  <c r="AM64" i="7" s="1" a="1"/>
  <c r="AM65" i="7" s="1" a="1"/>
  <c r="AM66" i="7" s="1" a="1"/>
  <c r="AM67" i="7" s="1" a="1"/>
  <c r="AM68" i="7" s="1" a="1"/>
  <c r="AM69" i="7" s="1" a="1"/>
  <c r="AM70" i="7" s="1" a="1"/>
  <c r="AM71" i="7" s="1" a="1"/>
  <c r="AM72" i="7" s="1" a="1"/>
  <c r="AM73" i="7" s="1" a="1"/>
  <c r="AM74" i="7" s="1" a="1"/>
  <c r="AM75" i="7" s="1" a="1"/>
  <c r="AM76" i="7" s="1" a="1"/>
  <c r="AM77" i="7" s="1" a="1"/>
  <c r="AM78" i="7" s="1" a="1"/>
  <c r="AM79" i="7" s="1" a="1"/>
  <c r="AM80" i="7" s="1" a="1"/>
  <c r="AM81" i="7" s="1" a="1"/>
  <c r="AM82" i="7" s="1" a="1"/>
  <c r="AM83" i="7" s="1" a="1"/>
  <c r="AM84" i="7" s="1" a="1"/>
  <c r="AM85" i="7" s="1" a="1"/>
  <c r="AM86" i="7" s="1" a="1"/>
  <c r="AM87" i="7" s="1" a="1"/>
  <c r="AM88" i="7" s="1" a="1"/>
  <c r="AM89" i="7" s="1" a="1"/>
  <c r="AM90" i="7" s="1" a="1"/>
  <c r="AM91" i="7" s="1" a="1"/>
  <c r="AM92" i="7" s="1" a="1"/>
  <c r="AM93" i="7" s="1" a="1"/>
  <c r="AM94" i="7" s="1" a="1"/>
  <c r="AM95" i="7" s="1" a="1"/>
  <c r="AM96" i="7" s="1" a="1"/>
  <c r="AM97" i="7" s="1" a="1"/>
  <c r="AM98" i="7" s="1" a="1"/>
  <c r="AM99" i="7" s="1" a="1"/>
  <c r="AM100" i="7" s="1" a="1"/>
  <c r="AM101" i="7" s="1" a="1"/>
  <c r="AM102" i="7" s="1" a="1"/>
  <c r="AM103" i="7" s="1" a="1"/>
  <c r="AM104" i="7" s="1" a="1"/>
  <c r="AM105" i="7" s="1" a="1"/>
  <c r="AM106" i="7" s="1" a="1"/>
  <c r="AM107" i="7" s="1" a="1"/>
  <c r="AM108" i="7" s="1" a="1"/>
  <c r="AM109" i="7" s="1" a="1"/>
  <c r="AM110" i="7" s="1" a="1"/>
  <c r="F28" i="11"/>
  <c r="F27" i="11"/>
  <c r="B26" i="12"/>
  <c r="C35" i="12"/>
  <c r="E36" i="12"/>
  <c r="F36" i="12"/>
  <c r="B29" i="11"/>
  <c r="G37" i="12"/>
  <c r="D31" i="12"/>
  <c r="M7" i="7" a="1"/>
  <c r="L7" i="7" a="1"/>
  <c r="N7" i="7" s="1" a="1"/>
  <c r="O7" i="7" s="1" a="1"/>
  <c r="K8" i="7"/>
  <c r="AK7" i="7"/>
  <c r="C7" i="9" s="1"/>
  <c r="R26" i="1"/>
  <c r="Y26" i="1"/>
  <c r="Y30" i="1"/>
  <c r="Z24" i="1"/>
  <c r="Z29" i="1"/>
  <c r="W30" i="1" a="1"/>
  <c r="X30" i="1" a="1"/>
  <c r="R30" i="1"/>
  <c r="O30" i="1" a="1"/>
  <c r="P30" i="1" a="1"/>
  <c r="Q30" i="1" a="1"/>
  <c r="L31" i="1" a="1"/>
  <c r="C30" i="5"/>
  <c r="S31" i="1" a="1"/>
  <c r="T31" i="1" a="1"/>
  <c r="U31" i="1" a="1"/>
  <c r="D30" i="5"/>
  <c r="K32" i="1"/>
  <c r="N31" i="1" a="1"/>
  <c r="M31" i="1" a="1"/>
  <c r="W26" i="1" a="1"/>
  <c r="X26" i="1" a="1"/>
  <c r="B3" i="3"/>
  <c r="H3" i="3"/>
  <c r="R27" i="1"/>
  <c r="Z8" i="1"/>
  <c r="Z5" i="1"/>
  <c r="Z6" i="1"/>
  <c r="R16" i="1"/>
  <c r="R17" i="1" s="1"/>
  <c r="Z25" i="1"/>
  <c r="Z21" i="1"/>
  <c r="Z15" i="1"/>
  <c r="Z10" i="1"/>
  <c r="V6" i="1"/>
  <c r="V7" i="1" s="1"/>
  <c r="R22" i="1"/>
  <c r="Z13" i="1"/>
  <c r="Z12" i="1"/>
  <c r="BD7" i="7" l="1"/>
  <c r="H6" i="14" s="1"/>
  <c r="AT55" i="7" a="1"/>
  <c r="AT56" i="7" s="1" a="1"/>
  <c r="AT57" i="7" s="1" a="1"/>
  <c r="AT58" i="7" s="1" a="1"/>
  <c r="AT59" i="7" s="1" a="1"/>
  <c r="AT60" i="7" s="1" a="1"/>
  <c r="AT61" i="7" s="1" a="1"/>
  <c r="AT62" i="7" s="1" a="1"/>
  <c r="AT63" i="7" s="1" a="1"/>
  <c r="AT64" i="7" s="1" a="1"/>
  <c r="AT65" i="7" s="1" a="1"/>
  <c r="AT66" i="7" s="1" a="1"/>
  <c r="AT67" i="7" s="1" a="1"/>
  <c r="AT68" i="7" s="1" a="1"/>
  <c r="AT69" i="7" s="1" a="1"/>
  <c r="AT70" i="7" s="1" a="1"/>
  <c r="AT71" i="7" s="1" a="1"/>
  <c r="AT72" i="7" s="1" a="1"/>
  <c r="AT73" i="7" s="1" a="1"/>
  <c r="AT74" i="7" s="1" a="1"/>
  <c r="AT75" i="7" s="1" a="1"/>
  <c r="AT76" i="7" s="1" a="1"/>
  <c r="AT77" i="7" s="1" a="1"/>
  <c r="AT78" i="7" s="1" a="1"/>
  <c r="AT79" i="7" s="1" a="1"/>
  <c r="AT80" i="7" s="1" a="1"/>
  <c r="AT81" i="7" s="1" a="1"/>
  <c r="AT82" i="7" s="1" a="1"/>
  <c r="AT83" i="7" s="1" a="1"/>
  <c r="AT84" i="7" s="1" a="1"/>
  <c r="AT85" i="7" s="1" a="1"/>
  <c r="AT86" i="7" s="1" a="1"/>
  <c r="AT87" i="7" s="1" a="1"/>
  <c r="AT88" i="7" s="1" a="1"/>
  <c r="AT89" i="7" s="1" a="1"/>
  <c r="AT90" i="7" s="1" a="1"/>
  <c r="AT91" i="7" s="1" a="1"/>
  <c r="AT92" i="7" s="1" a="1"/>
  <c r="AT93" i="7" s="1" a="1"/>
  <c r="AT94" i="7" s="1" a="1"/>
  <c r="AT95" i="7" s="1" a="1"/>
  <c r="AT96" i="7" s="1" a="1"/>
  <c r="AT97" i="7" s="1" a="1"/>
  <c r="AT98" i="7" s="1" a="1"/>
  <c r="AT99" i="7" s="1" a="1"/>
  <c r="AT100" i="7" s="1" a="1"/>
  <c r="AT101" i="7" s="1" a="1"/>
  <c r="AT102" i="7" s="1" a="1"/>
  <c r="AT103" i="7" s="1" a="1"/>
  <c r="AT104" i="7" s="1" a="1"/>
  <c r="AT105" i="7" s="1" a="1"/>
  <c r="AT106" i="7" s="1" a="1"/>
  <c r="AT107" i="7" s="1" a="1"/>
  <c r="AT108" i="7" s="1" a="1"/>
  <c r="AT109" i="7" s="1" a="1"/>
  <c r="AT110" i="7" s="1" a="1"/>
  <c r="P7" i="7" a="1"/>
  <c r="Q7" i="7" a="1"/>
  <c r="AL4" i="7" a="1"/>
  <c r="AG4" i="7" a="1"/>
  <c r="AE6" i="7" a="1"/>
  <c r="AD7" i="7" a="1"/>
  <c r="AF5" i="7" a="1"/>
  <c r="AA4" i="7" a="1"/>
  <c r="X7" i="7" a="1"/>
  <c r="Y6" i="7" a="1"/>
  <c r="Z5" i="7" a="1"/>
  <c r="D3" i="10"/>
  <c r="J3" i="10"/>
  <c r="I16" i="13"/>
  <c r="G17" i="13"/>
  <c r="E16" i="13"/>
  <c r="C16" i="13"/>
  <c r="S30" i="7" a="1"/>
  <c r="S31" i="7" s="1" a="1"/>
  <c r="S32" i="7" s="1" a="1"/>
  <c r="S33" i="7" s="1" a="1"/>
  <c r="S34" i="7" s="1" a="1"/>
  <c r="S35" i="7" s="1" a="1"/>
  <c r="S36" i="7" s="1" a="1"/>
  <c r="W30" i="7" a="1"/>
  <c r="W31" i="7" s="1" a="1"/>
  <c r="W32" i="7" s="1" a="1"/>
  <c r="W33" i="7" s="1" a="1"/>
  <c r="W34" i="7" s="1" a="1"/>
  <c r="W35" i="7" s="1" a="1"/>
  <c r="W36" i="7" s="1" a="1"/>
  <c r="W37" i="7" s="1" a="1"/>
  <c r="W38" i="7" s="1" a="1"/>
  <c r="W39" i="7" s="1" a="1"/>
  <c r="W40" i="7" s="1" a="1"/>
  <c r="W41" i="7" s="1" a="1"/>
  <c r="W42" i="7" s="1" a="1"/>
  <c r="W43" i="7" s="1" a="1"/>
  <c r="W44" i="7" s="1" a="1"/>
  <c r="W45" i="7" s="1" a="1"/>
  <c r="W46" i="7" s="1" a="1"/>
  <c r="W47" i="7" s="1" a="1"/>
  <c r="W48" i="7" s="1" a="1"/>
  <c r="W49" i="7" s="1" a="1"/>
  <c r="W50" i="7" s="1" a="1"/>
  <c r="W51" i="7" s="1" a="1"/>
  <c r="W52" i="7" s="1" a="1"/>
  <c r="W53" i="7" s="1" a="1"/>
  <c r="W54" i="7" s="1" a="1"/>
  <c r="W55" i="7" s="1" a="1"/>
  <c r="W56" i="7" s="1" a="1"/>
  <c r="W57" i="7" s="1" a="1"/>
  <c r="W58" i="7" s="1" a="1"/>
  <c r="W59" i="7" s="1" a="1"/>
  <c r="W60" i="7" s="1" a="1"/>
  <c r="W61" i="7" s="1" a="1"/>
  <c r="W62" i="7" s="1" a="1"/>
  <c r="W63" i="7" s="1" a="1"/>
  <c r="W64" i="7" s="1" a="1"/>
  <c r="W65" i="7" s="1" a="1"/>
  <c r="W66" i="7" s="1" a="1"/>
  <c r="W67" i="7" s="1" a="1"/>
  <c r="W68" i="7" s="1" a="1"/>
  <c r="W69" i="7" s="1" a="1"/>
  <c r="W70" i="7" s="1" a="1"/>
  <c r="W71" i="7" s="1" a="1"/>
  <c r="W72" i="7" s="1" a="1"/>
  <c r="W73" i="7" s="1" a="1"/>
  <c r="W74" i="7" s="1" a="1"/>
  <c r="W75" i="7" s="1" a="1"/>
  <c r="W76" i="7" s="1" a="1"/>
  <c r="W77" i="7" s="1" a="1"/>
  <c r="W78" i="7" s="1" a="1"/>
  <c r="W79" i="7" s="1" a="1"/>
  <c r="W80" i="7" s="1" a="1"/>
  <c r="W81" i="7" s="1" a="1"/>
  <c r="W82" i="7" s="1" a="1"/>
  <c r="W83" i="7" s="1" a="1"/>
  <c r="W84" i="7" s="1" a="1"/>
  <c r="W85" i="7" s="1" a="1"/>
  <c r="W86" i="7" s="1" a="1"/>
  <c r="W87" i="7" s="1" a="1"/>
  <c r="W88" i="7" s="1" a="1"/>
  <c r="W89" i="7" s="1" a="1"/>
  <c r="W90" i="7" s="1" a="1"/>
  <c r="W91" i="7" s="1" a="1"/>
  <c r="W92" i="7" s="1" a="1"/>
  <c r="W93" i="7" s="1" a="1"/>
  <c r="W94" i="7" s="1" a="1"/>
  <c r="W95" i="7" s="1" a="1"/>
  <c r="W96" i="7" s="1" a="1"/>
  <c r="W97" i="7" s="1" a="1"/>
  <c r="W98" i="7" s="1" a="1"/>
  <c r="W99" i="7" s="1" a="1"/>
  <c r="W100" i="7" s="1" a="1"/>
  <c r="W101" i="7" s="1" a="1"/>
  <c r="W102" i="7" s="1" a="1"/>
  <c r="W103" i="7" s="1" a="1"/>
  <c r="W104" i="7" s="1" a="1"/>
  <c r="W105" i="7" s="1" a="1"/>
  <c r="W106" i="7" s="1" a="1"/>
  <c r="W107" i="7" s="1" a="1"/>
  <c r="W108" i="7" s="1" a="1"/>
  <c r="W109" i="7" s="1" a="1"/>
  <c r="W110" i="7" s="1" a="1"/>
  <c r="H5" i="10"/>
  <c r="B5" i="10"/>
  <c r="I4" i="10"/>
  <c r="C4" i="10"/>
  <c r="C28" i="11"/>
  <c r="R36" i="7" a="1"/>
  <c r="R37" i="7" s="1" a="1"/>
  <c r="R38" i="7" s="1" a="1"/>
  <c r="R39" i="7" s="1" a="1"/>
  <c r="R40" i="7" s="1" a="1"/>
  <c r="R41" i="7" s="1" a="1"/>
  <c r="R42" i="7" s="1" a="1"/>
  <c r="R43" i="7" s="1" a="1"/>
  <c r="R44" i="7" s="1" a="1"/>
  <c r="R45" i="7" s="1" a="1"/>
  <c r="R46" i="7" s="1" a="1"/>
  <c r="R47" i="7" s="1" a="1"/>
  <c r="R48" i="7" s="1" a="1"/>
  <c r="R49" i="7" s="1" a="1"/>
  <c r="R50" i="7" s="1" a="1"/>
  <c r="R51" i="7" s="1" a="1"/>
  <c r="R52" i="7" s="1" a="1"/>
  <c r="R53" i="7" s="1" a="1"/>
  <c r="R54" i="7" s="1" a="1"/>
  <c r="R55" i="7" s="1" a="1"/>
  <c r="R56" i="7" s="1" a="1"/>
  <c r="R57" i="7" s="1" a="1"/>
  <c r="R58" i="7" s="1" a="1"/>
  <c r="R59" i="7" s="1" a="1"/>
  <c r="R60" i="7" s="1" a="1"/>
  <c r="R61" i="7" s="1" a="1"/>
  <c r="R62" i="7" s="1" a="1"/>
  <c r="R63" i="7" s="1" a="1"/>
  <c r="R64" i="7" s="1" a="1"/>
  <c r="R65" i="7" s="1" a="1"/>
  <c r="R66" i="7" s="1" a="1"/>
  <c r="R67" i="7" s="1" a="1"/>
  <c r="R68" i="7" s="1" a="1"/>
  <c r="R69" i="7" s="1" a="1"/>
  <c r="R70" i="7" s="1" a="1"/>
  <c r="R71" i="7" s="1" a="1"/>
  <c r="R72" i="7" s="1" a="1"/>
  <c r="R73" i="7" s="1" a="1"/>
  <c r="R74" i="7" s="1" a="1"/>
  <c r="R75" i="7" s="1" a="1"/>
  <c r="R76" i="7" s="1" a="1"/>
  <c r="R77" i="7" s="1" a="1"/>
  <c r="R78" i="7" s="1" a="1"/>
  <c r="R79" i="7" s="1" a="1"/>
  <c r="R80" i="7" s="1" a="1"/>
  <c r="R81" i="7" s="1" a="1"/>
  <c r="R82" i="7" s="1" a="1"/>
  <c r="R83" i="7" s="1" a="1"/>
  <c r="R84" i="7" s="1" a="1"/>
  <c r="R85" i="7" s="1" a="1"/>
  <c r="R86" i="7" s="1" a="1"/>
  <c r="R87" i="7" s="1" a="1"/>
  <c r="R88" i="7" s="1" a="1"/>
  <c r="R89" i="7" s="1" a="1"/>
  <c r="R90" i="7" s="1" a="1"/>
  <c r="R91" i="7" s="1" a="1"/>
  <c r="R92" i="7" s="1" a="1"/>
  <c r="R93" i="7" s="1" a="1"/>
  <c r="R94" i="7" s="1" a="1"/>
  <c r="R95" i="7" s="1" a="1"/>
  <c r="R96" i="7" s="1" a="1"/>
  <c r="R97" i="7" s="1" a="1"/>
  <c r="R98" i="7" s="1" a="1"/>
  <c r="R99" i="7" s="1" a="1"/>
  <c r="R100" i="7" s="1" a="1"/>
  <c r="R101" i="7" s="1" a="1"/>
  <c r="R102" i="7" s="1" a="1"/>
  <c r="R103" i="7" s="1" a="1"/>
  <c r="R104" i="7" s="1" a="1"/>
  <c r="R105" i="7" s="1" a="1"/>
  <c r="R106" i="7" s="1" a="1"/>
  <c r="R107" i="7" s="1" a="1"/>
  <c r="R108" i="7" s="1" a="1"/>
  <c r="R109" i="7" s="1" a="1"/>
  <c r="R110" i="7" s="1" a="1"/>
  <c r="B30" i="11"/>
  <c r="B31" i="11"/>
  <c r="U37" i="7" a="1"/>
  <c r="U38" i="7" s="1" a="1"/>
  <c r="U39" i="7" s="1" a="1"/>
  <c r="U40" i="7" s="1" a="1"/>
  <c r="U41" i="7" s="1" a="1"/>
  <c r="U42" i="7" s="1" a="1"/>
  <c r="U43" i="7" s="1" a="1"/>
  <c r="U44" i="7" s="1" a="1"/>
  <c r="U45" i="7" s="1" a="1"/>
  <c r="U46" i="7" s="1" a="1"/>
  <c r="U47" i="7" s="1" a="1"/>
  <c r="U48" i="7" s="1" a="1"/>
  <c r="U49" i="7" s="1" a="1"/>
  <c r="U50" i="7" s="1" a="1"/>
  <c r="U51" i="7" s="1" a="1"/>
  <c r="U52" i="7" s="1" a="1"/>
  <c r="U53" i="7" s="1" a="1"/>
  <c r="U54" i="7" s="1" a="1"/>
  <c r="U55" i="7" s="1" a="1"/>
  <c r="U56" i="7" s="1" a="1"/>
  <c r="U57" i="7" s="1" a="1"/>
  <c r="U58" i="7" s="1" a="1"/>
  <c r="U59" i="7" s="1" a="1"/>
  <c r="U60" i="7" s="1" a="1"/>
  <c r="U61" i="7" s="1" a="1"/>
  <c r="U62" i="7" s="1" a="1"/>
  <c r="U63" i="7" s="1" a="1"/>
  <c r="U64" i="7" s="1" a="1"/>
  <c r="U65" i="7" s="1" a="1"/>
  <c r="U66" i="7" s="1" a="1"/>
  <c r="U67" i="7" s="1" a="1"/>
  <c r="U68" i="7" s="1" a="1"/>
  <c r="U69" i="7" s="1" a="1"/>
  <c r="U70" i="7" s="1" a="1"/>
  <c r="U71" i="7" s="1" a="1"/>
  <c r="U72" i="7" s="1" a="1"/>
  <c r="U73" i="7" s="1" a="1"/>
  <c r="U74" i="7" s="1" a="1"/>
  <c r="U75" i="7" s="1" a="1"/>
  <c r="U76" i="7" s="1" a="1"/>
  <c r="U77" i="7" s="1" a="1"/>
  <c r="U78" i="7" s="1" a="1"/>
  <c r="U79" i="7" s="1" a="1"/>
  <c r="U80" i="7" s="1" a="1"/>
  <c r="U81" i="7" s="1" a="1"/>
  <c r="U82" i="7" s="1" a="1"/>
  <c r="U83" i="7" s="1" a="1"/>
  <c r="U84" i="7" s="1" a="1"/>
  <c r="U85" i="7" s="1" a="1"/>
  <c r="U86" i="7" s="1" a="1"/>
  <c r="U87" i="7" s="1" a="1"/>
  <c r="U88" i="7" s="1" a="1"/>
  <c r="U89" i="7" s="1" a="1"/>
  <c r="U90" i="7" s="1" a="1"/>
  <c r="U91" i="7" s="1" a="1"/>
  <c r="U92" i="7" s="1" a="1"/>
  <c r="U93" i="7" s="1" a="1"/>
  <c r="U94" i="7" s="1" a="1"/>
  <c r="U95" i="7" s="1" a="1"/>
  <c r="U96" i="7" s="1" a="1"/>
  <c r="U97" i="7" s="1" a="1"/>
  <c r="U98" i="7" s="1" a="1"/>
  <c r="U99" i="7" s="1" a="1"/>
  <c r="U100" i="7" s="1" a="1"/>
  <c r="U101" i="7" s="1" a="1"/>
  <c r="U102" i="7" s="1" a="1"/>
  <c r="U103" i="7" s="1" a="1"/>
  <c r="U104" i="7" s="1" a="1"/>
  <c r="U105" i="7" s="1" a="1"/>
  <c r="U106" i="7" s="1" a="1"/>
  <c r="U107" i="7" s="1" a="1"/>
  <c r="U108" i="7" s="1" a="1"/>
  <c r="U109" i="7" s="1" a="1"/>
  <c r="U110" i="7" s="1" a="1"/>
  <c r="AN49" i="7" a="1"/>
  <c r="AN50" i="7" s="1" a="1"/>
  <c r="AN51" i="7" s="1" a="1"/>
  <c r="AN52" i="7" s="1" a="1"/>
  <c r="AN53" i="7" s="1" a="1"/>
  <c r="AN54" i="7" s="1" a="1"/>
  <c r="AN55" i="7" s="1" a="1"/>
  <c r="AN56" i="7" s="1" a="1"/>
  <c r="AN57" i="7" s="1" a="1"/>
  <c r="AN58" i="7" s="1" a="1"/>
  <c r="AN59" i="7" s="1" a="1"/>
  <c r="AN60" i="7" s="1" a="1"/>
  <c r="AN61" i="7" s="1" a="1"/>
  <c r="AN62" i="7" s="1" a="1"/>
  <c r="AN63" i="7" s="1" a="1"/>
  <c r="AN64" i="7" s="1" a="1"/>
  <c r="AN65" i="7" s="1" a="1"/>
  <c r="AN66" i="7" s="1" a="1"/>
  <c r="AN67" i="7" s="1" a="1"/>
  <c r="AN68" i="7" s="1" a="1"/>
  <c r="AN69" i="7" s="1" a="1"/>
  <c r="AN70" i="7" s="1" a="1"/>
  <c r="AN71" i="7" s="1" a="1"/>
  <c r="AN72" i="7" s="1" a="1"/>
  <c r="AN73" i="7" s="1" a="1"/>
  <c r="AN74" i="7" s="1" a="1"/>
  <c r="AN75" i="7" s="1" a="1"/>
  <c r="AN76" i="7" s="1" a="1"/>
  <c r="AN77" i="7" s="1" a="1"/>
  <c r="AN78" i="7" s="1" a="1"/>
  <c r="AN79" i="7" s="1" a="1"/>
  <c r="AN80" i="7" s="1" a="1"/>
  <c r="AN81" i="7" s="1" a="1"/>
  <c r="AN82" i="7" s="1" a="1"/>
  <c r="AN83" i="7" s="1" a="1"/>
  <c r="AN84" i="7" s="1" a="1"/>
  <c r="AN85" i="7" s="1" a="1"/>
  <c r="AN86" i="7" s="1" a="1"/>
  <c r="AN87" i="7" s="1" a="1"/>
  <c r="AN88" i="7" s="1" a="1"/>
  <c r="AN89" i="7" s="1" a="1"/>
  <c r="AN90" i="7" s="1" a="1"/>
  <c r="AN91" i="7" s="1" a="1"/>
  <c r="AN92" i="7" s="1" a="1"/>
  <c r="AN93" i="7" s="1" a="1"/>
  <c r="AN94" i="7" s="1" a="1"/>
  <c r="AN95" i="7" s="1" a="1"/>
  <c r="AN96" i="7" s="1" a="1"/>
  <c r="AN97" i="7" s="1" a="1"/>
  <c r="AN98" i="7" s="1" a="1"/>
  <c r="AN99" i="7" s="1" a="1"/>
  <c r="AN100" i="7" s="1" a="1"/>
  <c r="AN101" i="7" s="1" a="1"/>
  <c r="AN102" i="7" s="1" a="1"/>
  <c r="AN103" i="7" s="1" a="1"/>
  <c r="AN104" i="7" s="1" a="1"/>
  <c r="AN105" i="7" s="1" a="1"/>
  <c r="AN106" i="7" s="1" a="1"/>
  <c r="AN107" i="7" s="1" a="1"/>
  <c r="AN108" i="7" s="1" a="1"/>
  <c r="AN109" i="7" s="1" a="1"/>
  <c r="AN110" i="7" s="1" a="1"/>
  <c r="V36" i="7" a="1"/>
  <c r="V37" i="7" s="1" a="1"/>
  <c r="V38" i="7" s="1" a="1"/>
  <c r="V39" i="7" s="1" a="1"/>
  <c r="V40" i="7" s="1" a="1"/>
  <c r="V41" i="7" s="1" a="1"/>
  <c r="V42" i="7" s="1" a="1"/>
  <c r="V43" i="7" s="1" a="1"/>
  <c r="V44" i="7" s="1" a="1"/>
  <c r="V45" i="7" s="1" a="1"/>
  <c r="V46" i="7" s="1" a="1"/>
  <c r="V47" i="7" s="1" a="1"/>
  <c r="V48" i="7" s="1" a="1"/>
  <c r="V49" i="7" s="1" a="1"/>
  <c r="V50" i="7" s="1" a="1"/>
  <c r="V51" i="7" s="1" a="1"/>
  <c r="V52" i="7" s="1" a="1"/>
  <c r="V53" i="7" s="1" a="1"/>
  <c r="V54" i="7" s="1" a="1"/>
  <c r="V55" i="7" s="1" a="1"/>
  <c r="V56" i="7" s="1" a="1"/>
  <c r="V57" i="7" s="1" a="1"/>
  <c r="V58" i="7" s="1" a="1"/>
  <c r="V59" i="7" s="1" a="1"/>
  <c r="V60" i="7" s="1" a="1"/>
  <c r="V61" i="7" s="1" a="1"/>
  <c r="V62" i="7" s="1" a="1"/>
  <c r="V63" i="7" s="1" a="1"/>
  <c r="V64" i="7" s="1" a="1"/>
  <c r="V65" i="7" s="1" a="1"/>
  <c r="V66" i="7" s="1" a="1"/>
  <c r="V67" i="7" s="1" a="1"/>
  <c r="V68" i="7" s="1" a="1"/>
  <c r="V69" i="7" s="1" a="1"/>
  <c r="V70" i="7" s="1" a="1"/>
  <c r="V71" i="7" s="1" a="1"/>
  <c r="V72" i="7" s="1" a="1"/>
  <c r="V73" i="7" s="1" a="1"/>
  <c r="V74" i="7" s="1" a="1"/>
  <c r="V75" i="7" s="1" a="1"/>
  <c r="V76" i="7" s="1" a="1"/>
  <c r="V77" i="7" s="1" a="1"/>
  <c r="V78" i="7" s="1" a="1"/>
  <c r="V79" i="7" s="1" a="1"/>
  <c r="V80" i="7" s="1" a="1"/>
  <c r="V81" i="7" s="1" a="1"/>
  <c r="V82" i="7" s="1" a="1"/>
  <c r="V83" i="7" s="1" a="1"/>
  <c r="V84" i="7" s="1" a="1"/>
  <c r="V85" i="7" s="1" a="1"/>
  <c r="V86" i="7" s="1" a="1"/>
  <c r="V87" i="7" s="1" a="1"/>
  <c r="V88" i="7" s="1" a="1"/>
  <c r="V89" i="7" s="1" a="1"/>
  <c r="V90" i="7" s="1" a="1"/>
  <c r="V91" i="7" s="1" a="1"/>
  <c r="V92" i="7" s="1" a="1"/>
  <c r="V93" i="7" s="1" a="1"/>
  <c r="V94" i="7" s="1" a="1"/>
  <c r="V95" i="7" s="1" a="1"/>
  <c r="V96" i="7" s="1" a="1"/>
  <c r="V97" i="7" s="1" a="1"/>
  <c r="V98" i="7" s="1" a="1"/>
  <c r="V99" i="7" s="1" a="1"/>
  <c r="V100" i="7" s="1" a="1"/>
  <c r="V101" i="7" s="1" a="1"/>
  <c r="V102" i="7" s="1" a="1"/>
  <c r="V103" i="7" s="1" a="1"/>
  <c r="V104" i="7" s="1" a="1"/>
  <c r="V105" i="7" s="1" a="1"/>
  <c r="V106" i="7" s="1" a="1"/>
  <c r="V107" i="7" s="1" a="1"/>
  <c r="V108" i="7" s="1" a="1"/>
  <c r="V109" i="7" s="1" a="1"/>
  <c r="V110" i="7" s="1" a="1"/>
  <c r="E28" i="11"/>
  <c r="D57" i="11"/>
  <c r="D48" i="11"/>
  <c r="D56" i="11"/>
  <c r="D37" i="11"/>
  <c r="D55" i="11"/>
  <c r="D49" i="11"/>
  <c r="D35" i="11"/>
  <c r="D39" i="11"/>
  <c r="D45" i="11"/>
  <c r="D61" i="11"/>
  <c r="D47" i="11"/>
  <c r="D58" i="11"/>
  <c r="D40" i="11"/>
  <c r="E32" i="11"/>
  <c r="D38" i="11"/>
  <c r="D54" i="11"/>
  <c r="D36" i="11"/>
  <c r="D51" i="11"/>
  <c r="E29" i="11"/>
  <c r="D42" i="11"/>
  <c r="E30" i="11"/>
  <c r="D44" i="11"/>
  <c r="D41" i="11"/>
  <c r="E35" i="11"/>
  <c r="D46" i="11"/>
  <c r="D50" i="11"/>
  <c r="G28" i="11"/>
  <c r="D53" i="11"/>
  <c r="D52" i="11"/>
  <c r="E34" i="11"/>
  <c r="E33" i="11"/>
  <c r="E31" i="11"/>
  <c r="D43" i="11"/>
  <c r="D59" i="11"/>
  <c r="D60" i="11"/>
  <c r="F29" i="11"/>
  <c r="F34" i="11"/>
  <c r="F31" i="11"/>
  <c r="F32" i="11"/>
  <c r="F33" i="11"/>
  <c r="F30" i="11"/>
  <c r="B27" i="12"/>
  <c r="C36" i="12"/>
  <c r="E37" i="12"/>
  <c r="F37" i="12"/>
  <c r="D62" i="11"/>
  <c r="B32" i="11"/>
  <c r="G38" i="12"/>
  <c r="D32" i="12"/>
  <c r="B28" i="12"/>
  <c r="K9" i="7"/>
  <c r="M8" i="7" a="1"/>
  <c r="AK8" i="7"/>
  <c r="C8" i="9" s="1"/>
  <c r="L8" i="7" a="1"/>
  <c r="N8" i="7" s="1" a="1"/>
  <c r="O8" i="7" s="1" a="1"/>
  <c r="Z26" i="1"/>
  <c r="Z30" i="1"/>
  <c r="O31" i="1" a="1"/>
  <c r="P31" i="1" a="1"/>
  <c r="Q31" i="1" a="1"/>
  <c r="Y31" i="1"/>
  <c r="W31" i="1" a="1"/>
  <c r="X31" i="1" a="1"/>
  <c r="N32" i="1" a="1"/>
  <c r="C31" i="5"/>
  <c r="L32" i="1" a="1"/>
  <c r="M32" i="1" a="1"/>
  <c r="D31" i="5"/>
  <c r="S32" i="1" a="1"/>
  <c r="T32" i="1" a="1"/>
  <c r="U32" i="1" a="1"/>
  <c r="K33" i="1"/>
  <c r="R31" i="1"/>
  <c r="Z17" i="1"/>
  <c r="R18" i="1"/>
  <c r="AB6" i="1"/>
  <c r="Z27" i="1"/>
  <c r="AA5" i="1"/>
  <c r="AB5" i="1"/>
  <c r="Z16" i="1"/>
  <c r="AA6" i="1"/>
  <c r="Z22" i="1"/>
  <c r="V8" i="1"/>
  <c r="V9" i="1" s="1"/>
  <c r="V10" i="1" s="1"/>
  <c r="V11" i="1" s="1"/>
  <c r="AA7" i="1"/>
  <c r="AB7" i="1"/>
  <c r="AA9" i="1"/>
  <c r="BD9" i="7" l="1"/>
  <c r="H8" i="14" s="1"/>
  <c r="BD8" i="7"/>
  <c r="H7" i="14" s="1"/>
  <c r="P8" i="7" a="1"/>
  <c r="Q8" i="7" a="1"/>
  <c r="D4" i="9"/>
  <c r="AL5" i="7" a="1"/>
  <c r="AH4" i="7" a="1"/>
  <c r="AD8" i="7" a="1"/>
  <c r="AG5" i="7" a="1"/>
  <c r="AF6" i="7" a="1"/>
  <c r="AE7" i="7" a="1"/>
  <c r="E3" i="10"/>
  <c r="K3" i="10"/>
  <c r="I17" i="13"/>
  <c r="G18" i="13"/>
  <c r="E17" i="13"/>
  <c r="C17" i="13"/>
  <c r="S37" i="7" a="1"/>
  <c r="S38" i="7" s="1" a="1"/>
  <c r="S39" i="7" s="1" a="1"/>
  <c r="S40" i="7" s="1" a="1"/>
  <c r="S41" i="7" s="1" a="1"/>
  <c r="S42" i="7" s="1" a="1"/>
  <c r="S43" i="7" s="1" a="1"/>
  <c r="S44" i="7" s="1" a="1"/>
  <c r="S45" i="7" s="1" a="1"/>
  <c r="S46" i="7" s="1" a="1"/>
  <c r="S47" i="7" s="1" a="1"/>
  <c r="S48" i="7" s="1" a="1"/>
  <c r="S49" i="7" s="1" a="1"/>
  <c r="S50" i="7" s="1" a="1"/>
  <c r="S51" i="7" s="1" a="1"/>
  <c r="S52" i="7" s="1" a="1"/>
  <c r="S53" i="7" s="1" a="1"/>
  <c r="S54" i="7" s="1" a="1"/>
  <c r="S55" i="7" s="1" a="1"/>
  <c r="S56" i="7" s="1" a="1"/>
  <c r="S57" i="7" s="1" a="1"/>
  <c r="S58" i="7" s="1" a="1"/>
  <c r="S59" i="7" s="1" a="1"/>
  <c r="S60" i="7" s="1" a="1"/>
  <c r="S61" i="7" s="1" a="1"/>
  <c r="S62" i="7" s="1" a="1"/>
  <c r="S63" i="7" s="1" a="1"/>
  <c r="S64" i="7" s="1" a="1"/>
  <c r="S65" i="7" s="1" a="1"/>
  <c r="S66" i="7" s="1" a="1"/>
  <c r="S67" i="7" s="1" a="1"/>
  <c r="S68" i="7" s="1" a="1"/>
  <c r="S69" i="7" s="1" a="1"/>
  <c r="S70" i="7" s="1" a="1"/>
  <c r="S71" i="7" s="1" a="1"/>
  <c r="S72" i="7" s="1" a="1"/>
  <c r="S73" i="7" s="1" a="1"/>
  <c r="S74" i="7" s="1" a="1"/>
  <c r="S75" i="7" s="1" a="1"/>
  <c r="S76" i="7" s="1" a="1"/>
  <c r="S77" i="7" s="1" a="1"/>
  <c r="S78" i="7" s="1" a="1"/>
  <c r="S79" i="7" s="1" a="1"/>
  <c r="S80" i="7" s="1" a="1"/>
  <c r="S81" i="7" s="1" a="1"/>
  <c r="S82" i="7" s="1" a="1"/>
  <c r="S83" i="7" s="1" a="1"/>
  <c r="S84" i="7" s="1" a="1"/>
  <c r="S85" i="7" s="1" a="1"/>
  <c r="S86" i="7" s="1" a="1"/>
  <c r="S87" i="7" s="1" a="1"/>
  <c r="S88" i="7" s="1" a="1"/>
  <c r="S89" i="7" s="1" a="1"/>
  <c r="S90" i="7" s="1" a="1"/>
  <c r="S91" i="7" s="1" a="1"/>
  <c r="S92" i="7" s="1" a="1"/>
  <c r="S93" i="7" s="1" a="1"/>
  <c r="S94" i="7" s="1" a="1"/>
  <c r="S95" i="7" s="1" a="1"/>
  <c r="S96" i="7" s="1" a="1"/>
  <c r="S97" i="7" s="1" a="1"/>
  <c r="S98" i="7" s="1" a="1"/>
  <c r="S99" i="7" s="1" a="1"/>
  <c r="S100" i="7" s="1" a="1"/>
  <c r="S101" i="7" s="1" a="1"/>
  <c r="S102" i="7" s="1" a="1"/>
  <c r="S103" i="7" s="1" a="1"/>
  <c r="S104" i="7" s="1" a="1"/>
  <c r="S105" i="7" s="1" a="1"/>
  <c r="S106" i="7" s="1" a="1"/>
  <c r="S107" i="7" s="1" a="1"/>
  <c r="S108" i="7" s="1" a="1"/>
  <c r="S109" i="7" s="1" a="1"/>
  <c r="S110" i="7" s="1" a="1"/>
  <c r="C29" i="11"/>
  <c r="G66" i="11"/>
  <c r="G31" i="11"/>
  <c r="G77" i="11"/>
  <c r="G30" i="11"/>
  <c r="G49" i="11"/>
  <c r="G54" i="11"/>
  <c r="G32" i="11"/>
  <c r="G51" i="11"/>
  <c r="G81" i="11"/>
  <c r="G33" i="11"/>
  <c r="G46" i="11"/>
  <c r="G62" i="11"/>
  <c r="G35" i="11"/>
  <c r="G59" i="11"/>
  <c r="G29" i="11"/>
  <c r="G43" i="11"/>
  <c r="G80" i="11"/>
  <c r="G44" i="11"/>
  <c r="G70" i="11"/>
  <c r="G69" i="11"/>
  <c r="G68" i="11"/>
  <c r="G40" i="11"/>
  <c r="G37" i="11"/>
  <c r="G57" i="11"/>
  <c r="G50" i="11"/>
  <c r="G42" i="11"/>
  <c r="G39" i="11"/>
  <c r="G45" i="11"/>
  <c r="G55" i="11"/>
  <c r="G75" i="11"/>
  <c r="G78" i="11"/>
  <c r="G41" i="11"/>
  <c r="G65" i="11"/>
  <c r="G67" i="11"/>
  <c r="G56" i="11"/>
  <c r="G63" i="11"/>
  <c r="G34" i="11"/>
  <c r="G64" i="11"/>
  <c r="G72" i="11"/>
  <c r="G47" i="11"/>
  <c r="G74" i="11"/>
  <c r="G36" i="11"/>
  <c r="G73" i="11"/>
  <c r="G38" i="11"/>
  <c r="G71" i="11"/>
  <c r="G48" i="11"/>
  <c r="G82" i="11"/>
  <c r="G76" i="11"/>
  <c r="G58" i="11"/>
  <c r="G53" i="11"/>
  <c r="G60" i="11"/>
  <c r="G61" i="11"/>
  <c r="G79" i="11"/>
  <c r="G52" i="11"/>
  <c r="H6" i="10"/>
  <c r="B6" i="10"/>
  <c r="I5" i="10"/>
  <c r="C5" i="10"/>
  <c r="J4" i="10"/>
  <c r="D4" i="10"/>
  <c r="E36" i="11"/>
  <c r="E37" i="11"/>
  <c r="E38" i="11"/>
  <c r="F38" i="11"/>
  <c r="F37" i="11"/>
  <c r="F36" i="11"/>
  <c r="F35" i="11"/>
  <c r="F39" i="11"/>
  <c r="C37" i="12"/>
  <c r="E38" i="12"/>
  <c r="F38" i="12"/>
  <c r="D33" i="12"/>
  <c r="C30" i="11"/>
  <c r="D63" i="11"/>
  <c r="G83" i="11"/>
  <c r="E39" i="11"/>
  <c r="F40" i="11"/>
  <c r="B33" i="11"/>
  <c r="G39" i="12"/>
  <c r="B29" i="12"/>
  <c r="M9" i="7" a="1"/>
  <c r="L9" i="7" a="1"/>
  <c r="N9" i="7" s="1" a="1"/>
  <c r="O9" i="7" s="1" a="1"/>
  <c r="K10" i="7"/>
  <c r="AK9" i="7"/>
  <c r="C9" i="9" s="1"/>
  <c r="P32" i="1" a="1"/>
  <c r="O32" i="1" a="1"/>
  <c r="Q32" i="1" a="1"/>
  <c r="R32" i="1"/>
  <c r="Y32" i="1"/>
  <c r="W32" i="1" a="1"/>
  <c r="X32" i="1" a="1"/>
  <c r="L33" i="1" a="1"/>
  <c r="M33" i="1" a="1"/>
  <c r="C32" i="5"/>
  <c r="D32" i="5"/>
  <c r="N33" i="1" a="1"/>
  <c r="S33" i="1" a="1"/>
  <c r="T33" i="1" a="1"/>
  <c r="U33" i="1" a="1"/>
  <c r="K34" i="1"/>
  <c r="Z31" i="1"/>
  <c r="C4" i="3"/>
  <c r="B5" i="3"/>
  <c r="D3" i="3"/>
  <c r="Z18" i="1"/>
  <c r="R19" i="1"/>
  <c r="Z19" i="1" s="1"/>
  <c r="B4" i="3"/>
  <c r="C3" i="3"/>
  <c r="I3" i="3"/>
  <c r="H4" i="3"/>
  <c r="V12" i="1"/>
  <c r="V13" i="1" s="1"/>
  <c r="V14" i="1" s="1"/>
  <c r="V15" i="1" s="1"/>
  <c r="V16" i="1" s="1"/>
  <c r="V17" i="1" s="1"/>
  <c r="V18" i="1" s="1"/>
  <c r="V19" i="1" s="1"/>
  <c r="V20" i="1" s="1"/>
  <c r="V21" i="1" s="1"/>
  <c r="V22" i="1" s="1"/>
  <c r="V23" i="1" s="1"/>
  <c r="V24" i="1" s="1"/>
  <c r="I4" i="3"/>
  <c r="H5" i="3"/>
  <c r="J3" i="3"/>
  <c r="AA8" i="1"/>
  <c r="E3" i="3"/>
  <c r="AD6" i="1" a="1"/>
  <c r="B6" i="3"/>
  <c r="C5" i="3"/>
  <c r="D4" i="3"/>
  <c r="AD4" i="1" a="1"/>
  <c r="AD5" i="1" a="1"/>
  <c r="J4" i="3"/>
  <c r="I5" i="3"/>
  <c r="H6" i="3"/>
  <c r="K3" i="3"/>
  <c r="F4" i="3"/>
  <c r="E5" i="3"/>
  <c r="B8" i="3"/>
  <c r="D6" i="3"/>
  <c r="C7" i="3"/>
  <c r="G3" i="3"/>
  <c r="AB8" i="1"/>
  <c r="AY4" i="7" l="1" a="1"/>
  <c r="P9" i="7" a="1"/>
  <c r="Q9" i="7" a="1"/>
  <c r="D5" i="9"/>
  <c r="AL6" i="7" a="1"/>
  <c r="AE8" i="7" a="1"/>
  <c r="AD9" i="7" a="1"/>
  <c r="AI4" i="7" a="1"/>
  <c r="AH5" i="7" a="1"/>
  <c r="AF7" i="7" a="1"/>
  <c r="AG6" i="7" a="1"/>
  <c r="L3" i="10"/>
  <c r="I18" i="13"/>
  <c r="G19" i="13"/>
  <c r="E18" i="13"/>
  <c r="C18" i="13"/>
  <c r="H7" i="10"/>
  <c r="I6" i="10"/>
  <c r="J5" i="10"/>
  <c r="K4" i="10"/>
  <c r="C38" i="12"/>
  <c r="E39" i="12"/>
  <c r="F39" i="12"/>
  <c r="D34" i="12"/>
  <c r="C31" i="11"/>
  <c r="D64" i="11"/>
  <c r="G84" i="11"/>
  <c r="E40" i="11"/>
  <c r="F41" i="11"/>
  <c r="B34" i="11"/>
  <c r="G40" i="12"/>
  <c r="B30" i="12"/>
  <c r="K11" i="7"/>
  <c r="M10" i="7" a="1"/>
  <c r="AK10" i="7"/>
  <c r="C10" i="9" s="1"/>
  <c r="L10" i="7" a="1"/>
  <c r="N10" i="7" s="1" a="1"/>
  <c r="O10" i="7" s="1" a="1"/>
  <c r="Z32" i="1"/>
  <c r="P33" i="1" a="1"/>
  <c r="O33" i="1" a="1"/>
  <c r="Q33" i="1" a="1"/>
  <c r="Y33" i="1"/>
  <c r="Z33" i="1" s="1"/>
  <c r="W33" i="1" a="1"/>
  <c r="X33" i="1" a="1"/>
  <c r="M34" i="1" a="1"/>
  <c r="C33" i="5"/>
  <c r="L34" i="1" a="1"/>
  <c r="N34" i="1" a="1"/>
  <c r="D33" i="5"/>
  <c r="S34" i="1" a="1"/>
  <c r="T34" i="1" a="1"/>
  <c r="U34" i="1" a="1"/>
  <c r="K35" i="1"/>
  <c r="R33" i="1"/>
  <c r="F5" i="5"/>
  <c r="F3" i="5"/>
  <c r="F4" i="5"/>
  <c r="V25" i="1"/>
  <c r="V26" i="1" s="1"/>
  <c r="V27" i="1" s="1"/>
  <c r="V28" i="1" s="1"/>
  <c r="V29" i="1" s="1"/>
  <c r="E4" i="3"/>
  <c r="AD7" i="1" a="1"/>
  <c r="D5" i="3"/>
  <c r="F3" i="3"/>
  <c r="C6" i="3"/>
  <c r="B7" i="3"/>
  <c r="AA10" i="1"/>
  <c r="K4" i="3"/>
  <c r="J5" i="3"/>
  <c r="I6" i="3"/>
  <c r="H7" i="3"/>
  <c r="L3" i="3"/>
  <c r="AB9" i="1"/>
  <c r="AA11" i="1"/>
  <c r="AZ4" i="7" l="1" a="1"/>
  <c r="Q10" i="7" a="1"/>
  <c r="P10" i="7" a="1"/>
  <c r="Y7" i="7" a="1"/>
  <c r="C6" i="10" s="1"/>
  <c r="Z6" i="7" a="1"/>
  <c r="D5" i="10" s="1"/>
  <c r="AA5" i="7" a="1"/>
  <c r="E4" i="10" s="1"/>
  <c r="AB4" i="7" a="1"/>
  <c r="F3" i="10" s="1"/>
  <c r="X8" i="7" a="1"/>
  <c r="B7" i="10" s="1"/>
  <c r="D6" i="9"/>
  <c r="BD10" i="7"/>
  <c r="H9" i="14" s="1"/>
  <c r="AL7" i="7" a="1"/>
  <c r="AE9" i="7" a="1"/>
  <c r="AD10" i="7" a="1"/>
  <c r="AI5" i="7" a="1"/>
  <c r="AG7" i="7" a="1"/>
  <c r="AH6" i="7" a="1"/>
  <c r="AF8" i="7" a="1"/>
  <c r="M3" i="10"/>
  <c r="I19" i="13"/>
  <c r="G20" i="13"/>
  <c r="E19" i="13"/>
  <c r="C19" i="13"/>
  <c r="H8" i="10"/>
  <c r="I7" i="10"/>
  <c r="J6" i="10"/>
  <c r="K5" i="10"/>
  <c r="L4" i="10"/>
  <c r="C39" i="12"/>
  <c r="E40" i="12"/>
  <c r="F40" i="12"/>
  <c r="D35" i="12"/>
  <c r="C32" i="11"/>
  <c r="D65" i="11"/>
  <c r="G85" i="11"/>
  <c r="E41" i="11"/>
  <c r="F42" i="11"/>
  <c r="B35" i="11"/>
  <c r="G41" i="12"/>
  <c r="B31" i="12"/>
  <c r="M11" i="7" a="1"/>
  <c r="L11" i="7" a="1"/>
  <c r="N11" i="7" s="1" a="1"/>
  <c r="O11" i="7" s="1" a="1"/>
  <c r="K12" i="7"/>
  <c r="AK11" i="7"/>
  <c r="C11" i="9" s="1"/>
  <c r="P34" i="1" a="1"/>
  <c r="O34" i="1" a="1"/>
  <c r="Q34" i="1" a="1"/>
  <c r="Y34" i="1"/>
  <c r="W34" i="1" a="1"/>
  <c r="X34" i="1" a="1"/>
  <c r="M35" i="1" a="1"/>
  <c r="N35" i="1" a="1"/>
  <c r="C34" i="5"/>
  <c r="L35" i="1" a="1"/>
  <c r="D34" i="5"/>
  <c r="S35" i="1" a="1"/>
  <c r="T35" i="1" a="1"/>
  <c r="U35" i="1" a="1"/>
  <c r="K36" i="1"/>
  <c r="R34" i="1"/>
  <c r="F6" i="5"/>
  <c r="AD8" i="1" a="1"/>
  <c r="V30" i="1"/>
  <c r="V31" i="1" s="1"/>
  <c r="V32" i="1" s="1"/>
  <c r="V33" i="1" s="1"/>
  <c r="V34" i="1" s="1"/>
  <c r="B9" i="3"/>
  <c r="C8" i="3"/>
  <c r="D7" i="3"/>
  <c r="E6" i="3"/>
  <c r="G4" i="3"/>
  <c r="F5" i="3"/>
  <c r="L4" i="3"/>
  <c r="K5" i="3"/>
  <c r="J6" i="3"/>
  <c r="I7" i="3"/>
  <c r="H8" i="3"/>
  <c r="M3" i="3"/>
  <c r="B10" i="3"/>
  <c r="D8" i="3"/>
  <c r="C9" i="3"/>
  <c r="G5" i="3"/>
  <c r="F6" i="3"/>
  <c r="E7" i="3"/>
  <c r="AB10" i="1"/>
  <c r="AA12" i="1"/>
  <c r="E3" i="14" l="1"/>
  <c r="X10" i="7" a="1"/>
  <c r="P11" i="7" a="1"/>
  <c r="Q11" i="7" a="1"/>
  <c r="BD11" i="7"/>
  <c r="H10" i="14" s="1"/>
  <c r="D7" i="9"/>
  <c r="Y8" i="7" a="1"/>
  <c r="Z7" i="7" a="1"/>
  <c r="AB5" i="7" a="1"/>
  <c r="AC4" i="7" a="1"/>
  <c r="X9" i="7" a="1"/>
  <c r="AA6" i="7" a="1"/>
  <c r="BD12" i="7"/>
  <c r="H11" i="14" s="1"/>
  <c r="AL8" i="7" a="1"/>
  <c r="AH7" i="7" a="1"/>
  <c r="AF9" i="7" a="1"/>
  <c r="AE10" i="7" a="1"/>
  <c r="AD11" i="7" a="1"/>
  <c r="AG8" i="7" a="1"/>
  <c r="AI6" i="7" a="1"/>
  <c r="M4" i="10"/>
  <c r="I20" i="13"/>
  <c r="G21" i="13"/>
  <c r="E20" i="13"/>
  <c r="C20" i="13"/>
  <c r="H9" i="10"/>
  <c r="I8" i="10"/>
  <c r="J7" i="10"/>
  <c r="K6" i="10"/>
  <c r="L5" i="10"/>
  <c r="C40" i="12"/>
  <c r="E41" i="12"/>
  <c r="F41" i="12"/>
  <c r="D36" i="12"/>
  <c r="G42" i="12"/>
  <c r="C33" i="11"/>
  <c r="D66" i="11"/>
  <c r="G86" i="11"/>
  <c r="E42" i="11"/>
  <c r="F43" i="11"/>
  <c r="B36" i="11"/>
  <c r="B32" i="12"/>
  <c r="K13" i="7"/>
  <c r="M12" i="7" a="1"/>
  <c r="AK12" i="7"/>
  <c r="C12" i="9" s="1"/>
  <c r="L12" i="7" a="1"/>
  <c r="N12" i="7" s="1" a="1"/>
  <c r="O12" i="7" s="1" a="1"/>
  <c r="Z34" i="1"/>
  <c r="R35" i="1"/>
  <c r="P35" i="1" a="1"/>
  <c r="O35" i="1" a="1"/>
  <c r="Q35" i="1" a="1"/>
  <c r="Y35" i="1"/>
  <c r="Z35" i="1" s="1"/>
  <c r="W35" i="1" a="1"/>
  <c r="X35" i="1" a="1"/>
  <c r="M36" i="1" a="1"/>
  <c r="N36" i="1" a="1"/>
  <c r="C35" i="5"/>
  <c r="L36" i="1" a="1"/>
  <c r="D35" i="5"/>
  <c r="S36" i="1" a="1"/>
  <c r="T36" i="1" a="1"/>
  <c r="U36" i="1" a="1"/>
  <c r="K37" i="1"/>
  <c r="F7" i="5"/>
  <c r="V35" i="1"/>
  <c r="M4" i="3"/>
  <c r="L5" i="3"/>
  <c r="K6" i="3"/>
  <c r="J7" i="3"/>
  <c r="I8" i="3"/>
  <c r="H9" i="3"/>
  <c r="E8" i="3"/>
  <c r="B11" i="3"/>
  <c r="C10" i="3"/>
  <c r="D9" i="3"/>
  <c r="F7" i="3"/>
  <c r="G6" i="3"/>
  <c r="AB11" i="1"/>
  <c r="AA13" i="1"/>
  <c r="AY6" i="7" l="1" a="1"/>
  <c r="AY7" i="7" a="1"/>
  <c r="D6" i="14" s="1"/>
  <c r="AY5" i="7" a="1"/>
  <c r="B9" i="10"/>
  <c r="X11" i="7" a="1"/>
  <c r="C7" i="10"/>
  <c r="Y9" i="7" a="1"/>
  <c r="D6" i="10"/>
  <c r="Z8" i="7" a="1"/>
  <c r="F4" i="10"/>
  <c r="AB6" i="7" a="1"/>
  <c r="G3" i="10"/>
  <c r="AC5" i="7" a="1"/>
  <c r="E5" i="10"/>
  <c r="AA7" i="7" a="1"/>
  <c r="Q12" i="7" a="1"/>
  <c r="P12" i="7" a="1"/>
  <c r="D8" i="9"/>
  <c r="B8" i="10"/>
  <c r="D3" i="14"/>
  <c r="AL9" i="7" a="1"/>
  <c r="AG9" i="7" a="1"/>
  <c r="AF10" i="7" a="1"/>
  <c r="AE11" i="7" a="1"/>
  <c r="AD12" i="7" a="1"/>
  <c r="AI7" i="7" a="1"/>
  <c r="AH8" i="7" a="1"/>
  <c r="M5" i="10"/>
  <c r="I21" i="13"/>
  <c r="G22" i="13"/>
  <c r="E21" i="13"/>
  <c r="C21" i="13"/>
  <c r="H10" i="10"/>
  <c r="I9" i="10"/>
  <c r="J8" i="10"/>
  <c r="K7" i="10"/>
  <c r="L6" i="10"/>
  <c r="C41" i="12"/>
  <c r="E42" i="12"/>
  <c r="F42" i="12"/>
  <c r="D37" i="12"/>
  <c r="G43" i="12"/>
  <c r="C34" i="11"/>
  <c r="D67" i="11"/>
  <c r="G87" i="11"/>
  <c r="E43" i="11"/>
  <c r="F44" i="11"/>
  <c r="B37" i="11"/>
  <c r="B33" i="12"/>
  <c r="K14" i="7"/>
  <c r="AK13" i="7"/>
  <c r="C13" i="9" s="1"/>
  <c r="M13" i="7" a="1"/>
  <c r="L13" i="7" a="1"/>
  <c r="N13" i="7" s="1" a="1"/>
  <c r="O13" i="7" s="1" a="1"/>
  <c r="V36" i="1"/>
  <c r="R36" i="1"/>
  <c r="P36" i="1" a="1"/>
  <c r="O36" i="1" a="1"/>
  <c r="Q36" i="1" a="1"/>
  <c r="Y36" i="1"/>
  <c r="Z36" i="1" s="1"/>
  <c r="W36" i="1" a="1"/>
  <c r="X36" i="1" a="1"/>
  <c r="N37" i="1" a="1"/>
  <c r="C36" i="5"/>
  <c r="K38" i="1"/>
  <c r="L37" i="1" a="1"/>
  <c r="M37" i="1" a="1"/>
  <c r="D36" i="5"/>
  <c r="S37" i="1" a="1"/>
  <c r="T37" i="1" a="1"/>
  <c r="U37" i="1" a="1"/>
  <c r="M5" i="3"/>
  <c r="L6" i="3"/>
  <c r="K7" i="3"/>
  <c r="J8" i="3"/>
  <c r="I9" i="3"/>
  <c r="H10" i="3"/>
  <c r="E9" i="3"/>
  <c r="G7" i="3"/>
  <c r="C11" i="3"/>
  <c r="D10" i="3"/>
  <c r="F8" i="3"/>
  <c r="B12" i="3"/>
  <c r="AB12" i="1"/>
  <c r="AA14" i="1"/>
  <c r="D5" i="14" l="1"/>
  <c r="D4" i="14"/>
  <c r="AZ5" i="7" a="1"/>
  <c r="E4" i="14" s="1"/>
  <c r="AZ7" i="7" a="1"/>
  <c r="E6" i="14" s="1"/>
  <c r="AZ6" i="7" a="1"/>
  <c r="E5" i="14" s="1"/>
  <c r="BD14" i="7"/>
  <c r="H13" i="14" s="1"/>
  <c r="BD13" i="7"/>
  <c r="H12" i="14" s="1"/>
  <c r="B10" i="10"/>
  <c r="C8" i="10"/>
  <c r="Y10" i="7" a="1"/>
  <c r="C9" i="10" s="1"/>
  <c r="D7" i="10"/>
  <c r="Z9" i="7" a="1"/>
  <c r="D8" i="10" s="1"/>
  <c r="F5" i="10"/>
  <c r="AB7" i="7" a="1"/>
  <c r="F6" i="10" s="1"/>
  <c r="G4" i="10"/>
  <c r="AC6" i="7" a="1"/>
  <c r="G5" i="10" s="1"/>
  <c r="E6" i="10"/>
  <c r="AA8" i="7" a="1"/>
  <c r="E7" i="10" s="1"/>
  <c r="Q13" i="7" a="1"/>
  <c r="P13" i="7" a="1"/>
  <c r="D9" i="9"/>
  <c r="AL10" i="7" a="1"/>
  <c r="AI8" i="7" a="1"/>
  <c r="AH9" i="7" a="1"/>
  <c r="AG10" i="7" a="1"/>
  <c r="AF11" i="7" a="1"/>
  <c r="AE12" i="7" a="1"/>
  <c r="AD13" i="7" a="1"/>
  <c r="M6" i="10"/>
  <c r="I22" i="13"/>
  <c r="G23" i="13"/>
  <c r="E22" i="13"/>
  <c r="C22" i="13"/>
  <c r="H11" i="10"/>
  <c r="I10" i="10"/>
  <c r="J9" i="10"/>
  <c r="K8" i="10"/>
  <c r="L7" i="10"/>
  <c r="C42" i="12"/>
  <c r="E43" i="12"/>
  <c r="F43" i="12"/>
  <c r="D38" i="12"/>
  <c r="G44" i="12"/>
  <c r="C35" i="11"/>
  <c r="D68" i="11"/>
  <c r="G88" i="11"/>
  <c r="E44" i="11"/>
  <c r="F45" i="11"/>
  <c r="B38" i="11"/>
  <c r="B34" i="12"/>
  <c r="M14" i="7" a="1"/>
  <c r="L14" i="7" a="1"/>
  <c r="N14" i="7" s="1" a="1"/>
  <c r="O14" i="7" s="1" a="1"/>
  <c r="K15" i="7"/>
  <c r="AK14" i="7"/>
  <c r="C14" i="9" s="1"/>
  <c r="R37" i="1"/>
  <c r="C37" i="5"/>
  <c r="D37" i="5"/>
  <c r="K39" i="1"/>
  <c r="N38" i="1" a="1"/>
  <c r="M38" i="1" a="1"/>
  <c r="L38" i="1" a="1"/>
  <c r="S38" i="1" a="1"/>
  <c r="T38" i="1" a="1"/>
  <c r="U38" i="1" a="1"/>
  <c r="P37" i="1" a="1"/>
  <c r="O37" i="1" a="1"/>
  <c r="Q37" i="1" a="1"/>
  <c r="V37" i="1"/>
  <c r="Y37" i="1"/>
  <c r="Z37" i="1" s="1"/>
  <c r="W37" i="1" a="1"/>
  <c r="X37" i="1" a="1"/>
  <c r="AD10" i="1" a="1"/>
  <c r="AD9" i="1" a="1"/>
  <c r="M6" i="3"/>
  <c r="L7" i="3"/>
  <c r="K8" i="3"/>
  <c r="J9" i="3"/>
  <c r="I10" i="3"/>
  <c r="H11" i="3"/>
  <c r="AD12" i="1" a="1"/>
  <c r="AD11" i="1" a="1"/>
  <c r="B13" i="3"/>
  <c r="G8" i="3"/>
  <c r="E10" i="3"/>
  <c r="D11" i="3"/>
  <c r="C12" i="3"/>
  <c r="F9" i="3"/>
  <c r="AB13" i="1"/>
  <c r="AA15" i="1"/>
  <c r="P14" i="7" l="1" a="1"/>
  <c r="Q14" i="7" a="1"/>
  <c r="D10" i="9"/>
  <c r="AC7" i="7" a="1"/>
  <c r="G6" i="10" s="1"/>
  <c r="AB8" i="7" a="1"/>
  <c r="F7" i="10" s="1"/>
  <c r="X12" i="7" a="1"/>
  <c r="B11" i="10" s="1"/>
  <c r="Y11" i="7" a="1"/>
  <c r="C10" i="10" s="1"/>
  <c r="Z10" i="7" a="1"/>
  <c r="D9" i="10" s="1"/>
  <c r="AA9" i="7" a="1"/>
  <c r="E8" i="10" s="1"/>
  <c r="AL11" i="7" a="1"/>
  <c r="AI9" i="7" a="1"/>
  <c r="AH10" i="7" a="1"/>
  <c r="AG11" i="7" a="1"/>
  <c r="AF12" i="7" a="1"/>
  <c r="AE13" i="7" a="1"/>
  <c r="AD14" i="7" a="1"/>
  <c r="M7" i="10"/>
  <c r="I23" i="13"/>
  <c r="G24" i="13"/>
  <c r="E23" i="13"/>
  <c r="C23" i="13"/>
  <c r="H12" i="10"/>
  <c r="I11" i="10"/>
  <c r="J10" i="10"/>
  <c r="K9" i="10"/>
  <c r="L8" i="10"/>
  <c r="C43" i="12"/>
  <c r="E44" i="12"/>
  <c r="F44" i="12"/>
  <c r="D39" i="12"/>
  <c r="G45" i="12"/>
  <c r="C36" i="11"/>
  <c r="D69" i="11"/>
  <c r="G89" i="11"/>
  <c r="E45" i="11"/>
  <c r="F46" i="11"/>
  <c r="B39" i="11"/>
  <c r="B35" i="12"/>
  <c r="K16" i="7"/>
  <c r="AK15" i="7"/>
  <c r="C15" i="9" s="1"/>
  <c r="M15" i="7" a="1"/>
  <c r="L15" i="7" a="1"/>
  <c r="N15" i="7" s="1" a="1"/>
  <c r="O15" i="7" s="1" a="1"/>
  <c r="K40" i="1"/>
  <c r="N39" i="1" a="1"/>
  <c r="M39" i="1" a="1"/>
  <c r="L39" i="1" a="1"/>
  <c r="D38" i="5"/>
  <c r="C38" i="5"/>
  <c r="S39" i="1" a="1"/>
  <c r="T39" i="1" a="1"/>
  <c r="U39" i="1" a="1"/>
  <c r="O38" i="1" a="1"/>
  <c r="R38" i="1"/>
  <c r="P38" i="1" a="1"/>
  <c r="Q38" i="1" a="1"/>
  <c r="Y38" i="1"/>
  <c r="Z38" i="1" s="1"/>
  <c r="W38" i="1" a="1"/>
  <c r="X38" i="1" a="1"/>
  <c r="F9" i="5"/>
  <c r="V38" i="1"/>
  <c r="F8" i="5"/>
  <c r="F11" i="5"/>
  <c r="F10" i="5"/>
  <c r="AD13" i="1" a="1"/>
  <c r="M7" i="3"/>
  <c r="L8" i="3"/>
  <c r="K9" i="3"/>
  <c r="J10" i="3"/>
  <c r="I11" i="3"/>
  <c r="H12" i="3"/>
  <c r="G9" i="3"/>
  <c r="C13" i="3"/>
  <c r="D12" i="3"/>
  <c r="E11" i="3"/>
  <c r="F10" i="3"/>
  <c r="B14" i="3"/>
  <c r="AB14" i="1"/>
  <c r="AA16" i="1"/>
  <c r="Q15" i="7" l="1" a="1"/>
  <c r="P15" i="7" a="1"/>
  <c r="D11" i="9"/>
  <c r="X13" i="7" a="1"/>
  <c r="B12" i="10" s="1"/>
  <c r="Y12" i="7" a="1"/>
  <c r="C11" i="10" s="1"/>
  <c r="Z11" i="7" a="1"/>
  <c r="D10" i="10" s="1"/>
  <c r="AA10" i="7" a="1"/>
  <c r="E9" i="10" s="1"/>
  <c r="AB9" i="7" a="1"/>
  <c r="F8" i="10" s="1"/>
  <c r="AC8" i="7" a="1"/>
  <c r="G7" i="10" s="1"/>
  <c r="AL12" i="7" a="1"/>
  <c r="BD15" i="7"/>
  <c r="H14" i="14" s="1"/>
  <c r="AI10" i="7" a="1"/>
  <c r="AH11" i="7" a="1"/>
  <c r="AG12" i="7" a="1"/>
  <c r="AF13" i="7" a="1"/>
  <c r="AE14" i="7" a="1"/>
  <c r="AD15" i="7" a="1"/>
  <c r="M8" i="10"/>
  <c r="I24" i="13"/>
  <c r="G25" i="13"/>
  <c r="E24" i="13"/>
  <c r="C24" i="13"/>
  <c r="H13" i="10"/>
  <c r="I12" i="10"/>
  <c r="J11" i="10"/>
  <c r="K10" i="10"/>
  <c r="L9" i="10"/>
  <c r="C44" i="12"/>
  <c r="E45" i="12"/>
  <c r="F45" i="12"/>
  <c r="D40" i="12"/>
  <c r="G46" i="12"/>
  <c r="C37" i="11"/>
  <c r="D70" i="11"/>
  <c r="G90" i="11"/>
  <c r="E46" i="11"/>
  <c r="F47" i="11"/>
  <c r="B40" i="11"/>
  <c r="B36" i="12"/>
  <c r="AK16" i="7"/>
  <c r="C16" i="9" s="1"/>
  <c r="K17" i="7"/>
  <c r="M16" i="7" a="1"/>
  <c r="L16" i="7" a="1"/>
  <c r="N16" i="7" s="1" a="1"/>
  <c r="O16" i="7" s="1" a="1"/>
  <c r="K41" i="1"/>
  <c r="L40" i="1" a="1"/>
  <c r="D39" i="5"/>
  <c r="N40" i="1" a="1"/>
  <c r="M40" i="1" a="1"/>
  <c r="C39" i="5"/>
  <c r="S40" i="1" a="1"/>
  <c r="T40" i="1" a="1"/>
  <c r="U40" i="1" a="1"/>
  <c r="Q39" i="1" a="1"/>
  <c r="R39" i="1"/>
  <c r="O39" i="1" a="1"/>
  <c r="P39" i="1" a="1"/>
  <c r="Y39" i="1"/>
  <c r="Z39" i="1" s="1"/>
  <c r="W39" i="1" a="1"/>
  <c r="X39" i="1" a="1"/>
  <c r="V39" i="1"/>
  <c r="V40" i="1" s="1"/>
  <c r="F12" i="5"/>
  <c r="M8" i="3"/>
  <c r="L9" i="3"/>
  <c r="K10" i="3"/>
  <c r="J11" i="3"/>
  <c r="I12" i="3"/>
  <c r="H13" i="3"/>
  <c r="D13" i="3"/>
  <c r="G10" i="3"/>
  <c r="B15" i="3"/>
  <c r="C14" i="3"/>
  <c r="E12" i="3"/>
  <c r="F11" i="3"/>
  <c r="AB15" i="1"/>
  <c r="AA17" i="1"/>
  <c r="AY8" i="7" l="1" a="1"/>
  <c r="AY11" i="7" a="1"/>
  <c r="AY10" i="7" a="1"/>
  <c r="AY9" i="7" a="1"/>
  <c r="P16" i="7" a="1"/>
  <c r="Q16" i="7" a="1"/>
  <c r="X14" i="7" a="1"/>
  <c r="Y13" i="7" a="1"/>
  <c r="C12" i="10" s="1"/>
  <c r="Z12" i="7" a="1"/>
  <c r="D11" i="10" s="1"/>
  <c r="AA11" i="7" a="1"/>
  <c r="E10" i="10" s="1"/>
  <c r="AB10" i="7" a="1"/>
  <c r="F9" i="10" s="1"/>
  <c r="AC9" i="7" a="1"/>
  <c r="G8" i="10" s="1"/>
  <c r="D12" i="9"/>
  <c r="AL13" i="7" a="1"/>
  <c r="BD16" i="7"/>
  <c r="H15" i="14" s="1"/>
  <c r="AI11" i="7" a="1"/>
  <c r="AH12" i="7" a="1"/>
  <c r="AG13" i="7" a="1"/>
  <c r="AF14" i="7" a="1"/>
  <c r="AE15" i="7" a="1"/>
  <c r="AD16" i="7" a="1"/>
  <c r="M9" i="10"/>
  <c r="I25" i="13"/>
  <c r="G26" i="13"/>
  <c r="E25" i="13"/>
  <c r="C25" i="13"/>
  <c r="H14" i="10"/>
  <c r="I13" i="10"/>
  <c r="J12" i="10"/>
  <c r="K11" i="10"/>
  <c r="L10" i="10"/>
  <c r="C45" i="12"/>
  <c r="E46" i="12"/>
  <c r="F46" i="12"/>
  <c r="D41" i="12"/>
  <c r="G47" i="12"/>
  <c r="C38" i="11"/>
  <c r="D71" i="11"/>
  <c r="G91" i="11"/>
  <c r="E47" i="11"/>
  <c r="F48" i="11"/>
  <c r="B41" i="11"/>
  <c r="B37" i="12"/>
  <c r="M17" i="7" a="1"/>
  <c r="L17" i="7" a="1"/>
  <c r="N17" i="7" s="1" a="1"/>
  <c r="O17" i="7" s="1" a="1"/>
  <c r="K18" i="7"/>
  <c r="AK17" i="7"/>
  <c r="C17" i="9" s="1"/>
  <c r="D40" i="5"/>
  <c r="C40" i="5"/>
  <c r="K42" i="1"/>
  <c r="N41" i="1" a="1"/>
  <c r="M41" i="1" a="1"/>
  <c r="S41" i="1" a="1"/>
  <c r="T41" i="1" a="1"/>
  <c r="U41" i="1" a="1"/>
  <c r="L41" i="1" a="1"/>
  <c r="R40" i="1"/>
  <c r="O40" i="1" a="1"/>
  <c r="P40" i="1" a="1"/>
  <c r="Q40" i="1" a="1"/>
  <c r="Y40" i="1"/>
  <c r="W40" i="1" a="1"/>
  <c r="X40" i="1" a="1"/>
  <c r="M9" i="3"/>
  <c r="L10" i="3"/>
  <c r="K11" i="3"/>
  <c r="J12" i="3"/>
  <c r="I13" i="3"/>
  <c r="H14" i="3"/>
  <c r="AD14" i="1" a="1"/>
  <c r="AD15" i="1" a="1"/>
  <c r="AD16" i="1" a="1"/>
  <c r="D14" i="3"/>
  <c r="B16" i="3"/>
  <c r="G11" i="3"/>
  <c r="F12" i="3"/>
  <c r="E13" i="3"/>
  <c r="C15" i="3"/>
  <c r="AB16" i="1"/>
  <c r="AA18" i="1"/>
  <c r="AZ8" i="7" l="1" a="1"/>
  <c r="E7" i="14" s="1"/>
  <c r="AZ10" i="7" a="1"/>
  <c r="E9" i="14" s="1"/>
  <c r="AZ11" i="7" a="1"/>
  <c r="E10" i="14" s="1"/>
  <c r="AZ9" i="7" a="1"/>
  <c r="E8" i="14" s="1"/>
  <c r="X16" i="7" a="1"/>
  <c r="Q17" i="7" a="1"/>
  <c r="P17" i="7" a="1"/>
  <c r="BD17" i="7"/>
  <c r="H16" i="14" s="1"/>
  <c r="BD18" i="7"/>
  <c r="H17" i="14" s="1"/>
  <c r="D8" i="14"/>
  <c r="D10" i="14"/>
  <c r="D7" i="14"/>
  <c r="B13" i="10"/>
  <c r="D9" i="14"/>
  <c r="D13" i="9"/>
  <c r="X15" i="7" a="1"/>
  <c r="Y14" i="7" a="1"/>
  <c r="Z13" i="7" a="1"/>
  <c r="AA12" i="7" a="1"/>
  <c r="AB11" i="7" a="1"/>
  <c r="AC10" i="7" a="1"/>
  <c r="AL14" i="7" a="1"/>
  <c r="AI12" i="7" a="1"/>
  <c r="AH13" i="7" a="1"/>
  <c r="AG14" i="7" a="1"/>
  <c r="AF15" i="7" a="1"/>
  <c r="AE16" i="7" a="1"/>
  <c r="AD17" i="7" a="1"/>
  <c r="M10" i="10"/>
  <c r="I26" i="13"/>
  <c r="G27" i="13"/>
  <c r="E26" i="13"/>
  <c r="C26" i="13"/>
  <c r="H15" i="10"/>
  <c r="I14" i="10"/>
  <c r="J13" i="10"/>
  <c r="K12" i="10"/>
  <c r="L11" i="10"/>
  <c r="C46" i="12"/>
  <c r="E47" i="12"/>
  <c r="F47" i="12"/>
  <c r="D42" i="12"/>
  <c r="G48" i="12"/>
  <c r="C39" i="11"/>
  <c r="D72" i="11"/>
  <c r="G92" i="11"/>
  <c r="E48" i="11"/>
  <c r="F49" i="11"/>
  <c r="B42" i="11"/>
  <c r="B38" i="12"/>
  <c r="M18" i="7" a="1"/>
  <c r="AK18" i="7"/>
  <c r="C18" i="9" s="1"/>
  <c r="K19" i="7"/>
  <c r="L18" i="7" a="1"/>
  <c r="N18" i="7" s="1" a="1"/>
  <c r="O18" i="7" s="1" a="1"/>
  <c r="Z40" i="1"/>
  <c r="N42" i="1" a="1"/>
  <c r="L42" i="1" a="1"/>
  <c r="D41" i="5"/>
  <c r="C41" i="5"/>
  <c r="K43" i="1"/>
  <c r="M42" i="1" a="1"/>
  <c r="S42" i="1" a="1"/>
  <c r="T42" i="1" a="1"/>
  <c r="U42" i="1" a="1"/>
  <c r="V41" i="1"/>
  <c r="Y41" i="1"/>
  <c r="W41" i="1" a="1"/>
  <c r="X41" i="1" a="1"/>
  <c r="R41" i="1"/>
  <c r="O41" i="1" a="1"/>
  <c r="P41" i="1" a="1"/>
  <c r="Q41" i="1" a="1"/>
  <c r="F13" i="5"/>
  <c r="F14" i="5"/>
  <c r="F15" i="5"/>
  <c r="M10" i="3"/>
  <c r="L11" i="3"/>
  <c r="K12" i="3"/>
  <c r="J13" i="3"/>
  <c r="I14" i="3"/>
  <c r="H15" i="3"/>
  <c r="C16" i="3"/>
  <c r="D15" i="3"/>
  <c r="G12" i="3"/>
  <c r="B17" i="3"/>
  <c r="E14" i="3"/>
  <c r="F13" i="3"/>
  <c r="AB17" i="1"/>
  <c r="AA19" i="1"/>
  <c r="B15" i="10" l="1"/>
  <c r="X17" i="7" a="1"/>
  <c r="C13" i="10"/>
  <c r="Y15" i="7" a="1"/>
  <c r="D12" i="10"/>
  <c r="Z14" i="7" a="1"/>
  <c r="E11" i="10"/>
  <c r="AA13" i="7" a="1"/>
  <c r="F10" i="10"/>
  <c r="AB12" i="7" a="1"/>
  <c r="G9" i="10"/>
  <c r="AC11" i="7" a="1"/>
  <c r="P18" i="7" a="1"/>
  <c r="Q18" i="7" a="1"/>
  <c r="D14" i="9"/>
  <c r="B14" i="10"/>
  <c r="AL15" i="7" a="1"/>
  <c r="AI13" i="7" a="1"/>
  <c r="AH14" i="7" a="1"/>
  <c r="AG15" i="7" a="1"/>
  <c r="AF16" i="7" a="1"/>
  <c r="AE17" i="7" a="1"/>
  <c r="AD18" i="7" a="1"/>
  <c r="M11" i="10"/>
  <c r="I27" i="13"/>
  <c r="G28" i="13"/>
  <c r="E27" i="13"/>
  <c r="C27" i="13"/>
  <c r="H16" i="10"/>
  <c r="I15" i="10"/>
  <c r="J14" i="10"/>
  <c r="K13" i="10"/>
  <c r="L12" i="10"/>
  <c r="C47" i="12"/>
  <c r="E48" i="12"/>
  <c r="F48" i="12"/>
  <c r="D43" i="12"/>
  <c r="G49" i="12"/>
  <c r="C40" i="11"/>
  <c r="D73" i="11"/>
  <c r="G93" i="11"/>
  <c r="E49" i="11"/>
  <c r="F50" i="11"/>
  <c r="B43" i="11"/>
  <c r="B39" i="12"/>
  <c r="K20" i="7"/>
  <c r="M19" i="7" a="1"/>
  <c r="L19" i="7" a="1"/>
  <c r="N19" i="7" s="1" a="1"/>
  <c r="O19" i="7" s="1" a="1"/>
  <c r="AK19" i="7"/>
  <c r="C19" i="9" s="1"/>
  <c r="Q42" i="1" a="1"/>
  <c r="R42" i="1"/>
  <c r="O42" i="1" a="1"/>
  <c r="P42" i="1" a="1"/>
  <c r="K44" i="1"/>
  <c r="N43" i="1" a="1"/>
  <c r="M43" i="1" a="1"/>
  <c r="L43" i="1" a="1"/>
  <c r="D42" i="5"/>
  <c r="C42" i="5"/>
  <c r="S43" i="1" a="1"/>
  <c r="T43" i="1" a="1"/>
  <c r="U43" i="1" a="1"/>
  <c r="Y42" i="1"/>
  <c r="Z42" i="1" s="1"/>
  <c r="W42" i="1" a="1"/>
  <c r="X42" i="1" a="1"/>
  <c r="V42" i="1"/>
  <c r="Z41" i="1"/>
  <c r="M11" i="3"/>
  <c r="L12" i="3"/>
  <c r="K13" i="3"/>
  <c r="J14" i="3"/>
  <c r="I15" i="3"/>
  <c r="H16" i="3"/>
  <c r="D16" i="3"/>
  <c r="E15" i="3"/>
  <c r="G13" i="3"/>
  <c r="B18" i="3"/>
  <c r="C17" i="3"/>
  <c r="F14" i="3"/>
  <c r="AB18" i="1"/>
  <c r="AA20" i="1"/>
  <c r="C14" i="10" l="1"/>
  <c r="Y16" i="7" a="1"/>
  <c r="C15" i="10" s="1"/>
  <c r="D13" i="10"/>
  <c r="Z15" i="7" a="1"/>
  <c r="D14" i="10" s="1"/>
  <c r="E12" i="10"/>
  <c r="AA14" i="7" a="1"/>
  <c r="E13" i="10" s="1"/>
  <c r="F11" i="10"/>
  <c r="AB13" i="7" a="1"/>
  <c r="F12" i="10" s="1"/>
  <c r="G10" i="10"/>
  <c r="AC12" i="7" a="1"/>
  <c r="G11" i="10" s="1"/>
  <c r="B16" i="10"/>
  <c r="P19" i="7" a="1"/>
  <c r="Q19" i="7" a="1"/>
  <c r="D15" i="9"/>
  <c r="AL16" i="7" a="1"/>
  <c r="BD19" i="7"/>
  <c r="H18" i="14" s="1"/>
  <c r="AI14" i="7" a="1"/>
  <c r="AH15" i="7" a="1"/>
  <c r="AG16" i="7" a="1"/>
  <c r="AF17" i="7" a="1"/>
  <c r="AE18" i="7" a="1"/>
  <c r="AD19" i="7" a="1"/>
  <c r="M12" i="10"/>
  <c r="I28" i="13"/>
  <c r="G29" i="13"/>
  <c r="E28" i="13"/>
  <c r="C28" i="13"/>
  <c r="H17" i="10"/>
  <c r="I16" i="10"/>
  <c r="J15" i="10"/>
  <c r="K14" i="10"/>
  <c r="L13" i="10"/>
  <c r="C48" i="12"/>
  <c r="E49" i="12"/>
  <c r="F49" i="12"/>
  <c r="D44" i="12"/>
  <c r="G50" i="12"/>
  <c r="C41" i="11"/>
  <c r="D74" i="11"/>
  <c r="G94" i="11"/>
  <c r="E50" i="11"/>
  <c r="F51" i="11"/>
  <c r="B44" i="11"/>
  <c r="B40" i="12"/>
  <c r="K21" i="7"/>
  <c r="M20" i="7" a="1"/>
  <c r="L20" i="7" a="1"/>
  <c r="N20" i="7" s="1" a="1"/>
  <c r="O20" i="7" s="1" a="1"/>
  <c r="AK20" i="7"/>
  <c r="C20" i="9" s="1"/>
  <c r="M44" i="1" a="1"/>
  <c r="N44" i="1" a="1"/>
  <c r="K45" i="1"/>
  <c r="L44" i="1" a="1"/>
  <c r="C43" i="5"/>
  <c r="D43" i="5"/>
  <c r="S44" i="1" a="1"/>
  <c r="T44" i="1" a="1"/>
  <c r="U44" i="1" a="1"/>
  <c r="P43" i="1" a="1"/>
  <c r="R43" i="1"/>
  <c r="O43" i="1" a="1"/>
  <c r="Q43" i="1" a="1"/>
  <c r="V43" i="1"/>
  <c r="Y43" i="1"/>
  <c r="Z43" i="1" s="1"/>
  <c r="W43" i="1" a="1"/>
  <c r="X43" i="1" a="1"/>
  <c r="M12" i="3"/>
  <c r="L13" i="3"/>
  <c r="K14" i="3"/>
  <c r="J15" i="3"/>
  <c r="I16" i="3"/>
  <c r="H17" i="3"/>
  <c r="AD18" i="1" a="1"/>
  <c r="AD17" i="1" a="1"/>
  <c r="G14" i="3"/>
  <c r="E16" i="3"/>
  <c r="B19" i="3"/>
  <c r="F15" i="3"/>
  <c r="D17" i="3"/>
  <c r="C18" i="3"/>
  <c r="AB19" i="1"/>
  <c r="AA21" i="1"/>
  <c r="Q20" i="7" l="1" a="1"/>
  <c r="P20" i="7" a="1"/>
  <c r="BD20" i="7"/>
  <c r="H19" i="14" s="1"/>
  <c r="D16" i="9"/>
  <c r="X18" i="7" a="1"/>
  <c r="Y17" i="7" a="1"/>
  <c r="C16" i="10" s="1"/>
  <c r="Z16" i="7" a="1"/>
  <c r="D15" i="10" s="1"/>
  <c r="AA15" i="7" a="1"/>
  <c r="E14" i="10" s="1"/>
  <c r="AB14" i="7" a="1"/>
  <c r="F13" i="10" s="1"/>
  <c r="AC13" i="7" a="1"/>
  <c r="G12" i="10" s="1"/>
  <c r="AL17" i="7" a="1"/>
  <c r="AI15" i="7" a="1"/>
  <c r="AH16" i="7" a="1"/>
  <c r="AG17" i="7" a="1"/>
  <c r="AF18" i="7" a="1"/>
  <c r="AE19" i="7" a="1"/>
  <c r="AD20" i="7" a="1"/>
  <c r="M13" i="10"/>
  <c r="I29" i="13"/>
  <c r="G30" i="13"/>
  <c r="E29" i="13"/>
  <c r="C29" i="13"/>
  <c r="H18" i="10"/>
  <c r="I17" i="10"/>
  <c r="J16" i="10"/>
  <c r="K15" i="10"/>
  <c r="L14" i="10"/>
  <c r="C49" i="12"/>
  <c r="E50" i="12"/>
  <c r="F50" i="12"/>
  <c r="D45" i="12"/>
  <c r="G51" i="12"/>
  <c r="C42" i="11"/>
  <c r="D75" i="11"/>
  <c r="G95" i="11"/>
  <c r="E51" i="11"/>
  <c r="F52" i="11"/>
  <c r="B45" i="11"/>
  <c r="B41" i="12"/>
  <c r="M21" i="7" a="1"/>
  <c r="L21" i="7" a="1"/>
  <c r="N21" i="7" s="1" a="1"/>
  <c r="O21" i="7" s="1" a="1"/>
  <c r="K22" i="7"/>
  <c r="AK21" i="7"/>
  <c r="C21" i="9" s="1"/>
  <c r="M45" i="1" a="1"/>
  <c r="K46" i="1"/>
  <c r="N45" i="1" a="1"/>
  <c r="L45" i="1" a="1"/>
  <c r="D44" i="5"/>
  <c r="C44" i="5"/>
  <c r="S45" i="1" a="1"/>
  <c r="T45" i="1" a="1"/>
  <c r="U45" i="1" a="1"/>
  <c r="Q44" i="1" a="1"/>
  <c r="R44" i="1"/>
  <c r="P44" i="1" a="1"/>
  <c r="O44" i="1" a="1"/>
  <c r="Y44" i="1"/>
  <c r="V44" i="1"/>
  <c r="W44" i="1" a="1"/>
  <c r="X44" i="1" a="1"/>
  <c r="F17" i="5"/>
  <c r="F16" i="5"/>
  <c r="AD19" i="1" a="1"/>
  <c r="M13" i="3"/>
  <c r="L14" i="3"/>
  <c r="K15" i="3"/>
  <c r="J16" i="3"/>
  <c r="I17" i="3"/>
  <c r="H18" i="3"/>
  <c r="E17" i="3"/>
  <c r="G15" i="3"/>
  <c r="B20" i="3"/>
  <c r="C19" i="3"/>
  <c r="D18" i="3"/>
  <c r="F16" i="3"/>
  <c r="AB20" i="1"/>
  <c r="AA22" i="1"/>
  <c r="Q21" i="7" l="1" a="1"/>
  <c r="P21" i="7" a="1"/>
  <c r="D17" i="9"/>
  <c r="B17" i="10"/>
  <c r="X19" i="7" a="1"/>
  <c r="Y18" i="7" a="1"/>
  <c r="C17" i="10" s="1"/>
  <c r="Z17" i="7" a="1"/>
  <c r="D16" i="10" s="1"/>
  <c r="AA16" i="7" a="1"/>
  <c r="E15" i="10" s="1"/>
  <c r="AB15" i="7" a="1"/>
  <c r="F14" i="10" s="1"/>
  <c r="AC14" i="7" a="1"/>
  <c r="G13" i="10" s="1"/>
  <c r="AL18" i="7" a="1"/>
  <c r="BD21" i="7"/>
  <c r="H20" i="14" s="1"/>
  <c r="BD22" i="7"/>
  <c r="H21" i="14" s="1"/>
  <c r="AI16" i="7" a="1"/>
  <c r="AH17" i="7" a="1"/>
  <c r="AG18" i="7" a="1"/>
  <c r="AF19" i="7" a="1"/>
  <c r="AE20" i="7" a="1"/>
  <c r="AD21" i="7" a="1"/>
  <c r="M14" i="10"/>
  <c r="I30" i="13"/>
  <c r="G31" i="13"/>
  <c r="E30" i="13"/>
  <c r="C30" i="13"/>
  <c r="H19" i="10"/>
  <c r="I18" i="10"/>
  <c r="J17" i="10"/>
  <c r="K16" i="10"/>
  <c r="L15" i="10"/>
  <c r="C50" i="12"/>
  <c r="E51" i="12"/>
  <c r="F51" i="12"/>
  <c r="D46" i="12"/>
  <c r="G52" i="12"/>
  <c r="C43" i="11"/>
  <c r="D76" i="11"/>
  <c r="G96" i="11"/>
  <c r="E52" i="11"/>
  <c r="F53" i="11"/>
  <c r="B46" i="11"/>
  <c r="B42" i="12"/>
  <c r="K23" i="7"/>
  <c r="M22" i="7" a="1"/>
  <c r="AK22" i="7"/>
  <c r="C22" i="9" s="1"/>
  <c r="L22" i="7" a="1"/>
  <c r="N22" i="7" s="1" a="1"/>
  <c r="O22" i="7" s="1" a="1"/>
  <c r="M46" i="1" a="1"/>
  <c r="N46" i="1" a="1"/>
  <c r="C45" i="5"/>
  <c r="K47" i="1"/>
  <c r="D45" i="5"/>
  <c r="L46" i="1" a="1"/>
  <c r="S46" i="1" a="1"/>
  <c r="T46" i="1" a="1"/>
  <c r="U46" i="1" a="1"/>
  <c r="P45" i="1" a="1"/>
  <c r="O45" i="1" a="1"/>
  <c r="R45" i="1"/>
  <c r="Q45" i="1" a="1"/>
  <c r="V45" i="1"/>
  <c r="Y45" i="1"/>
  <c r="Z45" i="1" s="1"/>
  <c r="W45" i="1" a="1"/>
  <c r="X45" i="1" a="1"/>
  <c r="Z44" i="1"/>
  <c r="F18" i="5"/>
  <c r="M14" i="3"/>
  <c r="L15" i="3"/>
  <c r="K16" i="3"/>
  <c r="J17" i="3"/>
  <c r="I18" i="3"/>
  <c r="H19" i="3"/>
  <c r="F17" i="3"/>
  <c r="B21" i="3"/>
  <c r="C20" i="3"/>
  <c r="D19" i="3"/>
  <c r="E18" i="3"/>
  <c r="G16" i="3"/>
  <c r="AB21" i="1"/>
  <c r="AA23" i="1"/>
  <c r="AY15" i="7" l="1" a="1"/>
  <c r="D14" i="14" s="1"/>
  <c r="AY14" i="7" a="1"/>
  <c r="D13" i="14" s="1"/>
  <c r="AY12" i="7" a="1"/>
  <c r="D11" i="14" s="1"/>
  <c r="AY13" i="7" a="1"/>
  <c r="D12" i="14" s="1"/>
  <c r="AY17" i="7" a="1"/>
  <c r="AY16" i="7" a="1"/>
  <c r="P22" i="7" a="1"/>
  <c r="Q22" i="7" a="1"/>
  <c r="X20" i="7" a="1"/>
  <c r="Y19" i="7" a="1"/>
  <c r="C18" i="10" s="1"/>
  <c r="Z18" i="7" a="1"/>
  <c r="D17" i="10" s="1"/>
  <c r="AA17" i="7" a="1"/>
  <c r="E16" i="10" s="1"/>
  <c r="AB16" i="7" a="1"/>
  <c r="F15" i="10" s="1"/>
  <c r="AC15" i="7" a="1"/>
  <c r="G14" i="10" s="1"/>
  <c r="D18" i="9"/>
  <c r="B18" i="10"/>
  <c r="AL19" i="7" a="1"/>
  <c r="AI17" i="7" a="1"/>
  <c r="AH18" i="7" a="1"/>
  <c r="AG19" i="7" a="1"/>
  <c r="AF20" i="7" a="1"/>
  <c r="AE21" i="7" a="1"/>
  <c r="AD22" i="7" a="1"/>
  <c r="M15" i="10"/>
  <c r="I31" i="13"/>
  <c r="G32" i="13"/>
  <c r="E31" i="13"/>
  <c r="C31" i="13"/>
  <c r="H20" i="10"/>
  <c r="I19" i="10"/>
  <c r="J18" i="10"/>
  <c r="K17" i="10"/>
  <c r="L16" i="10"/>
  <c r="C51" i="12"/>
  <c r="E52" i="12"/>
  <c r="F52" i="12"/>
  <c r="D47" i="12"/>
  <c r="G53" i="12"/>
  <c r="B43" i="12"/>
  <c r="C44" i="11"/>
  <c r="D77" i="11"/>
  <c r="G97" i="11"/>
  <c r="E53" i="11"/>
  <c r="F54" i="11"/>
  <c r="B47" i="11"/>
  <c r="M23" i="7" a="1"/>
  <c r="L23" i="7" a="1"/>
  <c r="N23" i="7" s="1" a="1"/>
  <c r="O23" i="7" s="1" a="1"/>
  <c r="AK23" i="7"/>
  <c r="C23" i="9" s="1"/>
  <c r="K24" i="7"/>
  <c r="K48" i="1"/>
  <c r="N47" i="1" a="1"/>
  <c r="M47" i="1" a="1"/>
  <c r="L47" i="1" a="1"/>
  <c r="D46" i="5"/>
  <c r="S47" i="1" a="1"/>
  <c r="T47" i="1" a="1"/>
  <c r="U47" i="1" a="1"/>
  <c r="C46" i="5"/>
  <c r="R46" i="1"/>
  <c r="Q46" i="1" a="1"/>
  <c r="P46" i="1" a="1"/>
  <c r="O46" i="1" a="1"/>
  <c r="V46" i="1"/>
  <c r="Y46" i="1"/>
  <c r="W46" i="1" a="1"/>
  <c r="X46" i="1" a="1"/>
  <c r="M15" i="3"/>
  <c r="L16" i="3"/>
  <c r="K17" i="3"/>
  <c r="J18" i="3"/>
  <c r="I19" i="3"/>
  <c r="H20" i="3"/>
  <c r="C21" i="3"/>
  <c r="D20" i="3"/>
  <c r="E19" i="3"/>
  <c r="G17" i="3"/>
  <c r="B22" i="3"/>
  <c r="F18" i="3"/>
  <c r="AB22" i="1"/>
  <c r="AA24" i="1"/>
  <c r="D15" i="14" l="1"/>
  <c r="AZ16" i="7" a="1"/>
  <c r="E15" i="14" s="1"/>
  <c r="AZ13" i="7" a="1"/>
  <c r="E12" i="14" s="1"/>
  <c r="AZ17" i="7" a="1"/>
  <c r="E16" i="14" s="1"/>
  <c r="AZ14" i="7" a="1"/>
  <c r="E13" i="14" s="1"/>
  <c r="AZ15" i="7" a="1"/>
  <c r="E14" i="14" s="1"/>
  <c r="AZ12" i="7" a="1"/>
  <c r="E11" i="14" s="1"/>
  <c r="BD23" i="7"/>
  <c r="H22" i="14" s="1"/>
  <c r="AY18" i="7" a="1"/>
  <c r="P23" i="7" a="1"/>
  <c r="Q23" i="7" a="1"/>
  <c r="B19" i="10"/>
  <c r="D16" i="14"/>
  <c r="D19" i="9"/>
  <c r="X21" i="7" a="1"/>
  <c r="B20" i="10" s="1"/>
  <c r="Y20" i="7" a="1"/>
  <c r="C19" i="10" s="1"/>
  <c r="Z19" i="7" a="1"/>
  <c r="D18" i="10" s="1"/>
  <c r="AA18" i="7" a="1"/>
  <c r="E17" i="10" s="1"/>
  <c r="AB17" i="7" a="1"/>
  <c r="F16" i="10" s="1"/>
  <c r="AC16" i="7" a="1"/>
  <c r="G15" i="10" s="1"/>
  <c r="AL20" i="7" a="1"/>
  <c r="AI18" i="7" a="1"/>
  <c r="AH19" i="7" a="1"/>
  <c r="AG20" i="7" a="1"/>
  <c r="AF21" i="7" a="1"/>
  <c r="AE22" i="7" a="1"/>
  <c r="AD23" i="7" a="1"/>
  <c r="M16" i="10"/>
  <c r="I32" i="13"/>
  <c r="G33" i="13"/>
  <c r="E32" i="13"/>
  <c r="C32" i="13"/>
  <c r="H21" i="10"/>
  <c r="I20" i="10"/>
  <c r="J19" i="10"/>
  <c r="K18" i="10"/>
  <c r="L17" i="10"/>
  <c r="C52" i="12"/>
  <c r="E53" i="12"/>
  <c r="F53" i="12"/>
  <c r="D48" i="12"/>
  <c r="G54" i="12"/>
  <c r="B44" i="12"/>
  <c r="C45" i="11"/>
  <c r="D78" i="11"/>
  <c r="G98" i="11"/>
  <c r="E54" i="11"/>
  <c r="F55" i="11"/>
  <c r="B48" i="11"/>
  <c r="M24" i="7" a="1"/>
  <c r="L24" i="7" a="1"/>
  <c r="N24" i="7" s="1" a="1"/>
  <c r="O24" i="7" s="1" a="1"/>
  <c r="AK24" i="7"/>
  <c r="C24" i="9" s="1"/>
  <c r="K25" i="7"/>
  <c r="Z46" i="1"/>
  <c r="M48" i="1" a="1"/>
  <c r="N48" i="1" a="1"/>
  <c r="L48" i="1" a="1"/>
  <c r="D47" i="5"/>
  <c r="C47" i="5"/>
  <c r="S48" i="1" a="1"/>
  <c r="T48" i="1" a="1"/>
  <c r="U48" i="1" a="1"/>
  <c r="K49" i="1"/>
  <c r="O47" i="1" a="1"/>
  <c r="P47" i="1" a="1"/>
  <c r="R47" i="1"/>
  <c r="Q47" i="1" a="1"/>
  <c r="Y47" i="1"/>
  <c r="Z47" i="1" s="1"/>
  <c r="V47" i="1"/>
  <c r="W47" i="1" a="1"/>
  <c r="X47" i="1" a="1"/>
  <c r="AD20" i="1" a="1"/>
  <c r="AD21" i="1" a="1"/>
  <c r="AD22" i="1" a="1"/>
  <c r="M16" i="3"/>
  <c r="L17" i="3"/>
  <c r="K18" i="3"/>
  <c r="J19" i="3"/>
  <c r="I20" i="3"/>
  <c r="H21" i="3"/>
  <c r="G18" i="3"/>
  <c r="F19" i="3"/>
  <c r="D21" i="3"/>
  <c r="C22" i="3"/>
  <c r="B23" i="3"/>
  <c r="E20" i="3"/>
  <c r="AB23" i="1"/>
  <c r="AA25" i="1"/>
  <c r="AZ18" i="7" l="1" a="1"/>
  <c r="BD24" i="7"/>
  <c r="H23" i="14" s="1"/>
  <c r="AY19" i="7" a="1"/>
  <c r="Q24" i="7" a="1"/>
  <c r="P24" i="7" a="1"/>
  <c r="D20" i="9"/>
  <c r="X22" i="7" a="1"/>
  <c r="B21" i="10" s="1"/>
  <c r="Y21" i="7" a="1"/>
  <c r="C20" i="10" s="1"/>
  <c r="Z20" i="7" a="1"/>
  <c r="D19" i="10" s="1"/>
  <c r="AA19" i="7" a="1"/>
  <c r="E18" i="10" s="1"/>
  <c r="AB18" i="7" a="1"/>
  <c r="F17" i="10" s="1"/>
  <c r="AC17" i="7" a="1"/>
  <c r="G16" i="10" s="1"/>
  <c r="AL21" i="7" a="1"/>
  <c r="AI19" i="7" a="1"/>
  <c r="AH20" i="7" a="1"/>
  <c r="AG21" i="7" a="1"/>
  <c r="AF22" i="7" a="1"/>
  <c r="AE23" i="7" a="1"/>
  <c r="AD24" i="7" a="1"/>
  <c r="M17" i="10"/>
  <c r="I33" i="13"/>
  <c r="G34" i="13"/>
  <c r="E33" i="13"/>
  <c r="C33" i="13"/>
  <c r="H22" i="10"/>
  <c r="I21" i="10"/>
  <c r="J20" i="10"/>
  <c r="K19" i="10"/>
  <c r="L18" i="10"/>
  <c r="C53" i="12"/>
  <c r="E54" i="12"/>
  <c r="F54" i="12"/>
  <c r="D49" i="12"/>
  <c r="G55" i="12"/>
  <c r="B45" i="12"/>
  <c r="C46" i="11"/>
  <c r="D79" i="11"/>
  <c r="G99" i="11"/>
  <c r="E55" i="11"/>
  <c r="F56" i="11"/>
  <c r="B49" i="11"/>
  <c r="L25" i="7" a="1"/>
  <c r="N25" i="7" s="1" a="1"/>
  <c r="O25" i="7" s="1" a="1"/>
  <c r="M25" i="7" a="1"/>
  <c r="AK25" i="7"/>
  <c r="C25" i="9" s="1"/>
  <c r="K26" i="7"/>
  <c r="R48" i="1"/>
  <c r="O48" i="1" a="1"/>
  <c r="Q48" i="1" a="1"/>
  <c r="P48" i="1" a="1"/>
  <c r="V48" i="1"/>
  <c r="Y48" i="1"/>
  <c r="Z48" i="1" s="1"/>
  <c r="W48" i="1" a="1"/>
  <c r="X48" i="1" a="1"/>
  <c r="K50" i="1"/>
  <c r="M49" i="1" a="1"/>
  <c r="C48" i="5"/>
  <c r="N49" i="1" a="1"/>
  <c r="L49" i="1" a="1"/>
  <c r="D48" i="5"/>
  <c r="S49" i="1" a="1"/>
  <c r="T49" i="1" a="1"/>
  <c r="U49" i="1" a="1"/>
  <c r="F19" i="5"/>
  <c r="F20" i="5"/>
  <c r="F21" i="5"/>
  <c r="M17" i="3"/>
  <c r="L18" i="3"/>
  <c r="K19" i="3"/>
  <c r="J20" i="3"/>
  <c r="I21" i="3"/>
  <c r="H22" i="3"/>
  <c r="G19" i="3"/>
  <c r="E21" i="3"/>
  <c r="C23" i="3"/>
  <c r="B24" i="3"/>
  <c r="F20" i="3"/>
  <c r="D22" i="3"/>
  <c r="AB24" i="1"/>
  <c r="AA26" i="1"/>
  <c r="E17" i="14" l="1"/>
  <c r="AZ19" i="7" a="1"/>
  <c r="E18" i="14" s="1"/>
  <c r="BD25" i="7"/>
  <c r="H24" i="14" s="1"/>
  <c r="AY20" i="7" a="1"/>
  <c r="P25" i="7" a="1"/>
  <c r="Q25" i="7" a="1"/>
  <c r="X23" i="7" a="1"/>
  <c r="Y22" i="7" a="1"/>
  <c r="C21" i="10" s="1"/>
  <c r="Z21" i="7" a="1"/>
  <c r="D20" i="10" s="1"/>
  <c r="AA20" i="7" a="1"/>
  <c r="E19" i="10" s="1"/>
  <c r="AB19" i="7" a="1"/>
  <c r="F18" i="10" s="1"/>
  <c r="AC18" i="7" a="1"/>
  <c r="G17" i="10" s="1"/>
  <c r="D21" i="9"/>
  <c r="AL22" i="7" a="1"/>
  <c r="AI20" i="7" a="1"/>
  <c r="AH21" i="7" a="1"/>
  <c r="AG22" i="7" a="1"/>
  <c r="AF23" i="7" a="1"/>
  <c r="AE24" i="7" a="1"/>
  <c r="AD25" i="7" a="1"/>
  <c r="M18" i="10"/>
  <c r="I34" i="13"/>
  <c r="G35" i="13"/>
  <c r="E34" i="13"/>
  <c r="C34" i="13"/>
  <c r="H23" i="10"/>
  <c r="I22" i="10"/>
  <c r="J21" i="10"/>
  <c r="K20" i="10"/>
  <c r="L19" i="10"/>
  <c r="C54" i="12"/>
  <c r="E55" i="12"/>
  <c r="F55" i="12"/>
  <c r="D50" i="12"/>
  <c r="G56" i="12"/>
  <c r="B46" i="12"/>
  <c r="C47" i="11"/>
  <c r="D80" i="11"/>
  <c r="G100" i="11"/>
  <c r="E56" i="11"/>
  <c r="F57" i="11"/>
  <c r="B50" i="11"/>
  <c r="K27" i="7"/>
  <c r="M26" i="7" a="1"/>
  <c r="L26" i="7" a="1"/>
  <c r="N26" i="7" s="1" a="1"/>
  <c r="O26" i="7" s="1" a="1"/>
  <c r="AK26" i="7"/>
  <c r="C26" i="9" s="1"/>
  <c r="K51" i="1"/>
  <c r="N50" i="1" a="1"/>
  <c r="M50" i="1" a="1"/>
  <c r="L50" i="1" a="1"/>
  <c r="D49" i="5"/>
  <c r="C49" i="5"/>
  <c r="S50" i="1" a="1"/>
  <c r="T50" i="1" a="1"/>
  <c r="U50" i="1" a="1"/>
  <c r="R49" i="1"/>
  <c r="O49" i="1" a="1"/>
  <c r="P49" i="1" a="1"/>
  <c r="Q49" i="1" a="1"/>
  <c r="V49" i="1"/>
  <c r="Y49" i="1"/>
  <c r="W49" i="1" a="1"/>
  <c r="X49" i="1" a="1"/>
  <c r="M18" i="3"/>
  <c r="L19" i="3"/>
  <c r="K20" i="3"/>
  <c r="J21" i="3"/>
  <c r="I22" i="3"/>
  <c r="H23" i="3"/>
  <c r="B25" i="3"/>
  <c r="G20" i="3"/>
  <c r="E22" i="3"/>
  <c r="F21" i="3"/>
  <c r="D23" i="3"/>
  <c r="C24" i="3"/>
  <c r="AB25" i="1"/>
  <c r="AA27" i="1"/>
  <c r="AZ20" i="7" l="1" a="1"/>
  <c r="E19" i="14" s="1"/>
  <c r="BD27" i="7"/>
  <c r="H26" i="14" s="1"/>
  <c r="BD26" i="7"/>
  <c r="H25" i="14" s="1"/>
  <c r="P26" i="7" a="1"/>
  <c r="Q26" i="7" a="1"/>
  <c r="D18" i="14"/>
  <c r="D19" i="14"/>
  <c r="B22" i="10"/>
  <c r="D17" i="14"/>
  <c r="Z22" i="7" a="1"/>
  <c r="D21" i="10" s="1"/>
  <c r="X24" i="7" a="1"/>
  <c r="B23" i="10" s="1"/>
  <c r="Y23" i="7" a="1"/>
  <c r="C22" i="10" s="1"/>
  <c r="AA21" i="7" a="1"/>
  <c r="E20" i="10" s="1"/>
  <c r="AB20" i="7" a="1"/>
  <c r="F19" i="10" s="1"/>
  <c r="AC19" i="7" a="1"/>
  <c r="G18" i="10" s="1"/>
  <c r="D22" i="9"/>
  <c r="AL23" i="7" a="1"/>
  <c r="AI21" i="7" a="1"/>
  <c r="AH22" i="7" a="1"/>
  <c r="AG23" i="7" a="1"/>
  <c r="AF24" i="7" a="1"/>
  <c r="AE25" i="7" a="1"/>
  <c r="AD26" i="7" a="1"/>
  <c r="M19" i="10"/>
  <c r="I35" i="13"/>
  <c r="G36" i="13"/>
  <c r="E35" i="13"/>
  <c r="C35" i="13"/>
  <c r="H24" i="10"/>
  <c r="I23" i="10"/>
  <c r="J22" i="10"/>
  <c r="K21" i="10"/>
  <c r="L20" i="10"/>
  <c r="C55" i="12"/>
  <c r="E56" i="12"/>
  <c r="F56" i="12"/>
  <c r="D51" i="12"/>
  <c r="G57" i="12"/>
  <c r="B47" i="12"/>
  <c r="C48" i="11"/>
  <c r="D81" i="11"/>
  <c r="G101" i="11"/>
  <c r="E57" i="11"/>
  <c r="F58" i="11"/>
  <c r="B51" i="11"/>
  <c r="K28" i="7"/>
  <c r="M27" i="7" a="1"/>
  <c r="L27" i="7" a="1"/>
  <c r="N27" i="7" s="1" a="1"/>
  <c r="O27" i="7" s="1" a="1"/>
  <c r="AK27" i="7"/>
  <c r="C27" i="9" s="1"/>
  <c r="K52" i="1"/>
  <c r="N51" i="1" a="1"/>
  <c r="L51" i="1" a="1"/>
  <c r="D50" i="5"/>
  <c r="C50" i="5"/>
  <c r="M51" i="1" a="1"/>
  <c r="S51" i="1" a="1"/>
  <c r="T51" i="1" a="1"/>
  <c r="U51" i="1" a="1"/>
  <c r="R50" i="1"/>
  <c r="O50" i="1" a="1"/>
  <c r="P50" i="1" a="1"/>
  <c r="Q50" i="1" a="1"/>
  <c r="V50" i="1"/>
  <c r="Y50" i="1"/>
  <c r="W50" i="1" a="1"/>
  <c r="X50" i="1" a="1"/>
  <c r="Z49" i="1"/>
  <c r="AD23" i="1" a="1"/>
  <c r="AD24" i="1" a="1"/>
  <c r="AD25" i="1" a="1"/>
  <c r="M19" i="3"/>
  <c r="L20" i="3"/>
  <c r="K21" i="3"/>
  <c r="J22" i="3"/>
  <c r="I23" i="3"/>
  <c r="H24" i="3"/>
  <c r="C25" i="3"/>
  <c r="E23" i="3"/>
  <c r="G21" i="3"/>
  <c r="D24" i="3"/>
  <c r="F22" i="3"/>
  <c r="B26" i="3"/>
  <c r="AB26" i="1"/>
  <c r="AA28" i="1"/>
  <c r="AY22" i="7" l="1" a="1"/>
  <c r="AY21" i="7" a="1"/>
  <c r="Q27" i="7" a="1"/>
  <c r="P27" i="7" a="1"/>
  <c r="D23" i="9"/>
  <c r="AC20" i="7" a="1"/>
  <c r="G19" i="10" s="1"/>
  <c r="X25" i="7" a="1"/>
  <c r="B24" i="10" s="1"/>
  <c r="Y24" i="7" a="1"/>
  <c r="C23" i="10" s="1"/>
  <c r="Z23" i="7" a="1"/>
  <c r="D22" i="10" s="1"/>
  <c r="AA22" i="7" a="1"/>
  <c r="E21" i="10" s="1"/>
  <c r="AB21" i="7" a="1"/>
  <c r="F20" i="10" s="1"/>
  <c r="AL24" i="7" a="1"/>
  <c r="AI22" i="7" a="1"/>
  <c r="AH23" i="7" a="1"/>
  <c r="AG24" i="7" a="1"/>
  <c r="AF25" i="7" a="1"/>
  <c r="AE26" i="7" a="1"/>
  <c r="AD27" i="7" a="1"/>
  <c r="M20" i="10"/>
  <c r="I36" i="13"/>
  <c r="G37" i="13"/>
  <c r="E36" i="13"/>
  <c r="C36" i="13"/>
  <c r="H25" i="10"/>
  <c r="I24" i="10"/>
  <c r="J23" i="10"/>
  <c r="K22" i="10"/>
  <c r="L21" i="10"/>
  <c r="C56" i="12"/>
  <c r="E57" i="12"/>
  <c r="F57" i="12"/>
  <c r="D52" i="12"/>
  <c r="G58" i="12"/>
  <c r="B48" i="12"/>
  <c r="C49" i="11"/>
  <c r="D82" i="11"/>
  <c r="G102" i="11"/>
  <c r="E58" i="11"/>
  <c r="F59" i="11"/>
  <c r="B52" i="11"/>
  <c r="L28" i="7" a="1"/>
  <c r="N28" i="7" s="1" a="1"/>
  <c r="O28" i="7" s="1" a="1"/>
  <c r="M28" i="7" a="1"/>
  <c r="AK28" i="7"/>
  <c r="C28" i="9" s="1"/>
  <c r="K29" i="7"/>
  <c r="K53" i="1"/>
  <c r="N52" i="1" a="1"/>
  <c r="M52" i="1" a="1"/>
  <c r="L52" i="1" a="1"/>
  <c r="D51" i="5"/>
  <c r="C51" i="5"/>
  <c r="S52" i="1" a="1"/>
  <c r="T52" i="1" a="1"/>
  <c r="U52" i="1" a="1"/>
  <c r="R51" i="1"/>
  <c r="O51" i="1" a="1"/>
  <c r="P51" i="1" a="1"/>
  <c r="Q51" i="1" a="1"/>
  <c r="V51" i="1"/>
  <c r="Y51" i="1"/>
  <c r="Z51" i="1" s="1"/>
  <c r="W51" i="1" a="1"/>
  <c r="X51" i="1" a="1"/>
  <c r="F22" i="5"/>
  <c r="Z50" i="1"/>
  <c r="F23" i="5"/>
  <c r="F24" i="5"/>
  <c r="M20" i="3"/>
  <c r="L21" i="3"/>
  <c r="K22" i="3"/>
  <c r="J23" i="3"/>
  <c r="I24" i="3"/>
  <c r="H25" i="3"/>
  <c r="AD26" i="1" a="1"/>
  <c r="B27" i="3"/>
  <c r="E24" i="3"/>
  <c r="G22" i="3"/>
  <c r="F23" i="3"/>
  <c r="D25" i="3"/>
  <c r="C26" i="3"/>
  <c r="AB27" i="1"/>
  <c r="AA29" i="1"/>
  <c r="AZ22" i="7" l="1" a="1"/>
  <c r="AZ21" i="7" a="1"/>
  <c r="BD28" i="7"/>
  <c r="H27" i="14" s="1"/>
  <c r="X27" i="7" a="1"/>
  <c r="P28" i="7" a="1"/>
  <c r="Q28" i="7" a="1"/>
  <c r="D24" i="9"/>
  <c r="X26" i="7" a="1"/>
  <c r="B25" i="10" s="1"/>
  <c r="Y25" i="7" a="1"/>
  <c r="Z24" i="7" a="1"/>
  <c r="AA23" i="7" a="1"/>
  <c r="AB22" i="7" a="1"/>
  <c r="AC21" i="7" a="1"/>
  <c r="AL25" i="7" a="1"/>
  <c r="AI23" i="7" a="1"/>
  <c r="AH24" i="7" a="1"/>
  <c r="AG25" i="7" a="1"/>
  <c r="AF26" i="7" a="1"/>
  <c r="AE27" i="7" a="1"/>
  <c r="AD28" i="7" a="1"/>
  <c r="M21" i="10"/>
  <c r="I37" i="13"/>
  <c r="G38" i="13"/>
  <c r="E37" i="13"/>
  <c r="C37" i="13"/>
  <c r="H26" i="10"/>
  <c r="I25" i="10"/>
  <c r="J24" i="10"/>
  <c r="K23" i="10"/>
  <c r="L22" i="10"/>
  <c r="C57" i="12"/>
  <c r="E58" i="12"/>
  <c r="F58" i="12"/>
  <c r="D53" i="12"/>
  <c r="G59" i="12"/>
  <c r="B49" i="12"/>
  <c r="C50" i="11"/>
  <c r="D83" i="11"/>
  <c r="E59" i="11"/>
  <c r="F60" i="11"/>
  <c r="B53" i="11"/>
  <c r="M29" i="7" a="1"/>
  <c r="L29" i="7" a="1"/>
  <c r="N29" i="7" s="1" a="1"/>
  <c r="O29" i="7" s="1" a="1"/>
  <c r="AK29" i="7"/>
  <c r="C29" i="9" s="1"/>
  <c r="K30" i="7"/>
  <c r="K54" i="1"/>
  <c r="N53" i="1" a="1"/>
  <c r="M53" i="1" a="1"/>
  <c r="L53" i="1" a="1"/>
  <c r="D52" i="5"/>
  <c r="C52" i="5"/>
  <c r="S53" i="1" a="1"/>
  <c r="T53" i="1" a="1"/>
  <c r="U53" i="1" a="1"/>
  <c r="R52" i="1"/>
  <c r="O52" i="1" a="1"/>
  <c r="P52" i="1" a="1"/>
  <c r="Q52" i="1" a="1"/>
  <c r="Y52" i="1"/>
  <c r="V52" i="1"/>
  <c r="W52" i="1" a="1"/>
  <c r="X52" i="1" a="1"/>
  <c r="F25" i="5"/>
  <c r="AD27" i="1" a="1"/>
  <c r="M21" i="3"/>
  <c r="L22" i="3"/>
  <c r="K23" i="3"/>
  <c r="J24" i="3"/>
  <c r="I25" i="3"/>
  <c r="H26" i="3"/>
  <c r="B28" i="3"/>
  <c r="F24" i="3"/>
  <c r="E25" i="3"/>
  <c r="D26" i="3"/>
  <c r="G23" i="3"/>
  <c r="C27" i="3"/>
  <c r="AB28" i="1"/>
  <c r="AA30" i="1"/>
  <c r="B26" i="10" l="1"/>
  <c r="C24" i="10"/>
  <c r="Y26" i="7" a="1"/>
  <c r="C25" i="10" s="1"/>
  <c r="D23" i="10"/>
  <c r="Z25" i="7" a="1"/>
  <c r="D24" i="10" s="1"/>
  <c r="E22" i="10"/>
  <c r="AA24" i="7" a="1"/>
  <c r="E23" i="10" s="1"/>
  <c r="F21" i="10"/>
  <c r="AB23" i="7" a="1"/>
  <c r="F22" i="10" s="1"/>
  <c r="G20" i="10"/>
  <c r="AC22" i="7" a="1"/>
  <c r="G21" i="10" s="1"/>
  <c r="P29" i="7" a="1"/>
  <c r="Q29" i="7" a="1"/>
  <c r="BD30" i="7"/>
  <c r="H29" i="14" s="1"/>
  <c r="BD29" i="7"/>
  <c r="H28" i="14" s="1"/>
  <c r="D25" i="9"/>
  <c r="AL26" i="7" a="1"/>
  <c r="AI24" i="7" a="1"/>
  <c r="AH25" i="7" a="1"/>
  <c r="AG26" i="7" a="1"/>
  <c r="AF27" i="7" a="1"/>
  <c r="AE28" i="7" a="1"/>
  <c r="AD29" i="7" a="1"/>
  <c r="E20" i="14"/>
  <c r="E21" i="14"/>
  <c r="E22" i="14"/>
  <c r="E23" i="14"/>
  <c r="E24" i="14"/>
  <c r="M22" i="10"/>
  <c r="I38" i="13"/>
  <c r="G39" i="13"/>
  <c r="E38" i="13"/>
  <c r="C38" i="13"/>
  <c r="H27" i="10"/>
  <c r="I26" i="10"/>
  <c r="J25" i="10"/>
  <c r="K24" i="10"/>
  <c r="L23" i="10"/>
  <c r="C58" i="12"/>
  <c r="E59" i="12"/>
  <c r="F59" i="12"/>
  <c r="D54" i="12"/>
  <c r="G60" i="12"/>
  <c r="B50" i="12"/>
  <c r="C51" i="11"/>
  <c r="D84" i="11"/>
  <c r="E60" i="11"/>
  <c r="F61" i="11"/>
  <c r="B54" i="11"/>
  <c r="L30" i="7" a="1"/>
  <c r="N30" i="7" s="1" a="1"/>
  <c r="O30" i="7" s="1" a="1"/>
  <c r="M30" i="7" a="1"/>
  <c r="AK30" i="7"/>
  <c r="C30" i="9" s="1"/>
  <c r="K31" i="7"/>
  <c r="Z52" i="1"/>
  <c r="L54" i="1" a="1"/>
  <c r="C53" i="5"/>
  <c r="K55" i="1"/>
  <c r="D53" i="5"/>
  <c r="N54" i="1" a="1"/>
  <c r="M54" i="1" a="1"/>
  <c r="S54" i="1" a="1"/>
  <c r="T54" i="1" a="1"/>
  <c r="U54" i="1" a="1"/>
  <c r="R53" i="1"/>
  <c r="O53" i="1" a="1"/>
  <c r="P53" i="1" a="1"/>
  <c r="Q53" i="1" a="1"/>
  <c r="Y53" i="1"/>
  <c r="Z53" i="1" s="1"/>
  <c r="V53" i="1"/>
  <c r="W53" i="1" a="1"/>
  <c r="X53" i="1" a="1"/>
  <c r="F26" i="5"/>
  <c r="M22" i="3"/>
  <c r="L23" i="3"/>
  <c r="K24" i="3"/>
  <c r="J25" i="3"/>
  <c r="I26" i="3"/>
  <c r="H27" i="3"/>
  <c r="B29" i="3"/>
  <c r="F25" i="3"/>
  <c r="G24" i="3"/>
  <c r="E26" i="3"/>
  <c r="D27" i="3"/>
  <c r="C28" i="3"/>
  <c r="AB29" i="1"/>
  <c r="AA31" i="1"/>
  <c r="P30" i="7" l="1" a="1"/>
  <c r="Q30" i="7" a="1"/>
  <c r="D26" i="9"/>
  <c r="X28" i="7" a="1"/>
  <c r="Y27" i="7" a="1"/>
  <c r="C26" i="10" s="1"/>
  <c r="Z26" i="7" a="1"/>
  <c r="D25" i="10" s="1"/>
  <c r="AA25" i="7" a="1"/>
  <c r="E24" i="10" s="1"/>
  <c r="AB24" i="7" a="1"/>
  <c r="F23" i="10" s="1"/>
  <c r="AC23" i="7" a="1"/>
  <c r="G22" i="10" s="1"/>
  <c r="AL27" i="7" a="1"/>
  <c r="AI25" i="7" a="1"/>
  <c r="AH26" i="7" a="1"/>
  <c r="AG27" i="7" a="1"/>
  <c r="AF28" i="7" a="1"/>
  <c r="AE29" i="7" a="1"/>
  <c r="AD30" i="7" a="1"/>
  <c r="M23" i="10"/>
  <c r="I39" i="13"/>
  <c r="G40" i="13"/>
  <c r="E39" i="13"/>
  <c r="C39" i="13"/>
  <c r="H28" i="10"/>
  <c r="I27" i="10"/>
  <c r="J26" i="10"/>
  <c r="K25" i="10"/>
  <c r="L24" i="10"/>
  <c r="C59" i="12"/>
  <c r="E60" i="12"/>
  <c r="F60" i="12"/>
  <c r="D55" i="12"/>
  <c r="G61" i="12"/>
  <c r="B51" i="12"/>
  <c r="C52" i="11"/>
  <c r="D85" i="11"/>
  <c r="E61" i="11"/>
  <c r="F62" i="11"/>
  <c r="B55" i="11"/>
  <c r="M31" i="7" a="1"/>
  <c r="L31" i="7" a="1"/>
  <c r="N31" i="7" s="1" a="1"/>
  <c r="O31" i="7" s="1" a="1"/>
  <c r="AK31" i="7"/>
  <c r="C31" i="9" s="1"/>
  <c r="K32" i="7"/>
  <c r="R54" i="1"/>
  <c r="P54" i="1" a="1"/>
  <c r="O54" i="1" a="1"/>
  <c r="Q54" i="1" a="1"/>
  <c r="N55" i="1" a="1"/>
  <c r="L55" i="1" a="1"/>
  <c r="D54" i="5"/>
  <c r="C54" i="5"/>
  <c r="M55" i="1" a="1"/>
  <c r="K56" i="1"/>
  <c r="S55" i="1" a="1"/>
  <c r="T55" i="1" a="1"/>
  <c r="U55" i="1" a="1"/>
  <c r="V54" i="1"/>
  <c r="Y54" i="1"/>
  <c r="W54" i="1" a="1"/>
  <c r="X54" i="1" a="1"/>
  <c r="AD28" i="1" a="1"/>
  <c r="M23" i="3"/>
  <c r="L24" i="3"/>
  <c r="K25" i="3"/>
  <c r="J26" i="3"/>
  <c r="I27" i="3"/>
  <c r="H28" i="3"/>
  <c r="G25" i="3"/>
  <c r="F26" i="3"/>
  <c r="B30" i="3"/>
  <c r="E27" i="3"/>
  <c r="D28" i="3"/>
  <c r="C29" i="3"/>
  <c r="AB30" i="1"/>
  <c r="AA32" i="1"/>
  <c r="Q31" i="7" l="1" a="1"/>
  <c r="P31" i="7" a="1"/>
  <c r="D27" i="9"/>
  <c r="D21" i="14"/>
  <c r="D23" i="14"/>
  <c r="B27" i="10"/>
  <c r="D24" i="14"/>
  <c r="D22" i="14"/>
  <c r="D20" i="14"/>
  <c r="Y28" i="7" a="1"/>
  <c r="C27" i="10" s="1"/>
  <c r="Z27" i="7" a="1"/>
  <c r="D26" i="10" s="1"/>
  <c r="AA26" i="7" a="1"/>
  <c r="E25" i="10" s="1"/>
  <c r="AB25" i="7" a="1"/>
  <c r="F24" i="10" s="1"/>
  <c r="AC24" i="7" a="1"/>
  <c r="G23" i="10" s="1"/>
  <c r="X29" i="7" a="1"/>
  <c r="B28" i="10" s="1"/>
  <c r="BD32" i="7"/>
  <c r="H31" i="14" s="1"/>
  <c r="AL28" i="7" a="1"/>
  <c r="BD31" i="7"/>
  <c r="H30" i="14" s="1"/>
  <c r="AI26" i="7" a="1"/>
  <c r="AH27" i="7" a="1"/>
  <c r="AG28" i="7" a="1"/>
  <c r="AF29" i="7" a="1"/>
  <c r="AE30" i="7" a="1"/>
  <c r="AD31" i="7" a="1"/>
  <c r="E25" i="14"/>
  <c r="E26" i="14"/>
  <c r="M24" i="10"/>
  <c r="I40" i="13"/>
  <c r="G41" i="13"/>
  <c r="E40" i="13"/>
  <c r="C40" i="13"/>
  <c r="H29" i="10"/>
  <c r="I28" i="10"/>
  <c r="J27" i="10"/>
  <c r="K26" i="10"/>
  <c r="L25" i="10"/>
  <c r="C60" i="12"/>
  <c r="E61" i="12"/>
  <c r="F61" i="12"/>
  <c r="D56" i="12"/>
  <c r="G62" i="12"/>
  <c r="B52" i="12"/>
  <c r="C53" i="11"/>
  <c r="D86" i="11"/>
  <c r="E62" i="11"/>
  <c r="F63" i="11"/>
  <c r="B56" i="11"/>
  <c r="M32" i="7" a="1"/>
  <c r="L32" i="7" a="1"/>
  <c r="N32" i="7" s="1" a="1"/>
  <c r="O32" i="7" s="1" a="1"/>
  <c r="AK32" i="7"/>
  <c r="C32" i="9" s="1"/>
  <c r="K33" i="7"/>
  <c r="R55" i="1"/>
  <c r="O55" i="1" a="1"/>
  <c r="P55" i="1" a="1"/>
  <c r="Q55" i="1" a="1"/>
  <c r="L56" i="1" a="1"/>
  <c r="N56" i="1" a="1"/>
  <c r="M56" i="1" a="1"/>
  <c r="C55" i="5"/>
  <c r="D55" i="5"/>
  <c r="K57" i="1"/>
  <c r="S56" i="1" a="1"/>
  <c r="T56" i="1" a="1"/>
  <c r="U56" i="1" a="1"/>
  <c r="V55" i="1"/>
  <c r="Y55" i="1"/>
  <c r="Z55" i="1" s="1"/>
  <c r="W55" i="1" a="1"/>
  <c r="X55" i="1" a="1"/>
  <c r="Z54" i="1"/>
  <c r="F27" i="5"/>
  <c r="M24" i="3"/>
  <c r="L25" i="3"/>
  <c r="K26" i="3"/>
  <c r="J27" i="3"/>
  <c r="I28" i="3"/>
  <c r="H29" i="3"/>
  <c r="B31" i="3"/>
  <c r="C30" i="3"/>
  <c r="G26" i="3"/>
  <c r="F27" i="3"/>
  <c r="E28" i="3"/>
  <c r="D29" i="3"/>
  <c r="AB31" i="1"/>
  <c r="AA33" i="1"/>
  <c r="P32" i="7" l="1" a="1"/>
  <c r="Q32" i="7" a="1"/>
  <c r="D28" i="9"/>
  <c r="X30" i="7" a="1"/>
  <c r="Y29" i="7" a="1"/>
  <c r="C28" i="10" s="1"/>
  <c r="Z28" i="7" a="1"/>
  <c r="D27" i="10" s="1"/>
  <c r="AA27" i="7" a="1"/>
  <c r="E26" i="10" s="1"/>
  <c r="AB26" i="7" a="1"/>
  <c r="F25" i="10" s="1"/>
  <c r="AC25" i="7" a="1"/>
  <c r="G24" i="10" s="1"/>
  <c r="AL29" i="7" a="1"/>
  <c r="AI27" i="7" a="1"/>
  <c r="AH28" i="7" a="1"/>
  <c r="AG29" i="7" a="1"/>
  <c r="AF30" i="7" a="1"/>
  <c r="AE31" i="7" a="1"/>
  <c r="AD32" i="7" a="1"/>
  <c r="M25" i="10"/>
  <c r="I41" i="13"/>
  <c r="G42" i="13"/>
  <c r="E41" i="13"/>
  <c r="C41" i="13"/>
  <c r="H30" i="10"/>
  <c r="I29" i="10"/>
  <c r="J28" i="10"/>
  <c r="K27" i="10"/>
  <c r="L26" i="10"/>
  <c r="C61" i="12"/>
  <c r="E62" i="12"/>
  <c r="F62" i="12"/>
  <c r="D57" i="12"/>
  <c r="G63" i="12"/>
  <c r="B53" i="12"/>
  <c r="C54" i="11"/>
  <c r="D87" i="11"/>
  <c r="E63" i="11"/>
  <c r="F64" i="11"/>
  <c r="B57" i="11"/>
  <c r="M33" i="7" a="1"/>
  <c r="L33" i="7" a="1"/>
  <c r="N33" i="7" s="1" a="1"/>
  <c r="O33" i="7" s="1" a="1"/>
  <c r="AK33" i="7"/>
  <c r="C33" i="9" s="1"/>
  <c r="K34" i="7"/>
  <c r="R56" i="1"/>
  <c r="O56" i="1" a="1"/>
  <c r="P56" i="1" a="1"/>
  <c r="Q56" i="1" a="1"/>
  <c r="L57" i="1" a="1"/>
  <c r="N57" i="1" a="1"/>
  <c r="M57" i="1" a="1"/>
  <c r="C56" i="5"/>
  <c r="D56" i="5"/>
  <c r="K58" i="1"/>
  <c r="S57" i="1" a="1"/>
  <c r="T57" i="1" a="1"/>
  <c r="U57" i="1" a="1"/>
  <c r="Y56" i="1"/>
  <c r="Z56" i="1" s="1"/>
  <c r="V56" i="1"/>
  <c r="W56" i="1" a="1"/>
  <c r="X56" i="1" a="1"/>
  <c r="M25" i="3"/>
  <c r="L26" i="3"/>
  <c r="K27" i="3"/>
  <c r="J28" i="3"/>
  <c r="I29" i="3"/>
  <c r="H30" i="3"/>
  <c r="E29" i="3"/>
  <c r="G27" i="3"/>
  <c r="C31" i="3"/>
  <c r="D30" i="3"/>
  <c r="F28" i="3"/>
  <c r="B32" i="3"/>
  <c r="AB32" i="1"/>
  <c r="AA34" i="1"/>
  <c r="P33" i="7" l="1" a="1"/>
  <c r="Q33" i="7" a="1"/>
  <c r="BD35" i="7"/>
  <c r="H34" i="14" s="1"/>
  <c r="BD36" i="7"/>
  <c r="H35" i="14" s="1"/>
  <c r="D29" i="9"/>
  <c r="B29" i="10"/>
  <c r="D25" i="14"/>
  <c r="D26" i="14"/>
  <c r="X31" i="7" a="1"/>
  <c r="B30" i="10" s="1"/>
  <c r="Y30" i="7" a="1"/>
  <c r="C29" i="10" s="1"/>
  <c r="Z29" i="7" a="1"/>
  <c r="D28" i="10" s="1"/>
  <c r="AA28" i="7" a="1"/>
  <c r="E27" i="10" s="1"/>
  <c r="AB27" i="7" a="1"/>
  <c r="F26" i="10" s="1"/>
  <c r="AC26" i="7" a="1"/>
  <c r="G25" i="10" s="1"/>
  <c r="AL30" i="7" a="1"/>
  <c r="BD34" i="7"/>
  <c r="H33" i="14" s="1"/>
  <c r="BD33" i="7"/>
  <c r="H32" i="14" s="1"/>
  <c r="AI28" i="7" a="1"/>
  <c r="AH29" i="7" a="1"/>
  <c r="AG30" i="7" a="1"/>
  <c r="AF31" i="7" a="1"/>
  <c r="AE32" i="7" a="1"/>
  <c r="AD33" i="7" a="1"/>
  <c r="E27" i="14"/>
  <c r="E28" i="14"/>
  <c r="M26" i="10"/>
  <c r="I42" i="13"/>
  <c r="G43" i="13"/>
  <c r="E42" i="13"/>
  <c r="C42" i="13"/>
  <c r="H31" i="10"/>
  <c r="I30" i="10"/>
  <c r="J29" i="10"/>
  <c r="K28" i="10"/>
  <c r="L27" i="10"/>
  <c r="C62" i="12"/>
  <c r="E63" i="12"/>
  <c r="F63" i="12"/>
  <c r="D58" i="12"/>
  <c r="G64" i="12"/>
  <c r="B54" i="12"/>
  <c r="C55" i="11"/>
  <c r="D88" i="11"/>
  <c r="E64" i="11"/>
  <c r="F65" i="11"/>
  <c r="B58" i="11"/>
  <c r="L34" i="7" a="1"/>
  <c r="N34" i="7" s="1" a="1"/>
  <c r="O34" i="7" s="1" a="1"/>
  <c r="M34" i="7" a="1"/>
  <c r="AK34" i="7"/>
  <c r="C34" i="9" s="1"/>
  <c r="K35" i="7"/>
  <c r="R57" i="1"/>
  <c r="O57" i="1" a="1"/>
  <c r="P57" i="1" a="1"/>
  <c r="Q57" i="1" a="1"/>
  <c r="M58" i="1" a="1"/>
  <c r="L58" i="1" a="1"/>
  <c r="N58" i="1" a="1"/>
  <c r="C57" i="5"/>
  <c r="D57" i="5"/>
  <c r="K59" i="1"/>
  <c r="S58" i="1" a="1"/>
  <c r="T58" i="1" a="1"/>
  <c r="U58" i="1" a="1"/>
  <c r="V57" i="1"/>
  <c r="Y57" i="1"/>
  <c r="W57" i="1" a="1"/>
  <c r="X57" i="1" a="1"/>
  <c r="M26" i="3"/>
  <c r="L27" i="3"/>
  <c r="K28" i="3"/>
  <c r="J29" i="3"/>
  <c r="I30" i="3"/>
  <c r="H31" i="3"/>
  <c r="C32" i="3"/>
  <c r="D31" i="3"/>
  <c r="F29" i="3"/>
  <c r="G28" i="3"/>
  <c r="E30" i="3"/>
  <c r="B33" i="3"/>
  <c r="AB33" i="1"/>
  <c r="AA35" i="1"/>
  <c r="X33" i="7" l="1" a="1"/>
  <c r="P34" i="7" a="1"/>
  <c r="Q34" i="7" a="1"/>
  <c r="D30" i="9"/>
  <c r="X32" i="7" a="1"/>
  <c r="Y31" i="7" a="1"/>
  <c r="Z30" i="7" a="1"/>
  <c r="AA29" i="7" a="1"/>
  <c r="AB28" i="7" a="1"/>
  <c r="AC27" i="7" a="1"/>
  <c r="AL31" i="7" a="1"/>
  <c r="AI29" i="7" a="1"/>
  <c r="AH30" i="7" a="1"/>
  <c r="AG31" i="7" a="1"/>
  <c r="AF32" i="7" a="1"/>
  <c r="AE33" i="7" a="1"/>
  <c r="AD34" i="7" a="1"/>
  <c r="M27" i="10"/>
  <c r="I43" i="13"/>
  <c r="G44" i="13"/>
  <c r="E43" i="13"/>
  <c r="C43" i="13"/>
  <c r="H32" i="10"/>
  <c r="I31" i="10"/>
  <c r="J30" i="10"/>
  <c r="K29" i="10"/>
  <c r="L28" i="10"/>
  <c r="C63" i="12"/>
  <c r="E64" i="12"/>
  <c r="F64" i="12"/>
  <c r="D59" i="12"/>
  <c r="G65" i="12"/>
  <c r="B55" i="12"/>
  <c r="C56" i="11"/>
  <c r="D89" i="11"/>
  <c r="E65" i="11"/>
  <c r="F66" i="11"/>
  <c r="B59" i="11"/>
  <c r="M35" i="7" a="1"/>
  <c r="L35" i="7" a="1"/>
  <c r="N35" i="7" s="1" a="1"/>
  <c r="O35" i="7" s="1" a="1"/>
  <c r="AK35" i="7"/>
  <c r="C35" i="9" s="1"/>
  <c r="K36" i="7"/>
  <c r="O58" i="1" a="1"/>
  <c r="R58" i="1"/>
  <c r="P58" i="1" a="1"/>
  <c r="Q58" i="1" a="1"/>
  <c r="L59" i="1" a="1"/>
  <c r="N59" i="1" a="1"/>
  <c r="M59" i="1" a="1"/>
  <c r="C58" i="5"/>
  <c r="K60" i="1"/>
  <c r="D58" i="5"/>
  <c r="S59" i="1" a="1"/>
  <c r="T59" i="1" a="1"/>
  <c r="U59" i="1" a="1"/>
  <c r="V58" i="1"/>
  <c r="Y58" i="1"/>
  <c r="W58" i="1" a="1"/>
  <c r="X58" i="1" a="1"/>
  <c r="Z57" i="1"/>
  <c r="M27" i="3"/>
  <c r="L28" i="3"/>
  <c r="K29" i="3"/>
  <c r="J30" i="3"/>
  <c r="I31" i="3"/>
  <c r="H32" i="3"/>
  <c r="F30" i="3"/>
  <c r="G29" i="3"/>
  <c r="C33" i="3"/>
  <c r="D32" i="3"/>
  <c r="E31" i="3"/>
  <c r="B34" i="3"/>
  <c r="AB34" i="1"/>
  <c r="AA36" i="1"/>
  <c r="B32" i="10" l="1"/>
  <c r="C30" i="10"/>
  <c r="Y32" i="7" a="1"/>
  <c r="C31" i="10" s="1"/>
  <c r="D29" i="10"/>
  <c r="Z31" i="7" a="1"/>
  <c r="D30" i="10" s="1"/>
  <c r="E28" i="10"/>
  <c r="AA30" i="7" a="1"/>
  <c r="E29" i="10" s="1"/>
  <c r="F27" i="10"/>
  <c r="AB29" i="7" a="1"/>
  <c r="F28" i="10" s="1"/>
  <c r="G26" i="10"/>
  <c r="AC28" i="7" a="1"/>
  <c r="G27" i="10" s="1"/>
  <c r="P35" i="7" a="1"/>
  <c r="Q35" i="7" a="1"/>
  <c r="D31" i="9"/>
  <c r="B31" i="10"/>
  <c r="D27" i="14"/>
  <c r="D28" i="14"/>
  <c r="AL32" i="7" a="1"/>
  <c r="AI30" i="7" a="1"/>
  <c r="AH31" i="7" a="1"/>
  <c r="AG32" i="7" a="1"/>
  <c r="AF33" i="7" a="1"/>
  <c r="AE34" i="7" a="1"/>
  <c r="AD35" i="7" a="1"/>
  <c r="M28" i="10"/>
  <c r="I44" i="13"/>
  <c r="G45" i="13"/>
  <c r="E44" i="13"/>
  <c r="C44" i="13"/>
  <c r="H33" i="10"/>
  <c r="I32" i="10"/>
  <c r="J31" i="10"/>
  <c r="K30" i="10"/>
  <c r="L29" i="10"/>
  <c r="C64" i="12"/>
  <c r="E65" i="12"/>
  <c r="F65" i="12"/>
  <c r="D60" i="12"/>
  <c r="G66" i="12"/>
  <c r="B56" i="12"/>
  <c r="C57" i="11"/>
  <c r="D90" i="11"/>
  <c r="E66" i="11"/>
  <c r="F67" i="11"/>
  <c r="B60" i="11"/>
  <c r="M36" i="7" a="1"/>
  <c r="L36" i="7" a="1"/>
  <c r="N36" i="7" s="1" a="1"/>
  <c r="O36" i="7" s="1" a="1"/>
  <c r="AK36" i="7"/>
  <c r="C36" i="9" s="1"/>
  <c r="K37" i="7"/>
  <c r="Z58" i="1"/>
  <c r="R59" i="1"/>
  <c r="O59" i="1" a="1"/>
  <c r="P59" i="1" a="1"/>
  <c r="Q59" i="1" a="1"/>
  <c r="L60" i="1" a="1"/>
  <c r="N60" i="1" a="1"/>
  <c r="M60" i="1" a="1"/>
  <c r="C59" i="5"/>
  <c r="D59" i="5"/>
  <c r="K61" i="1"/>
  <c r="S60" i="1" a="1"/>
  <c r="T60" i="1" a="1"/>
  <c r="U60" i="1" a="1"/>
  <c r="V59" i="1"/>
  <c r="Y59" i="1"/>
  <c r="W59" i="1" a="1"/>
  <c r="X59" i="1" a="1"/>
  <c r="M28" i="3"/>
  <c r="L29" i="3"/>
  <c r="K30" i="3"/>
  <c r="J31" i="3"/>
  <c r="I32" i="3"/>
  <c r="H33" i="3"/>
  <c r="C34" i="3"/>
  <c r="D33" i="3"/>
  <c r="E32" i="3"/>
  <c r="F31" i="3"/>
  <c r="B35" i="3"/>
  <c r="G30" i="3"/>
  <c r="AB35" i="1"/>
  <c r="AA37" i="1"/>
  <c r="P36" i="7" l="1" a="1"/>
  <c r="Q36" i="7" a="1"/>
  <c r="D32" i="9"/>
  <c r="X34" i="7" a="1"/>
  <c r="B33" i="10" s="1"/>
  <c r="Y33" i="7" a="1"/>
  <c r="C32" i="10" s="1"/>
  <c r="Z32" i="7" a="1"/>
  <c r="D31" i="10" s="1"/>
  <c r="AA31" i="7" a="1"/>
  <c r="E30" i="10" s="1"/>
  <c r="AB30" i="7" a="1"/>
  <c r="F29" i="10" s="1"/>
  <c r="AC29" i="7" a="1"/>
  <c r="G28" i="10" s="1"/>
  <c r="AL33" i="7" a="1"/>
  <c r="AI31" i="7" a="1"/>
  <c r="AH32" i="7" a="1"/>
  <c r="AG33" i="7" a="1"/>
  <c r="AF34" i="7" a="1"/>
  <c r="AE35" i="7" a="1"/>
  <c r="AD36" i="7" a="1"/>
  <c r="M29" i="10"/>
  <c r="I45" i="13"/>
  <c r="G46" i="13"/>
  <c r="E45" i="13"/>
  <c r="C45" i="13"/>
  <c r="H34" i="10"/>
  <c r="I33" i="10"/>
  <c r="J32" i="10"/>
  <c r="K31" i="10"/>
  <c r="L30" i="10"/>
  <c r="C65" i="12"/>
  <c r="E66" i="12"/>
  <c r="F66" i="12"/>
  <c r="D61" i="12"/>
  <c r="G67" i="12"/>
  <c r="B57" i="12"/>
  <c r="C58" i="11"/>
  <c r="D91" i="11"/>
  <c r="E67" i="11"/>
  <c r="F68" i="11"/>
  <c r="B61" i="11"/>
  <c r="M37" i="7" a="1"/>
  <c r="L37" i="7" a="1"/>
  <c r="N37" i="7" s="1" a="1"/>
  <c r="O37" i="7" s="1" a="1"/>
  <c r="AK37" i="7"/>
  <c r="C37" i="9" s="1"/>
  <c r="K38" i="7"/>
  <c r="R60" i="1"/>
  <c r="O60" i="1" a="1"/>
  <c r="P60" i="1" a="1"/>
  <c r="Q60" i="1" a="1"/>
  <c r="L61" i="1" a="1"/>
  <c r="N61" i="1" a="1"/>
  <c r="D60" i="5"/>
  <c r="C60" i="5"/>
  <c r="M61" i="1" a="1"/>
  <c r="K62" i="1"/>
  <c r="S61" i="1" a="1"/>
  <c r="T61" i="1" a="1"/>
  <c r="U61" i="1" a="1"/>
  <c r="V60" i="1"/>
  <c r="Y60" i="1"/>
  <c r="W60" i="1" a="1"/>
  <c r="X60" i="1" a="1"/>
  <c r="Z59" i="1"/>
  <c r="M29" i="3"/>
  <c r="L30" i="3"/>
  <c r="K31" i="3"/>
  <c r="J32" i="3"/>
  <c r="I33" i="3"/>
  <c r="H34" i="3"/>
  <c r="C35" i="3"/>
  <c r="D34" i="3"/>
  <c r="E33" i="3"/>
  <c r="F32" i="3"/>
  <c r="G31" i="3"/>
  <c r="B36" i="3"/>
  <c r="AB36" i="1"/>
  <c r="AA38" i="1"/>
  <c r="X36" i="7" l="1" a="1"/>
  <c r="P37" i="7" a="1"/>
  <c r="Q37" i="7" a="1"/>
  <c r="BD39" i="7"/>
  <c r="H38" i="14" s="1"/>
  <c r="D33" i="9"/>
  <c r="X35" i="7" a="1"/>
  <c r="B34" i="10" s="1"/>
  <c r="Y34" i="7" a="1"/>
  <c r="Z33" i="7" a="1"/>
  <c r="AA32" i="7" a="1"/>
  <c r="AB31" i="7" a="1"/>
  <c r="AC30" i="7" a="1"/>
  <c r="BD38" i="7"/>
  <c r="H37" i="14" s="1"/>
  <c r="AL34" i="7" a="1"/>
  <c r="BD37" i="7"/>
  <c r="H36" i="14" s="1"/>
  <c r="AI32" i="7" a="1"/>
  <c r="AH33" i="7" a="1"/>
  <c r="AG34" i="7" a="1"/>
  <c r="AF35" i="7" a="1"/>
  <c r="AE36" i="7" a="1"/>
  <c r="AD37" i="7" a="1"/>
  <c r="E29" i="14"/>
  <c r="E30" i="14"/>
  <c r="E31" i="14"/>
  <c r="E32" i="14"/>
  <c r="D29" i="14"/>
  <c r="D30" i="14"/>
  <c r="D31" i="14"/>
  <c r="D32" i="14"/>
  <c r="M30" i="10"/>
  <c r="I46" i="13"/>
  <c r="G47" i="13"/>
  <c r="E46" i="13"/>
  <c r="C46" i="13"/>
  <c r="H35" i="10"/>
  <c r="I34" i="10"/>
  <c r="J33" i="10"/>
  <c r="K32" i="10"/>
  <c r="L31" i="10"/>
  <c r="C66" i="12"/>
  <c r="E67" i="12"/>
  <c r="F67" i="12"/>
  <c r="D62" i="12"/>
  <c r="G68" i="12"/>
  <c r="B58" i="12"/>
  <c r="C59" i="11"/>
  <c r="D92" i="11"/>
  <c r="E68" i="11"/>
  <c r="F69" i="11"/>
  <c r="B62" i="11"/>
  <c r="L38" i="7" a="1"/>
  <c r="N38" i="7" s="1" a="1"/>
  <c r="O38" i="7" s="1" a="1"/>
  <c r="M38" i="7" a="1"/>
  <c r="AK38" i="7"/>
  <c r="C38" i="9" s="1"/>
  <c r="K39" i="7"/>
  <c r="R61" i="1"/>
  <c r="O61" i="1" a="1"/>
  <c r="P61" i="1" a="1"/>
  <c r="Q61" i="1" a="1"/>
  <c r="L62" i="1" a="1"/>
  <c r="N62" i="1" a="1"/>
  <c r="M62" i="1" a="1"/>
  <c r="C61" i="5"/>
  <c r="D61" i="5"/>
  <c r="K63" i="1"/>
  <c r="S62" i="1" a="1"/>
  <c r="T62" i="1" a="1"/>
  <c r="U62" i="1" a="1"/>
  <c r="V61" i="1"/>
  <c r="Y61" i="1"/>
  <c r="Z61" i="1" s="1"/>
  <c r="W61" i="1" a="1"/>
  <c r="X61" i="1" a="1"/>
  <c r="Z60" i="1"/>
  <c r="M30" i="3"/>
  <c r="L31" i="3"/>
  <c r="K32" i="3"/>
  <c r="J33" i="3"/>
  <c r="I34" i="3"/>
  <c r="H35" i="3"/>
  <c r="C36" i="3"/>
  <c r="D35" i="3"/>
  <c r="E34" i="3"/>
  <c r="F33" i="3"/>
  <c r="G32" i="3"/>
  <c r="B37" i="3"/>
  <c r="AB37" i="1"/>
  <c r="AA39" i="1"/>
  <c r="B35" i="10" l="1"/>
  <c r="C33" i="10"/>
  <c r="Y35" i="7" a="1"/>
  <c r="C34" i="10" s="1"/>
  <c r="D32" i="10"/>
  <c r="Z34" i="7" a="1"/>
  <c r="D33" i="10" s="1"/>
  <c r="E31" i="10"/>
  <c r="AA33" i="7" a="1"/>
  <c r="E32" i="10" s="1"/>
  <c r="F30" i="10"/>
  <c r="AB32" i="7" a="1"/>
  <c r="F31" i="10" s="1"/>
  <c r="G29" i="10"/>
  <c r="AC31" i="7" a="1"/>
  <c r="G30" i="10" s="1"/>
  <c r="P38" i="7" a="1"/>
  <c r="Q38" i="7" a="1"/>
  <c r="D34" i="9"/>
  <c r="AL35" i="7" a="1"/>
  <c r="AI33" i="7" a="1"/>
  <c r="AH34" i="7" a="1"/>
  <c r="AG35" i="7" a="1"/>
  <c r="AF36" i="7" a="1"/>
  <c r="AE37" i="7" a="1"/>
  <c r="AD38" i="7" a="1"/>
  <c r="M31" i="10"/>
  <c r="I47" i="13"/>
  <c r="G48" i="13"/>
  <c r="E47" i="13"/>
  <c r="C47" i="13"/>
  <c r="H36" i="10"/>
  <c r="I35" i="10"/>
  <c r="J34" i="10"/>
  <c r="K33" i="10"/>
  <c r="L32" i="10"/>
  <c r="C67" i="12"/>
  <c r="E68" i="12"/>
  <c r="F68" i="12"/>
  <c r="D63" i="12"/>
  <c r="G69" i="12"/>
  <c r="B59" i="12"/>
  <c r="C60" i="11"/>
  <c r="D93" i="11"/>
  <c r="E69" i="11"/>
  <c r="F70" i="11"/>
  <c r="B63" i="11"/>
  <c r="M39" i="7" a="1"/>
  <c r="L39" i="7" a="1"/>
  <c r="N39" i="7" s="1" a="1"/>
  <c r="O39" i="7" s="1" a="1"/>
  <c r="AK39" i="7"/>
  <c r="C39" i="9" s="1"/>
  <c r="K40" i="7"/>
  <c r="R62" i="1"/>
  <c r="O62" i="1" a="1"/>
  <c r="P62" i="1" a="1"/>
  <c r="Q62" i="1" a="1"/>
  <c r="L63" i="1" a="1"/>
  <c r="N63" i="1" a="1"/>
  <c r="M63" i="1" a="1"/>
  <c r="K64" i="1"/>
  <c r="C62" i="5"/>
  <c r="D62" i="5"/>
  <c r="S63" i="1" a="1"/>
  <c r="T63" i="1" a="1"/>
  <c r="U63" i="1" a="1"/>
  <c r="Y62" i="1"/>
  <c r="V62" i="1"/>
  <c r="W62" i="1" a="1"/>
  <c r="X62" i="1" a="1"/>
  <c r="M31" i="3"/>
  <c r="L32" i="3"/>
  <c r="K33" i="3"/>
  <c r="J34" i="3"/>
  <c r="I35" i="3"/>
  <c r="H36" i="3"/>
  <c r="D36" i="3"/>
  <c r="E35" i="3"/>
  <c r="F34" i="3"/>
  <c r="G33" i="3"/>
  <c r="B38" i="3"/>
  <c r="C37" i="3"/>
  <c r="AB38" i="1"/>
  <c r="AA40" i="1"/>
  <c r="P39" i="7" l="1" a="1"/>
  <c r="Q39" i="7" a="1"/>
  <c r="X37" i="7" a="1"/>
  <c r="B36" i="10" s="1"/>
  <c r="Y36" i="7" a="1"/>
  <c r="C35" i="10" s="1"/>
  <c r="Z35" i="7" a="1"/>
  <c r="D34" i="10" s="1"/>
  <c r="AA34" i="7" a="1"/>
  <c r="E33" i="10" s="1"/>
  <c r="AB33" i="7" a="1"/>
  <c r="F32" i="10" s="1"/>
  <c r="AC32" i="7" a="1"/>
  <c r="G31" i="10" s="1"/>
  <c r="D35" i="9"/>
  <c r="AL36" i="7" a="1"/>
  <c r="AI34" i="7" a="1"/>
  <c r="AH35" i="7" a="1"/>
  <c r="AG36" i="7" a="1"/>
  <c r="AF37" i="7" a="1"/>
  <c r="AE38" i="7" a="1"/>
  <c r="AD39" i="7" a="1"/>
  <c r="BD40" i="7"/>
  <c r="H39" i="14" s="1"/>
  <c r="M32" i="10"/>
  <c r="I48" i="13"/>
  <c r="G49" i="13"/>
  <c r="E48" i="13"/>
  <c r="C48" i="13"/>
  <c r="H37" i="10"/>
  <c r="I36" i="10"/>
  <c r="J35" i="10"/>
  <c r="K34" i="10"/>
  <c r="L33" i="10"/>
  <c r="C68" i="12"/>
  <c r="E69" i="12"/>
  <c r="F69" i="12"/>
  <c r="D64" i="12"/>
  <c r="G70" i="12"/>
  <c r="B60" i="12"/>
  <c r="C61" i="11"/>
  <c r="D94" i="11"/>
  <c r="E70" i="11"/>
  <c r="F71" i="11"/>
  <c r="B64" i="11"/>
  <c r="M40" i="7" a="1"/>
  <c r="L40" i="7" a="1"/>
  <c r="N40" i="7" s="1" a="1"/>
  <c r="O40" i="7" s="1" a="1"/>
  <c r="AK40" i="7"/>
  <c r="C40" i="9" s="1"/>
  <c r="K41" i="7"/>
  <c r="R63" i="1"/>
  <c r="O63" i="1" a="1"/>
  <c r="P63" i="1" a="1"/>
  <c r="Q63" i="1" a="1"/>
  <c r="L64" i="1" a="1"/>
  <c r="N64" i="1" a="1"/>
  <c r="M64" i="1" a="1"/>
  <c r="C63" i="5"/>
  <c r="D63" i="5"/>
  <c r="K65" i="1"/>
  <c r="S64" i="1" a="1"/>
  <c r="T64" i="1" a="1"/>
  <c r="U64" i="1" a="1"/>
  <c r="V63" i="1"/>
  <c r="Y63" i="1"/>
  <c r="W63" i="1" a="1"/>
  <c r="X63" i="1" a="1"/>
  <c r="Z62" i="1"/>
  <c r="M32" i="3"/>
  <c r="L33" i="3"/>
  <c r="K34" i="3"/>
  <c r="J35" i="3"/>
  <c r="I36" i="3"/>
  <c r="H37" i="3"/>
  <c r="C38" i="3"/>
  <c r="D37" i="3"/>
  <c r="F35" i="3"/>
  <c r="G34" i="3"/>
  <c r="E36" i="3"/>
  <c r="B39" i="3"/>
  <c r="AB39" i="1"/>
  <c r="AA41" i="1"/>
  <c r="P40" i="7" l="1" a="1"/>
  <c r="Q40" i="7" a="1"/>
  <c r="D36" i="9"/>
  <c r="X38" i="7" a="1"/>
  <c r="B37" i="10" s="1"/>
  <c r="Y37" i="7" a="1"/>
  <c r="C36" i="10" s="1"/>
  <c r="Z36" i="7" a="1"/>
  <c r="D35" i="10" s="1"/>
  <c r="AA35" i="7" a="1"/>
  <c r="E34" i="10" s="1"/>
  <c r="AB34" i="7" a="1"/>
  <c r="F33" i="10" s="1"/>
  <c r="AC33" i="7" a="1"/>
  <c r="G32" i="10" s="1"/>
  <c r="AL37" i="7" a="1"/>
  <c r="AI35" i="7" a="1"/>
  <c r="AH36" i="7" a="1"/>
  <c r="AG37" i="7" a="1"/>
  <c r="AF38" i="7" a="1"/>
  <c r="AE39" i="7" a="1"/>
  <c r="AD40" i="7" a="1"/>
  <c r="BD42" i="7"/>
  <c r="H41" i="14" s="1"/>
  <c r="BD44" i="7"/>
  <c r="H43" i="14" s="1"/>
  <c r="BD43" i="7"/>
  <c r="H42" i="14" s="1"/>
  <c r="BD41" i="7"/>
  <c r="H40" i="14" s="1"/>
  <c r="E33" i="14"/>
  <c r="E34" i="14"/>
  <c r="E35" i="14"/>
  <c r="M33" i="10"/>
  <c r="I49" i="13"/>
  <c r="G50" i="13"/>
  <c r="E49" i="13"/>
  <c r="C49" i="13"/>
  <c r="H38" i="10"/>
  <c r="I37" i="10"/>
  <c r="J36" i="10"/>
  <c r="K35" i="10"/>
  <c r="L34" i="10"/>
  <c r="C69" i="12"/>
  <c r="E70" i="12"/>
  <c r="F70" i="12"/>
  <c r="D65" i="12"/>
  <c r="G71" i="12"/>
  <c r="B61" i="12"/>
  <c r="C62" i="11"/>
  <c r="D95" i="11"/>
  <c r="E71" i="11"/>
  <c r="F72" i="11"/>
  <c r="B65" i="11"/>
  <c r="L41" i="7" a="1"/>
  <c r="N41" i="7" s="1" a="1"/>
  <c r="O41" i="7" s="1" a="1"/>
  <c r="M41" i="7" a="1"/>
  <c r="AK41" i="7"/>
  <c r="C41" i="9" s="1"/>
  <c r="K42" i="7"/>
  <c r="R64" i="1"/>
  <c r="O64" i="1" a="1"/>
  <c r="P64" i="1" a="1"/>
  <c r="Q64" i="1" a="1"/>
  <c r="L65" i="1" a="1"/>
  <c r="N65" i="1" a="1"/>
  <c r="M65" i="1" a="1"/>
  <c r="C64" i="5"/>
  <c r="D64" i="5"/>
  <c r="K66" i="1"/>
  <c r="S65" i="1" a="1"/>
  <c r="T65" i="1" a="1"/>
  <c r="U65" i="1" a="1"/>
  <c r="V64" i="1"/>
  <c r="Y64" i="1"/>
  <c r="W64" i="1" a="1"/>
  <c r="X64" i="1" a="1"/>
  <c r="Z63" i="1"/>
  <c r="M33" i="3"/>
  <c r="L34" i="3"/>
  <c r="K35" i="3"/>
  <c r="J36" i="3"/>
  <c r="I37" i="3"/>
  <c r="H38" i="3"/>
  <c r="C39" i="3"/>
  <c r="D38" i="3"/>
  <c r="E37" i="3"/>
  <c r="B40" i="3"/>
  <c r="F36" i="3"/>
  <c r="G35" i="3"/>
  <c r="AB40" i="1"/>
  <c r="AA42" i="1"/>
  <c r="X40" i="7" l="1" a="1"/>
  <c r="P41" i="7" a="1"/>
  <c r="Q41" i="7" a="1"/>
  <c r="D37" i="9"/>
  <c r="X39" i="7" a="1"/>
  <c r="Y38" i="7" a="1"/>
  <c r="Z37" i="7" a="1"/>
  <c r="AA36" i="7" a="1"/>
  <c r="AB35" i="7" a="1"/>
  <c r="AC34" i="7" a="1"/>
  <c r="AL38" i="7" a="1"/>
  <c r="D36" i="14"/>
  <c r="E36" i="14"/>
  <c r="AI36" i="7" a="1"/>
  <c r="AH37" i="7" a="1"/>
  <c r="AG38" i="7" a="1"/>
  <c r="AF39" i="7" a="1"/>
  <c r="AE40" i="7" a="1"/>
  <c r="AD41" i="7" a="1"/>
  <c r="M34" i="10"/>
  <c r="I50" i="13"/>
  <c r="G51" i="13"/>
  <c r="E50" i="13"/>
  <c r="C50" i="13"/>
  <c r="H39" i="10"/>
  <c r="I38" i="10"/>
  <c r="J37" i="10"/>
  <c r="K36" i="10"/>
  <c r="L35" i="10"/>
  <c r="C70" i="12"/>
  <c r="E71" i="12"/>
  <c r="F71" i="12"/>
  <c r="D66" i="12"/>
  <c r="G72" i="12"/>
  <c r="B62" i="12"/>
  <c r="C63" i="11"/>
  <c r="D96" i="11"/>
  <c r="E72" i="11"/>
  <c r="F73" i="11"/>
  <c r="B66" i="11"/>
  <c r="M42" i="7" a="1"/>
  <c r="L42" i="7" a="1"/>
  <c r="N42" i="7" s="1" a="1"/>
  <c r="O42" i="7" s="1" a="1"/>
  <c r="AK42" i="7"/>
  <c r="C42" i="9" s="1"/>
  <c r="K43" i="7"/>
  <c r="Z64" i="1"/>
  <c r="R65" i="1"/>
  <c r="O65" i="1" a="1"/>
  <c r="P65" i="1" a="1"/>
  <c r="Q65" i="1" a="1"/>
  <c r="L66" i="1" a="1"/>
  <c r="N66" i="1" a="1"/>
  <c r="M66" i="1" a="1"/>
  <c r="D65" i="5"/>
  <c r="C65" i="5"/>
  <c r="K67" i="1"/>
  <c r="S66" i="1" a="1"/>
  <c r="T66" i="1" a="1"/>
  <c r="U66" i="1" a="1"/>
  <c r="V65" i="1"/>
  <c r="Y65" i="1"/>
  <c r="W65" i="1" a="1"/>
  <c r="X65" i="1" a="1"/>
  <c r="M34" i="3"/>
  <c r="L35" i="3"/>
  <c r="K36" i="3"/>
  <c r="J37" i="3"/>
  <c r="I38" i="3"/>
  <c r="H39" i="3"/>
  <c r="C40" i="3"/>
  <c r="D39" i="3"/>
  <c r="E38" i="3"/>
  <c r="F37" i="3"/>
  <c r="G36" i="3"/>
  <c r="B41" i="3"/>
  <c r="AB41" i="1"/>
  <c r="AA43" i="1"/>
  <c r="B39" i="10" l="1"/>
  <c r="C37" i="10"/>
  <c r="Y39" i="7" a="1"/>
  <c r="C38" i="10" s="1"/>
  <c r="D36" i="10"/>
  <c r="Z38" i="7" a="1"/>
  <c r="D37" i="10" s="1"/>
  <c r="E35" i="10"/>
  <c r="AA37" i="7" a="1"/>
  <c r="E36" i="10" s="1"/>
  <c r="F34" i="10"/>
  <c r="AB36" i="7" a="1"/>
  <c r="F35" i="10" s="1"/>
  <c r="G33" i="10"/>
  <c r="AC35" i="7" a="1"/>
  <c r="G34" i="10" s="1"/>
  <c r="P42" i="7" a="1"/>
  <c r="Q42" i="7" a="1"/>
  <c r="D38" i="9"/>
  <c r="D33" i="14"/>
  <c r="B38" i="10"/>
  <c r="D35" i="14"/>
  <c r="D34" i="14"/>
  <c r="AL39" i="7" a="1"/>
  <c r="AI37" i="7" a="1"/>
  <c r="AH38" i="7" a="1"/>
  <c r="AG39" i="7" a="1"/>
  <c r="AF40" i="7" a="1"/>
  <c r="AE41" i="7" a="1"/>
  <c r="AD42" i="7" a="1"/>
  <c r="M35" i="10"/>
  <c r="I51" i="13"/>
  <c r="G52" i="13"/>
  <c r="E51" i="13"/>
  <c r="C51" i="13"/>
  <c r="H40" i="10"/>
  <c r="I39" i="10"/>
  <c r="J38" i="10"/>
  <c r="K37" i="10"/>
  <c r="L36" i="10"/>
  <c r="C71" i="12"/>
  <c r="E72" i="12"/>
  <c r="F72" i="12"/>
  <c r="D67" i="12"/>
  <c r="G73" i="12"/>
  <c r="B63" i="12"/>
  <c r="C64" i="11"/>
  <c r="D97" i="11"/>
  <c r="E73" i="11"/>
  <c r="F74" i="11"/>
  <c r="B67" i="11"/>
  <c r="L43" i="7" a="1"/>
  <c r="N43" i="7" s="1" a="1"/>
  <c r="O43" i="7" s="1" a="1"/>
  <c r="M43" i="7" a="1"/>
  <c r="AK43" i="7"/>
  <c r="C43" i="9" s="1"/>
  <c r="K44" i="7"/>
  <c r="R66" i="1"/>
  <c r="P66" i="1" a="1"/>
  <c r="O66" i="1" a="1"/>
  <c r="Q66" i="1" a="1"/>
  <c r="M67" i="1" a="1"/>
  <c r="K68" i="1"/>
  <c r="C66" i="5"/>
  <c r="N67" i="1" a="1"/>
  <c r="L67" i="1" a="1"/>
  <c r="D66" i="5"/>
  <c r="S67" i="1" a="1"/>
  <c r="T67" i="1" a="1"/>
  <c r="U67" i="1" a="1"/>
  <c r="V66" i="1"/>
  <c r="Y66" i="1"/>
  <c r="W66" i="1" a="1"/>
  <c r="X66" i="1" a="1"/>
  <c r="Z65" i="1"/>
  <c r="M35" i="3"/>
  <c r="L36" i="3"/>
  <c r="K37" i="3"/>
  <c r="J38" i="3"/>
  <c r="I39" i="3"/>
  <c r="H40" i="3"/>
  <c r="C41" i="3"/>
  <c r="D40" i="3"/>
  <c r="B42" i="3"/>
  <c r="E39" i="3"/>
  <c r="F38" i="3"/>
  <c r="G37" i="3"/>
  <c r="AB42" i="1"/>
  <c r="AA44" i="1"/>
  <c r="P43" i="7" l="1" a="1"/>
  <c r="Q43" i="7" a="1"/>
  <c r="X41" i="7" a="1"/>
  <c r="B40" i="10" s="1"/>
  <c r="Y40" i="7" a="1"/>
  <c r="C39" i="10" s="1"/>
  <c r="Z39" i="7" a="1"/>
  <c r="D38" i="10" s="1"/>
  <c r="AA38" i="7" a="1"/>
  <c r="E37" i="10" s="1"/>
  <c r="AB37" i="7" a="1"/>
  <c r="F36" i="10" s="1"/>
  <c r="AC36" i="7" a="1"/>
  <c r="G35" i="10" s="1"/>
  <c r="D39" i="9"/>
  <c r="AL40" i="7" a="1"/>
  <c r="AI38" i="7" a="1"/>
  <c r="AH39" i="7" a="1"/>
  <c r="AG40" i="7" a="1"/>
  <c r="AF41" i="7" a="1"/>
  <c r="AE42" i="7" a="1"/>
  <c r="AD43" i="7" a="1"/>
  <c r="M36" i="10"/>
  <c r="I52" i="13"/>
  <c r="G53" i="13"/>
  <c r="E52" i="13"/>
  <c r="C52" i="13"/>
  <c r="H41" i="10"/>
  <c r="I40" i="10"/>
  <c r="J39" i="10"/>
  <c r="K38" i="10"/>
  <c r="L37" i="10"/>
  <c r="C72" i="12"/>
  <c r="E73" i="12"/>
  <c r="F73" i="12"/>
  <c r="D68" i="12"/>
  <c r="G74" i="12"/>
  <c r="B64" i="12"/>
  <c r="C65" i="11"/>
  <c r="D98" i="11"/>
  <c r="E74" i="11"/>
  <c r="F75" i="11"/>
  <c r="B68" i="11"/>
  <c r="M44" i="7" a="1"/>
  <c r="L44" i="7" a="1"/>
  <c r="N44" i="7" s="1" a="1"/>
  <c r="O44" i="7" s="1" a="1"/>
  <c r="AK44" i="7"/>
  <c r="C44" i="9" s="1"/>
  <c r="K45" i="7"/>
  <c r="L68" i="1" a="1"/>
  <c r="N68" i="1" a="1"/>
  <c r="M68" i="1" a="1"/>
  <c r="C67" i="5"/>
  <c r="D67" i="5"/>
  <c r="K69" i="1"/>
  <c r="S68" i="1" a="1"/>
  <c r="T68" i="1" a="1"/>
  <c r="U68" i="1" a="1"/>
  <c r="R67" i="1"/>
  <c r="O67" i="1" a="1"/>
  <c r="P67" i="1" a="1"/>
  <c r="Q67" i="1" a="1"/>
  <c r="V67" i="1"/>
  <c r="Y67" i="1"/>
  <c r="W67" i="1" a="1"/>
  <c r="X67" i="1" a="1"/>
  <c r="Z66" i="1"/>
  <c r="M36" i="3"/>
  <c r="L37" i="3"/>
  <c r="K38" i="3"/>
  <c r="J39" i="3"/>
  <c r="I40" i="3"/>
  <c r="H41" i="3"/>
  <c r="C42" i="3"/>
  <c r="D41" i="3"/>
  <c r="E40" i="3"/>
  <c r="B43" i="3"/>
  <c r="F39" i="3"/>
  <c r="G38" i="3"/>
  <c r="AB43" i="1"/>
  <c r="AA45" i="1"/>
  <c r="Q44" i="7" l="1" a="1"/>
  <c r="P44" i="7" a="1"/>
  <c r="D40" i="9"/>
  <c r="X42" i="7" a="1"/>
  <c r="B41" i="10" s="1"/>
  <c r="Y41" i="7" a="1"/>
  <c r="C40" i="10" s="1"/>
  <c r="Z40" i="7" a="1"/>
  <c r="D39" i="10" s="1"/>
  <c r="AA39" i="7" a="1"/>
  <c r="E38" i="10" s="1"/>
  <c r="AB38" i="7" a="1"/>
  <c r="F37" i="10" s="1"/>
  <c r="AC37" i="7" a="1"/>
  <c r="G36" i="10" s="1"/>
  <c r="AL41" i="7" a="1"/>
  <c r="AI39" i="7" a="1"/>
  <c r="AH40" i="7" a="1"/>
  <c r="AG41" i="7" a="1"/>
  <c r="AF42" i="7" a="1"/>
  <c r="AE43" i="7" a="1"/>
  <c r="AD44" i="7" a="1"/>
  <c r="BD45" i="7"/>
  <c r="H44" i="14" s="1"/>
  <c r="M37" i="10"/>
  <c r="I53" i="13"/>
  <c r="G54" i="13"/>
  <c r="E53" i="13"/>
  <c r="C53" i="13"/>
  <c r="H42" i="10"/>
  <c r="I41" i="10"/>
  <c r="J40" i="10"/>
  <c r="K39" i="10"/>
  <c r="L38" i="10"/>
  <c r="C73" i="12"/>
  <c r="E74" i="12"/>
  <c r="F74" i="12"/>
  <c r="D69" i="12"/>
  <c r="G75" i="12"/>
  <c r="B65" i="12"/>
  <c r="C66" i="11"/>
  <c r="D99" i="11"/>
  <c r="E75" i="11"/>
  <c r="F76" i="11"/>
  <c r="B69" i="11"/>
  <c r="M45" i="7" a="1"/>
  <c r="L45" i="7" a="1"/>
  <c r="N45" i="7" s="1" a="1"/>
  <c r="O45" i="7" s="1" a="1"/>
  <c r="AK45" i="7"/>
  <c r="C45" i="9" s="1"/>
  <c r="K46" i="7"/>
  <c r="Z67" i="1"/>
  <c r="R68" i="1"/>
  <c r="O68" i="1" a="1"/>
  <c r="P68" i="1" a="1"/>
  <c r="Q68" i="1" a="1"/>
  <c r="N69" i="1" a="1"/>
  <c r="M69" i="1" a="1"/>
  <c r="C68" i="5"/>
  <c r="D68" i="5"/>
  <c r="L69" i="1" a="1"/>
  <c r="K70" i="1"/>
  <c r="S69" i="1" a="1"/>
  <c r="T69" i="1" a="1"/>
  <c r="U69" i="1" a="1"/>
  <c r="V68" i="1"/>
  <c r="Y68" i="1"/>
  <c r="W68" i="1" a="1"/>
  <c r="X68" i="1" a="1"/>
  <c r="M37" i="3"/>
  <c r="L38" i="3"/>
  <c r="K39" i="3"/>
  <c r="J40" i="3"/>
  <c r="I41" i="3"/>
  <c r="H42" i="3"/>
  <c r="C43" i="3"/>
  <c r="D42" i="3"/>
  <c r="E41" i="3"/>
  <c r="F40" i="3"/>
  <c r="G39" i="3"/>
  <c r="B44" i="3"/>
  <c r="AB44" i="1"/>
  <c r="AA46" i="1"/>
  <c r="X44" i="7" l="1" a="1"/>
  <c r="P45" i="7" a="1"/>
  <c r="Q45" i="7" a="1"/>
  <c r="D41" i="9"/>
  <c r="X43" i="7" a="1"/>
  <c r="B42" i="10" s="1"/>
  <c r="Y42" i="7" a="1"/>
  <c r="Z41" i="7" a="1"/>
  <c r="AA40" i="7" a="1"/>
  <c r="AB39" i="7" a="1"/>
  <c r="AC38" i="7" a="1"/>
  <c r="AL42" i="7" a="1"/>
  <c r="AI40" i="7" a="1"/>
  <c r="AH41" i="7" a="1"/>
  <c r="AG42" i="7" a="1"/>
  <c r="AF43" i="7" a="1"/>
  <c r="AE44" i="7" a="1"/>
  <c r="AD45" i="7" a="1"/>
  <c r="BD49" i="7"/>
  <c r="H48" i="14" s="1"/>
  <c r="E37" i="14"/>
  <c r="E38" i="14"/>
  <c r="E39" i="14"/>
  <c r="E40" i="14"/>
  <c r="D37" i="14"/>
  <c r="D38" i="14"/>
  <c r="D39" i="14"/>
  <c r="D40" i="14"/>
  <c r="M38" i="10"/>
  <c r="I54" i="13"/>
  <c r="G55" i="13"/>
  <c r="E54" i="13"/>
  <c r="C54" i="13"/>
  <c r="H43" i="10"/>
  <c r="I42" i="10"/>
  <c r="J41" i="10"/>
  <c r="K40" i="10"/>
  <c r="L39" i="10"/>
  <c r="C74" i="12"/>
  <c r="E75" i="12"/>
  <c r="F75" i="12"/>
  <c r="D70" i="12"/>
  <c r="G76" i="12"/>
  <c r="B66" i="12"/>
  <c r="C67" i="11"/>
  <c r="D100" i="11"/>
  <c r="E76" i="11"/>
  <c r="F77" i="11"/>
  <c r="B70" i="11"/>
  <c r="L46" i="7" a="1"/>
  <c r="N46" i="7" s="1" a="1"/>
  <c r="O46" i="7" s="1" a="1"/>
  <c r="M46" i="7" a="1"/>
  <c r="AK46" i="7"/>
  <c r="C46" i="9" s="1"/>
  <c r="K47" i="7"/>
  <c r="R69" i="1"/>
  <c r="O69" i="1" a="1"/>
  <c r="P69" i="1" a="1"/>
  <c r="Q69" i="1" a="1"/>
  <c r="M70" i="1" a="1"/>
  <c r="L70" i="1" a="1"/>
  <c r="N70" i="1" a="1"/>
  <c r="K71" i="1"/>
  <c r="C69" i="5"/>
  <c r="D69" i="5"/>
  <c r="S70" i="1" a="1"/>
  <c r="T70" i="1" a="1"/>
  <c r="U70" i="1" a="1"/>
  <c r="V69" i="1"/>
  <c r="Y69" i="1"/>
  <c r="Z69" i="1" s="1"/>
  <c r="W69" i="1" a="1"/>
  <c r="X69" i="1" a="1"/>
  <c r="Z68" i="1"/>
  <c r="M38" i="3"/>
  <c r="L39" i="3"/>
  <c r="K40" i="3"/>
  <c r="J41" i="3"/>
  <c r="I42" i="3"/>
  <c r="H43" i="3"/>
  <c r="C44" i="3"/>
  <c r="F41" i="3"/>
  <c r="G40" i="3"/>
  <c r="D43" i="3"/>
  <c r="E42" i="3"/>
  <c r="B45" i="3"/>
  <c r="AB45" i="1"/>
  <c r="AA47" i="1"/>
  <c r="B43" i="10" l="1"/>
  <c r="C41" i="10"/>
  <c r="Y43" i="7" a="1"/>
  <c r="C42" i="10" s="1"/>
  <c r="D40" i="10"/>
  <c r="Z42" i="7" a="1"/>
  <c r="D41" i="10" s="1"/>
  <c r="E39" i="10"/>
  <c r="AA41" i="7" a="1"/>
  <c r="E40" i="10" s="1"/>
  <c r="F38" i="10"/>
  <c r="AB40" i="7" a="1"/>
  <c r="F39" i="10" s="1"/>
  <c r="G37" i="10"/>
  <c r="AC39" i="7" a="1"/>
  <c r="G38" i="10" s="1"/>
  <c r="P46" i="7" a="1"/>
  <c r="Q46" i="7" a="1"/>
  <c r="BD47" i="7"/>
  <c r="H46" i="14" s="1"/>
  <c r="BD46" i="7"/>
  <c r="H45" i="14" s="1"/>
  <c r="D42" i="9"/>
  <c r="AL43" i="7" a="1"/>
  <c r="BD48" i="7"/>
  <c r="H47" i="14" s="1"/>
  <c r="E41" i="14"/>
  <c r="AI41" i="7" a="1"/>
  <c r="AH42" i="7" a="1"/>
  <c r="AG43" i="7" a="1"/>
  <c r="AF44" i="7" a="1"/>
  <c r="AE45" i="7" a="1"/>
  <c r="AD46" i="7" a="1"/>
  <c r="M39" i="10"/>
  <c r="I55" i="13"/>
  <c r="G56" i="13"/>
  <c r="E55" i="13"/>
  <c r="C55" i="13"/>
  <c r="H44" i="10"/>
  <c r="I43" i="10"/>
  <c r="J42" i="10"/>
  <c r="K41" i="10"/>
  <c r="L40" i="10"/>
  <c r="C75" i="12"/>
  <c r="E76" i="12"/>
  <c r="F76" i="12"/>
  <c r="D71" i="12"/>
  <c r="G77" i="12"/>
  <c r="B67" i="12"/>
  <c r="C68" i="11"/>
  <c r="D101" i="11"/>
  <c r="E77" i="11"/>
  <c r="F78" i="11"/>
  <c r="B71" i="11"/>
  <c r="M47" i="7" a="1"/>
  <c r="L47" i="7" a="1"/>
  <c r="N47" i="7" s="1" a="1"/>
  <c r="O47" i="7" s="1" a="1"/>
  <c r="AK47" i="7"/>
  <c r="C47" i="9" s="1"/>
  <c r="K48" i="7"/>
  <c r="P70" i="1" a="1"/>
  <c r="R70" i="1"/>
  <c r="O70" i="1" a="1"/>
  <c r="Q70" i="1" a="1"/>
  <c r="M71" i="1" a="1"/>
  <c r="C70" i="5"/>
  <c r="N71" i="1" a="1"/>
  <c r="K72" i="1"/>
  <c r="L71" i="1" a="1"/>
  <c r="D70" i="5"/>
  <c r="T71" i="1" a="1"/>
  <c r="S71" i="1" a="1"/>
  <c r="U71" i="1" a="1"/>
  <c r="V70" i="1"/>
  <c r="Y70" i="1"/>
  <c r="W70" i="1" a="1"/>
  <c r="X70" i="1" a="1"/>
  <c r="M39" i="3"/>
  <c r="L40" i="3"/>
  <c r="K41" i="3"/>
  <c r="J42" i="3"/>
  <c r="I43" i="3"/>
  <c r="H44" i="3"/>
  <c r="C45" i="3"/>
  <c r="D44" i="3"/>
  <c r="G41" i="3"/>
  <c r="E43" i="3"/>
  <c r="F42" i="3"/>
  <c r="B46" i="3"/>
  <c r="AB46" i="1"/>
  <c r="AA48" i="1"/>
  <c r="P47" i="7" l="1" a="1"/>
  <c r="Q47" i="7" a="1"/>
  <c r="D43" i="9"/>
  <c r="X45" i="7" a="1"/>
  <c r="Y44" i="7" a="1"/>
  <c r="C43" i="10" s="1"/>
  <c r="Z43" i="7" a="1"/>
  <c r="D42" i="10" s="1"/>
  <c r="AA42" i="7" a="1"/>
  <c r="E41" i="10" s="1"/>
  <c r="AB41" i="7" a="1"/>
  <c r="F40" i="10" s="1"/>
  <c r="AC40" i="7" a="1"/>
  <c r="G39" i="10" s="1"/>
  <c r="AL44" i="7" a="1"/>
  <c r="AI42" i="7" a="1"/>
  <c r="AH43" i="7" a="1"/>
  <c r="AG44" i="7" a="1"/>
  <c r="AF45" i="7" a="1"/>
  <c r="AE46" i="7" a="1"/>
  <c r="AD47" i="7" a="1"/>
  <c r="AD48" i="7" s="1" a="1"/>
  <c r="AD49" i="7" s="1" a="1"/>
  <c r="AD50" i="7" s="1" a="1"/>
  <c r="AD51" i="7" s="1" a="1"/>
  <c r="AD52" i="7" s="1" a="1"/>
  <c r="AD53" i="7" s="1" a="1"/>
  <c r="AD54" i="7" s="1" a="1"/>
  <c r="AD55" i="7" s="1" a="1"/>
  <c r="AD56" i="7" s="1" a="1"/>
  <c r="AD57" i="7" s="1" a="1"/>
  <c r="AD58" i="7" s="1" a="1"/>
  <c r="AD59" i="7" s="1" a="1"/>
  <c r="AD60" i="7" s="1" a="1"/>
  <c r="AD61" i="7" s="1" a="1"/>
  <c r="AD62" i="7" s="1" a="1"/>
  <c r="AD63" i="7" s="1" a="1"/>
  <c r="AD64" i="7" s="1" a="1"/>
  <c r="AD65" i="7" s="1" a="1"/>
  <c r="AD66" i="7" s="1" a="1"/>
  <c r="AD67" i="7" s="1" a="1"/>
  <c r="AD68" i="7" s="1" a="1"/>
  <c r="AD69" i="7" s="1" a="1"/>
  <c r="AD70" i="7" s="1" a="1"/>
  <c r="AD71" i="7" s="1" a="1"/>
  <c r="AD72" i="7" s="1" a="1"/>
  <c r="AD73" i="7" s="1" a="1"/>
  <c r="AD74" i="7" s="1" a="1"/>
  <c r="AD75" i="7" s="1" a="1"/>
  <c r="AD76" i="7" s="1" a="1"/>
  <c r="AD77" i="7" s="1" a="1"/>
  <c r="AD78" i="7" s="1" a="1"/>
  <c r="AD79" i="7" s="1" a="1"/>
  <c r="AD80" i="7" s="1" a="1"/>
  <c r="AD81" i="7" s="1" a="1"/>
  <c r="AD82" i="7" s="1" a="1"/>
  <c r="AD83" i="7" s="1" a="1"/>
  <c r="AD84" i="7" s="1" a="1"/>
  <c r="AD85" i="7" s="1" a="1"/>
  <c r="AD86" i="7" s="1" a="1"/>
  <c r="AD87" i="7" s="1" a="1"/>
  <c r="AD88" i="7" s="1" a="1"/>
  <c r="AD89" i="7" s="1" a="1"/>
  <c r="AD90" i="7" s="1" a="1"/>
  <c r="AD91" i="7" s="1" a="1"/>
  <c r="AD92" i="7" s="1" a="1"/>
  <c r="AD93" i="7" s="1" a="1"/>
  <c r="AD94" i="7" s="1" a="1"/>
  <c r="AD95" i="7" s="1" a="1"/>
  <c r="AD96" i="7" s="1" a="1"/>
  <c r="AD97" i="7" s="1" a="1"/>
  <c r="AD98" i="7" s="1" a="1"/>
  <c r="AD99" i="7" s="1" a="1"/>
  <c r="AD100" i="7" s="1" a="1"/>
  <c r="AD101" i="7" s="1" a="1"/>
  <c r="AD102" i="7" s="1" a="1"/>
  <c r="AD103" i="7" s="1" a="1"/>
  <c r="AD104" i="7" s="1" a="1"/>
  <c r="AD105" i="7" s="1" a="1"/>
  <c r="AD106" i="7" s="1" a="1"/>
  <c r="AD107" i="7" s="1" a="1"/>
  <c r="AD108" i="7" s="1" a="1"/>
  <c r="AD109" i="7" s="1" a="1"/>
  <c r="AD110" i="7" s="1" a="1"/>
  <c r="M40" i="10"/>
  <c r="I56" i="13"/>
  <c r="G57" i="13"/>
  <c r="E56" i="13"/>
  <c r="C56" i="13"/>
  <c r="H45" i="10"/>
  <c r="I44" i="10"/>
  <c r="J43" i="10"/>
  <c r="K42" i="10"/>
  <c r="L41" i="10"/>
  <c r="C76" i="12"/>
  <c r="E77" i="12"/>
  <c r="F77" i="12"/>
  <c r="D72" i="12"/>
  <c r="G78" i="12"/>
  <c r="B68" i="12"/>
  <c r="C69" i="11"/>
  <c r="D102" i="11"/>
  <c r="E78" i="11"/>
  <c r="F79" i="11"/>
  <c r="B72" i="11"/>
  <c r="M48" i="7" a="1"/>
  <c r="L48" i="7" a="1"/>
  <c r="N48" i="7" s="1" a="1"/>
  <c r="O48" i="7" s="1" a="1"/>
  <c r="AK48" i="7"/>
  <c r="C48" i="9" s="1"/>
  <c r="K49" i="7"/>
  <c r="L72" i="1" a="1"/>
  <c r="N72" i="1" a="1"/>
  <c r="M72" i="1" a="1"/>
  <c r="K73" i="1"/>
  <c r="C71" i="5"/>
  <c r="D71" i="5"/>
  <c r="S72" i="1" a="1"/>
  <c r="T72" i="1" a="1"/>
  <c r="U72" i="1" a="1"/>
  <c r="R71" i="1"/>
  <c r="O71" i="1" a="1"/>
  <c r="Q71" i="1" a="1"/>
  <c r="P71" i="1" a="1"/>
  <c r="Y71" i="1"/>
  <c r="Z71" i="1" s="1"/>
  <c r="V71" i="1"/>
  <c r="W71" i="1" a="1"/>
  <c r="X71" i="1" a="1"/>
  <c r="Z70" i="1"/>
  <c r="M40" i="3"/>
  <c r="L41" i="3"/>
  <c r="K42" i="3"/>
  <c r="J43" i="3"/>
  <c r="I44" i="3"/>
  <c r="H45" i="3"/>
  <c r="D45" i="3"/>
  <c r="F43" i="3"/>
  <c r="G42" i="3"/>
  <c r="B47" i="3"/>
  <c r="C46" i="3"/>
  <c r="E44" i="3"/>
  <c r="AB47" i="1"/>
  <c r="AA49" i="1"/>
  <c r="Q48" i="7" l="1" a="1"/>
  <c r="P48" i="7" a="1"/>
  <c r="D44" i="9"/>
  <c r="B44" i="10"/>
  <c r="D41" i="14"/>
  <c r="X46" i="7" a="1"/>
  <c r="Y45" i="7" a="1"/>
  <c r="C44" i="10" s="1"/>
  <c r="Z44" i="7" a="1"/>
  <c r="D43" i="10" s="1"/>
  <c r="AA43" i="7" a="1"/>
  <c r="E42" i="10" s="1"/>
  <c r="AB42" i="7" a="1"/>
  <c r="F41" i="10" s="1"/>
  <c r="AC41" i="7" a="1"/>
  <c r="G40" i="10" s="1"/>
  <c r="AL45" i="7" a="1"/>
  <c r="AI43" i="7" a="1"/>
  <c r="AH44" i="7" a="1"/>
  <c r="AG45" i="7" a="1"/>
  <c r="AF46" i="7" a="1"/>
  <c r="AE47" i="7" a="1"/>
  <c r="AE48" i="7" s="1" a="1"/>
  <c r="AE49" i="7" s="1" a="1"/>
  <c r="AE50" i="7" s="1" a="1"/>
  <c r="AE51" i="7" s="1" a="1"/>
  <c r="AE52" i="7" s="1" a="1"/>
  <c r="AE53" i="7" s="1" a="1"/>
  <c r="AE54" i="7" s="1" a="1"/>
  <c r="AE55" i="7" s="1" a="1"/>
  <c r="AE56" i="7" s="1" a="1"/>
  <c r="AE57" i="7" s="1" a="1"/>
  <c r="AE58" i="7" s="1" a="1"/>
  <c r="AE59" i="7" s="1" a="1"/>
  <c r="AE60" i="7" s="1" a="1"/>
  <c r="AE61" i="7" s="1" a="1"/>
  <c r="AE62" i="7" s="1" a="1"/>
  <c r="AE63" i="7" s="1" a="1"/>
  <c r="AE64" i="7" s="1" a="1"/>
  <c r="AE65" i="7" s="1" a="1"/>
  <c r="AE66" i="7" s="1" a="1"/>
  <c r="AE67" i="7" s="1" a="1"/>
  <c r="AE68" i="7" s="1" a="1"/>
  <c r="AE69" i="7" s="1" a="1"/>
  <c r="AE70" i="7" s="1" a="1"/>
  <c r="AE71" i="7" s="1" a="1"/>
  <c r="AE72" i="7" s="1" a="1"/>
  <c r="AE73" i="7" s="1" a="1"/>
  <c r="AE74" i="7" s="1" a="1"/>
  <c r="AE75" i="7" s="1" a="1"/>
  <c r="AE76" i="7" s="1" a="1"/>
  <c r="AE77" i="7" s="1" a="1"/>
  <c r="AE78" i="7" s="1" a="1"/>
  <c r="AE79" i="7" s="1" a="1"/>
  <c r="AE80" i="7" s="1" a="1"/>
  <c r="AE81" i="7" s="1" a="1"/>
  <c r="AE82" i="7" s="1" a="1"/>
  <c r="AE83" i="7" s="1" a="1"/>
  <c r="AE84" i="7" s="1" a="1"/>
  <c r="AE85" i="7" s="1" a="1"/>
  <c r="AE86" i="7" s="1" a="1"/>
  <c r="AE87" i="7" s="1" a="1"/>
  <c r="AE88" i="7" s="1" a="1"/>
  <c r="AE89" i="7" s="1" a="1"/>
  <c r="AE90" i="7" s="1" a="1"/>
  <c r="AE91" i="7" s="1" a="1"/>
  <c r="AE92" i="7" s="1" a="1"/>
  <c r="AE93" i="7" s="1" a="1"/>
  <c r="AE94" i="7" s="1" a="1"/>
  <c r="AE95" i="7" s="1" a="1"/>
  <c r="AE96" i="7" s="1" a="1"/>
  <c r="AE97" i="7" s="1" a="1"/>
  <c r="AE98" i="7" s="1" a="1"/>
  <c r="AE99" i="7" s="1" a="1"/>
  <c r="AE100" i="7" s="1" a="1"/>
  <c r="AE101" i="7" s="1" a="1"/>
  <c r="AE102" i="7" s="1" a="1"/>
  <c r="AE103" i="7" s="1" a="1"/>
  <c r="AE104" i="7" s="1" a="1"/>
  <c r="AE105" i="7" s="1" a="1"/>
  <c r="AE106" i="7" s="1" a="1"/>
  <c r="AE107" i="7" s="1" a="1"/>
  <c r="AE108" i="7" s="1" a="1"/>
  <c r="AE109" i="7" s="1" a="1"/>
  <c r="AE110" i="7" s="1" a="1"/>
  <c r="E42" i="14"/>
  <c r="E43" i="14"/>
  <c r="E44" i="14"/>
  <c r="E45" i="14"/>
  <c r="M41" i="10"/>
  <c r="I57" i="13"/>
  <c r="G58" i="13"/>
  <c r="E57" i="13"/>
  <c r="C57" i="13"/>
  <c r="H46" i="10"/>
  <c r="I45" i="10"/>
  <c r="J44" i="10"/>
  <c r="K43" i="10"/>
  <c r="L42" i="10"/>
  <c r="C77" i="12"/>
  <c r="E78" i="12"/>
  <c r="F78" i="12"/>
  <c r="D73" i="12"/>
  <c r="G79" i="12"/>
  <c r="B69" i="12"/>
  <c r="C70" i="11"/>
  <c r="E79" i="11"/>
  <c r="F80" i="11"/>
  <c r="B73" i="11"/>
  <c r="M49" i="7" a="1"/>
  <c r="L49" i="7" a="1"/>
  <c r="N49" i="7" s="1" a="1"/>
  <c r="O49" i="7" s="1" a="1"/>
  <c r="AK49" i="7"/>
  <c r="C49" i="9" s="1"/>
  <c r="K50" i="7"/>
  <c r="P72" i="1" a="1"/>
  <c r="R72" i="1"/>
  <c r="O72" i="1" a="1"/>
  <c r="Q72" i="1" a="1"/>
  <c r="L73" i="1" a="1"/>
  <c r="N73" i="1" a="1"/>
  <c r="M73" i="1" a="1"/>
  <c r="C72" i="5"/>
  <c r="D72" i="5"/>
  <c r="K74" i="1"/>
  <c r="S73" i="1" a="1"/>
  <c r="T73" i="1" a="1"/>
  <c r="U73" i="1" a="1"/>
  <c r="Y72" i="1"/>
  <c r="V72" i="1"/>
  <c r="W72" i="1" a="1"/>
  <c r="X72" i="1" a="1"/>
  <c r="M41" i="3"/>
  <c r="L42" i="3"/>
  <c r="K43" i="3"/>
  <c r="J44" i="3"/>
  <c r="I45" i="3"/>
  <c r="H46" i="3"/>
  <c r="B48" i="3"/>
  <c r="C47" i="3"/>
  <c r="D46" i="3"/>
  <c r="E45" i="3"/>
  <c r="F44" i="3"/>
  <c r="G43" i="3"/>
  <c r="AB48" i="1"/>
  <c r="AA50" i="1"/>
  <c r="Q49" i="7" l="1" a="1"/>
  <c r="P49" i="7" a="1"/>
  <c r="D45" i="9"/>
  <c r="B45" i="10"/>
  <c r="X48" i="7" a="1"/>
  <c r="X50" i="7" s="1" a="1"/>
  <c r="X52" i="7" s="1" a="1"/>
  <c r="X54" i="7" s="1" a="1"/>
  <c r="X56" i="7" s="1" a="1"/>
  <c r="X58" i="7" s="1" a="1"/>
  <c r="X60" i="7" s="1" a="1"/>
  <c r="X62" i="7" s="1" a="1"/>
  <c r="X64" i="7" s="1" a="1"/>
  <c r="X66" i="7" s="1" a="1"/>
  <c r="X68" i="7" s="1" a="1"/>
  <c r="X70" i="7" s="1" a="1"/>
  <c r="X72" i="7" s="1" a="1"/>
  <c r="X74" i="7" s="1" a="1"/>
  <c r="X76" i="7" s="1" a="1"/>
  <c r="X78" i="7" s="1" a="1"/>
  <c r="X80" i="7" s="1" a="1"/>
  <c r="X82" i="7" s="1" a="1"/>
  <c r="X84" i="7" s="1" a="1"/>
  <c r="X86" i="7" s="1" a="1"/>
  <c r="X88" i="7" s="1" a="1"/>
  <c r="X90" i="7" s="1" a="1"/>
  <c r="X92" i="7" s="1" a="1"/>
  <c r="X94" i="7" s="1" a="1"/>
  <c r="X96" i="7" s="1" a="1"/>
  <c r="X98" i="7" s="1" a="1"/>
  <c r="X100" i="7" s="1" a="1"/>
  <c r="X102" i="7" s="1" a="1"/>
  <c r="X104" i="7" s="1" a="1"/>
  <c r="X106" i="7" s="1" a="1"/>
  <c r="X108" i="7" s="1" a="1"/>
  <c r="X110" i="7" s="1" a="1"/>
  <c r="X47" i="7" a="1"/>
  <c r="Y46" i="7" a="1"/>
  <c r="C45" i="10" s="1"/>
  <c r="Z45" i="7" a="1"/>
  <c r="D44" i="10" s="1"/>
  <c r="AA44" i="7" a="1"/>
  <c r="E43" i="10" s="1"/>
  <c r="AB43" i="7" a="1"/>
  <c r="F42" i="10" s="1"/>
  <c r="AC42" i="7" a="1"/>
  <c r="G41" i="10" s="1"/>
  <c r="AL46" i="7" a="1"/>
  <c r="BD106" i="7"/>
  <c r="AI44" i="7" a="1"/>
  <c r="BD71" i="7"/>
  <c r="H70" i="14" s="1"/>
  <c r="AH45" i="7" a="1"/>
  <c r="BD58" i="7"/>
  <c r="H57" i="14" s="1"/>
  <c r="AG46" i="7" a="1"/>
  <c r="BD101" i="7"/>
  <c r="H100" i="14" s="1"/>
  <c r="AF47" i="7" a="1"/>
  <c r="AF48" i="7" s="1" a="1"/>
  <c r="AF49" i="7" s="1" a="1"/>
  <c r="AF50" i="7" s="1" a="1"/>
  <c r="AF51" i="7" s="1" a="1"/>
  <c r="AF52" i="7" s="1" a="1"/>
  <c r="AF53" i="7" s="1" a="1"/>
  <c r="AF54" i="7" s="1" a="1"/>
  <c r="AF55" i="7" s="1" a="1"/>
  <c r="AF56" i="7" s="1" a="1"/>
  <c r="AF57" i="7" s="1" a="1"/>
  <c r="AF58" i="7" s="1" a="1"/>
  <c r="AF59" i="7" s="1" a="1"/>
  <c r="AF60" i="7" s="1" a="1"/>
  <c r="AF61" i="7" s="1" a="1"/>
  <c r="AF62" i="7" s="1" a="1"/>
  <c r="AF63" i="7" s="1" a="1"/>
  <c r="AF64" i="7" s="1" a="1"/>
  <c r="AF65" i="7" s="1" a="1"/>
  <c r="AF66" i="7" s="1" a="1"/>
  <c r="AF67" i="7" s="1" a="1"/>
  <c r="AF68" i="7" s="1" a="1"/>
  <c r="AF69" i="7" s="1" a="1"/>
  <c r="AF70" i="7" s="1" a="1"/>
  <c r="AF71" i="7" s="1" a="1"/>
  <c r="AF72" i="7" s="1" a="1"/>
  <c r="AF73" i="7" s="1" a="1"/>
  <c r="AF74" i="7" s="1" a="1"/>
  <c r="AF75" i="7" s="1" a="1"/>
  <c r="AF76" i="7" s="1" a="1"/>
  <c r="AF77" i="7" s="1" a="1"/>
  <c r="AF78" i="7" s="1" a="1"/>
  <c r="AF79" i="7" s="1" a="1"/>
  <c r="AF80" i="7" s="1" a="1"/>
  <c r="AF81" i="7" s="1" a="1"/>
  <c r="AF82" i="7" s="1" a="1"/>
  <c r="AF83" i="7" s="1" a="1"/>
  <c r="AF84" i="7" s="1" a="1"/>
  <c r="AF85" i="7" s="1" a="1"/>
  <c r="AF86" i="7" s="1" a="1"/>
  <c r="AF87" i="7" s="1" a="1"/>
  <c r="AF88" i="7" s="1" a="1"/>
  <c r="AF89" i="7" s="1" a="1"/>
  <c r="AF90" i="7" s="1" a="1"/>
  <c r="AF91" i="7" s="1" a="1"/>
  <c r="AF92" i="7" s="1" a="1"/>
  <c r="AF93" i="7" s="1" a="1"/>
  <c r="AF94" i="7" s="1" a="1"/>
  <c r="AF95" i="7" s="1" a="1"/>
  <c r="AF96" i="7" s="1" a="1"/>
  <c r="AF97" i="7" s="1" a="1"/>
  <c r="AF98" i="7" s="1" a="1"/>
  <c r="AF99" i="7" s="1" a="1"/>
  <c r="AF100" i="7" s="1" a="1"/>
  <c r="AF101" i="7" s="1" a="1"/>
  <c r="AF102" i="7" s="1" a="1"/>
  <c r="AF103" i="7" s="1" a="1"/>
  <c r="AF104" i="7" s="1" a="1"/>
  <c r="AF105" i="7" s="1" a="1"/>
  <c r="AF106" i="7" s="1" a="1"/>
  <c r="AF107" i="7" s="1" a="1"/>
  <c r="AF108" i="7" s="1" a="1"/>
  <c r="AF109" i="7" s="1" a="1"/>
  <c r="AF110" i="7" s="1" a="1"/>
  <c r="BD82" i="7"/>
  <c r="H81" i="14" s="1"/>
  <c r="BD110" i="7"/>
  <c r="BD104" i="7"/>
  <c r="BD108" i="7"/>
  <c r="BD109" i="7"/>
  <c r="BD105" i="7"/>
  <c r="BD107" i="7"/>
  <c r="BD76" i="7"/>
  <c r="H75" i="14" s="1"/>
  <c r="BD57" i="7"/>
  <c r="H56" i="14" s="1"/>
  <c r="BD90" i="7"/>
  <c r="H89" i="14" s="1"/>
  <c r="BD96" i="7"/>
  <c r="H95" i="14" s="1"/>
  <c r="BD103" i="7"/>
  <c r="H102" i="14" s="1"/>
  <c r="BD61" i="7"/>
  <c r="H60" i="14" s="1"/>
  <c r="BD79" i="7"/>
  <c r="H78" i="14" s="1"/>
  <c r="BD92" i="7"/>
  <c r="H91" i="14" s="1"/>
  <c r="BD51" i="7"/>
  <c r="H50" i="14" s="1"/>
  <c r="BD56" i="7"/>
  <c r="H55" i="14" s="1"/>
  <c r="BD62" i="7"/>
  <c r="H61" i="14" s="1"/>
  <c r="BD67" i="7"/>
  <c r="H66" i="14" s="1"/>
  <c r="BD72" i="7"/>
  <c r="H71" i="14" s="1"/>
  <c r="BD77" i="7"/>
  <c r="H76" i="14" s="1"/>
  <c r="BD81" i="7"/>
  <c r="H80" i="14" s="1"/>
  <c r="BD87" i="7"/>
  <c r="H86" i="14" s="1"/>
  <c r="BD94" i="7"/>
  <c r="H93" i="14" s="1"/>
  <c r="BD99" i="7"/>
  <c r="H98" i="14" s="1"/>
  <c r="BD52" i="7"/>
  <c r="H51" i="14" s="1"/>
  <c r="BD59" i="7"/>
  <c r="H58" i="14" s="1"/>
  <c r="BD65" i="7"/>
  <c r="H64" i="14" s="1"/>
  <c r="BD70" i="7"/>
  <c r="H69" i="14" s="1"/>
  <c r="BD75" i="7"/>
  <c r="H74" i="14" s="1"/>
  <c r="BD80" i="7"/>
  <c r="H79" i="14" s="1"/>
  <c r="BD86" i="7"/>
  <c r="H85" i="14" s="1"/>
  <c r="BD91" i="7"/>
  <c r="H90" i="14" s="1"/>
  <c r="BD97" i="7"/>
  <c r="H96" i="14" s="1"/>
  <c r="BD102" i="7"/>
  <c r="H101" i="14" s="1"/>
  <c r="BD50" i="7"/>
  <c r="H49" i="14" s="1"/>
  <c r="BD85" i="7"/>
  <c r="H84" i="14" s="1"/>
  <c r="BD100" i="7"/>
  <c r="H99" i="14" s="1"/>
  <c r="BD55" i="7"/>
  <c r="H54" i="14" s="1"/>
  <c r="BD60" i="7"/>
  <c r="H59" i="14" s="1"/>
  <c r="BD64" i="7"/>
  <c r="H63" i="14" s="1"/>
  <c r="BD69" i="7"/>
  <c r="H68" i="14" s="1"/>
  <c r="BD74" i="7"/>
  <c r="H73" i="14" s="1"/>
  <c r="BD83" i="7"/>
  <c r="H82" i="14" s="1"/>
  <c r="BD88" i="7"/>
  <c r="H87" i="14" s="1"/>
  <c r="BD93" i="7"/>
  <c r="H92" i="14" s="1"/>
  <c r="BD98" i="7"/>
  <c r="H97" i="14" s="1"/>
  <c r="BD54" i="7"/>
  <c r="H53" i="14" s="1"/>
  <c r="BD63" i="7"/>
  <c r="H62" i="14" s="1"/>
  <c r="BD68" i="7"/>
  <c r="H67" i="14" s="1"/>
  <c r="BD73" i="7"/>
  <c r="H72" i="14" s="1"/>
  <c r="BD78" i="7"/>
  <c r="H77" i="14" s="1"/>
  <c r="BD84" i="7"/>
  <c r="H83" i="14" s="1"/>
  <c r="BD89" i="7"/>
  <c r="H88" i="14" s="1"/>
  <c r="BD95" i="7"/>
  <c r="H94" i="14" s="1"/>
  <c r="BD53" i="7"/>
  <c r="H52" i="14" s="1"/>
  <c r="BD66" i="7"/>
  <c r="H65" i="14" s="1"/>
  <c r="M42" i="10"/>
  <c r="I58" i="13"/>
  <c r="G59" i="13"/>
  <c r="E58" i="13"/>
  <c r="C58" i="13"/>
  <c r="H47" i="10"/>
  <c r="I46" i="10"/>
  <c r="J45" i="10"/>
  <c r="K44" i="10"/>
  <c r="L43" i="10"/>
  <c r="C78" i="12"/>
  <c r="E79" i="12"/>
  <c r="F79" i="12"/>
  <c r="D74" i="12"/>
  <c r="G80" i="12"/>
  <c r="B70" i="12"/>
  <c r="C71" i="11"/>
  <c r="E80" i="11"/>
  <c r="F81" i="11"/>
  <c r="B74" i="11"/>
  <c r="M50" i="7" a="1"/>
  <c r="L50" i="7" a="1"/>
  <c r="N50" i="7" s="1" a="1"/>
  <c r="O50" i="7" s="1" a="1"/>
  <c r="AK50" i="7"/>
  <c r="C50" i="9" s="1"/>
  <c r="K51" i="7"/>
  <c r="V73" i="1"/>
  <c r="P73" i="1" a="1"/>
  <c r="R73" i="1"/>
  <c r="O73" i="1" a="1"/>
  <c r="Q73" i="1" a="1"/>
  <c r="L74" i="1" a="1"/>
  <c r="N74" i="1" a="1"/>
  <c r="M74" i="1" a="1"/>
  <c r="C73" i="5"/>
  <c r="D73" i="5"/>
  <c r="K75" i="1"/>
  <c r="S74" i="1" a="1"/>
  <c r="T74" i="1" a="1"/>
  <c r="U74" i="1" a="1"/>
  <c r="Y73" i="1"/>
  <c r="W73" i="1" a="1"/>
  <c r="X73" i="1" a="1"/>
  <c r="Z72" i="1"/>
  <c r="M42" i="3"/>
  <c r="L43" i="3"/>
  <c r="K44" i="3"/>
  <c r="J45" i="3"/>
  <c r="I46" i="3"/>
  <c r="H47" i="3"/>
  <c r="C48" i="3"/>
  <c r="F45" i="3"/>
  <c r="G44" i="3"/>
  <c r="D47" i="3"/>
  <c r="E46" i="3"/>
  <c r="B49" i="3"/>
  <c r="AB49" i="1"/>
  <c r="AA51" i="1"/>
  <c r="P50" i="7" l="1" a="1"/>
  <c r="Q50" i="7" a="1"/>
  <c r="D46" i="9"/>
  <c r="B46" i="10"/>
  <c r="X49" i="7" a="1"/>
  <c r="Y47" i="7" a="1"/>
  <c r="Z46" i="7" a="1"/>
  <c r="AA45" i="7" a="1"/>
  <c r="AB44" i="7" a="1"/>
  <c r="AC43" i="7" a="1"/>
  <c r="B47" i="10"/>
  <c r="AL47" i="7" a="1"/>
  <c r="AI45" i="7" a="1"/>
  <c r="AH46" i="7" a="1"/>
  <c r="AG47" i="7" a="1"/>
  <c r="AG48" i="7" s="1" a="1"/>
  <c r="AG49" i="7" s="1" a="1"/>
  <c r="AG50" i="7" s="1" a="1"/>
  <c r="AG51" i="7" s="1" a="1"/>
  <c r="AG52" i="7" s="1" a="1"/>
  <c r="AG53" i="7" s="1" a="1"/>
  <c r="AG54" i="7" s="1" a="1"/>
  <c r="AG55" i="7" s="1" a="1"/>
  <c r="AG56" i="7" s="1" a="1"/>
  <c r="AG57" i="7" s="1" a="1"/>
  <c r="AG58" i="7" s="1" a="1"/>
  <c r="AG59" i="7" s="1" a="1"/>
  <c r="AG60" i="7" s="1" a="1"/>
  <c r="AG61" i="7" s="1" a="1"/>
  <c r="AG62" i="7" s="1" a="1"/>
  <c r="AG63" i="7" s="1" a="1"/>
  <c r="AG64" i="7" s="1" a="1"/>
  <c r="AG65" i="7" s="1" a="1"/>
  <c r="AG66" i="7" s="1" a="1"/>
  <c r="AG67" i="7" s="1" a="1"/>
  <c r="AG68" i="7" s="1" a="1"/>
  <c r="AG69" i="7" s="1" a="1"/>
  <c r="AG70" i="7" s="1" a="1"/>
  <c r="AG71" i="7" s="1" a="1"/>
  <c r="AG72" i="7" s="1" a="1"/>
  <c r="AG73" i="7" s="1" a="1"/>
  <c r="AG74" i="7" s="1" a="1"/>
  <c r="AG75" i="7" s="1" a="1"/>
  <c r="AG76" i="7" s="1" a="1"/>
  <c r="AG77" i="7" s="1" a="1"/>
  <c r="AG78" i="7" s="1" a="1"/>
  <c r="AG79" i="7" s="1" a="1"/>
  <c r="AG80" i="7" s="1" a="1"/>
  <c r="AG81" i="7" s="1" a="1"/>
  <c r="AG82" i="7" s="1" a="1"/>
  <c r="AG83" i="7" s="1" a="1"/>
  <c r="AG84" i="7" s="1" a="1"/>
  <c r="AG85" i="7" s="1" a="1"/>
  <c r="AG86" i="7" s="1" a="1"/>
  <c r="AG87" i="7" s="1" a="1"/>
  <c r="AG88" i="7" s="1" a="1"/>
  <c r="AG89" i="7" s="1" a="1"/>
  <c r="AG90" i="7" s="1" a="1"/>
  <c r="AG91" i="7" s="1" a="1"/>
  <c r="AG92" i="7" s="1" a="1"/>
  <c r="AG93" i="7" s="1" a="1"/>
  <c r="AG94" i="7" s="1" a="1"/>
  <c r="AG95" i="7" s="1" a="1"/>
  <c r="AG96" i="7" s="1" a="1"/>
  <c r="AG97" i="7" s="1" a="1"/>
  <c r="AG98" i="7" s="1" a="1"/>
  <c r="AG99" i="7" s="1" a="1"/>
  <c r="AG100" i="7" s="1" a="1"/>
  <c r="AG101" i="7" s="1" a="1"/>
  <c r="AG102" i="7" s="1" a="1"/>
  <c r="AG103" i="7" s="1" a="1"/>
  <c r="AG104" i="7" s="1" a="1"/>
  <c r="AG105" i="7" s="1" a="1"/>
  <c r="AG106" i="7" s="1" a="1"/>
  <c r="AG107" i="7" s="1" a="1"/>
  <c r="AG108" i="7" s="1" a="1"/>
  <c r="AG109" i="7" s="1" a="1"/>
  <c r="AG110" i="7" s="1" a="1"/>
  <c r="M43" i="10"/>
  <c r="I59" i="13"/>
  <c r="G60" i="13"/>
  <c r="E59" i="13"/>
  <c r="C59" i="13"/>
  <c r="H48" i="10"/>
  <c r="I47" i="10"/>
  <c r="J46" i="10"/>
  <c r="K45" i="10"/>
  <c r="L44" i="10"/>
  <c r="C79" i="12"/>
  <c r="E80" i="12"/>
  <c r="F80" i="12"/>
  <c r="D75" i="12"/>
  <c r="G81" i="12"/>
  <c r="B71" i="12"/>
  <c r="C72" i="11"/>
  <c r="E81" i="11"/>
  <c r="F82" i="11"/>
  <c r="B75" i="11"/>
  <c r="M51" i="7" a="1"/>
  <c r="L51" i="7" a="1"/>
  <c r="N51" i="7" s="1" a="1"/>
  <c r="O51" i="7" s="1" a="1"/>
  <c r="AK51" i="7"/>
  <c r="C51" i="9" s="1"/>
  <c r="K52" i="7"/>
  <c r="R74" i="1"/>
  <c r="O74" i="1" a="1"/>
  <c r="P74" i="1" a="1"/>
  <c r="Q74" i="1" a="1"/>
  <c r="N75" i="1" a="1"/>
  <c r="L75" i="1" a="1"/>
  <c r="M75" i="1" a="1"/>
  <c r="C74" i="5"/>
  <c r="K76" i="1"/>
  <c r="D74" i="5"/>
  <c r="S75" i="1" a="1"/>
  <c r="T75" i="1" a="1"/>
  <c r="U75" i="1" a="1"/>
  <c r="V74" i="1"/>
  <c r="Y74" i="1"/>
  <c r="Z74" i="1" s="1"/>
  <c r="W74" i="1" a="1"/>
  <c r="X74" i="1" a="1"/>
  <c r="Z73" i="1"/>
  <c r="M43" i="3"/>
  <c r="L44" i="3"/>
  <c r="K45" i="3"/>
  <c r="J46" i="3"/>
  <c r="I47" i="3"/>
  <c r="H48" i="3"/>
  <c r="C49" i="3"/>
  <c r="D48" i="3"/>
  <c r="E47" i="3"/>
  <c r="F46" i="3"/>
  <c r="G45" i="3"/>
  <c r="B50" i="3"/>
  <c r="AB50" i="1"/>
  <c r="AA52" i="1"/>
  <c r="F43" i="10" l="1"/>
  <c r="AB45" i="7" a="1"/>
  <c r="G42" i="10"/>
  <c r="AC44" i="7" a="1"/>
  <c r="P51" i="7" a="1"/>
  <c r="Q51" i="7" a="1"/>
  <c r="D45" i="10"/>
  <c r="Z47" i="7" a="1"/>
  <c r="E44" i="10"/>
  <c r="AA46" i="7" a="1"/>
  <c r="D47" i="9"/>
  <c r="D43" i="14"/>
  <c r="D45" i="14"/>
  <c r="D44" i="14"/>
  <c r="D42" i="14"/>
  <c r="X51" i="7" a="1"/>
  <c r="X53" i="7" s="1" a="1"/>
  <c r="X55" i="7" s="1" a="1"/>
  <c r="X57" i="7" s="1" a="1"/>
  <c r="X59" i="7" s="1" a="1"/>
  <c r="X61" i="7" s="1" a="1"/>
  <c r="X63" i="7" s="1" a="1"/>
  <c r="X65" i="7" s="1" a="1"/>
  <c r="X67" i="7" s="1" a="1"/>
  <c r="X69" i="7" s="1" a="1"/>
  <c r="X71" i="7" s="1" a="1"/>
  <c r="X73" i="7" s="1" a="1"/>
  <c r="X75" i="7" s="1" a="1"/>
  <c r="X77" i="7" s="1" a="1"/>
  <c r="X79" i="7" s="1" a="1"/>
  <c r="X81" i="7" s="1" a="1"/>
  <c r="X83" i="7" s="1" a="1"/>
  <c r="X85" i="7" s="1" a="1"/>
  <c r="X87" i="7" s="1" a="1"/>
  <c r="X89" i="7" s="1" a="1"/>
  <c r="X91" i="7" s="1" a="1"/>
  <c r="X93" i="7" s="1" a="1"/>
  <c r="X95" i="7" s="1" a="1"/>
  <c r="X97" i="7" s="1" a="1"/>
  <c r="X99" i="7" s="1" a="1"/>
  <c r="X101" i="7" s="1" a="1"/>
  <c r="X103" i="7" s="1" a="1"/>
  <c r="X105" i="7" s="1" a="1"/>
  <c r="X107" i="7" s="1" a="1"/>
  <c r="X109" i="7" s="1" a="1"/>
  <c r="C46" i="10"/>
  <c r="Y48" i="7" a="1"/>
  <c r="B48" i="10"/>
  <c r="AL48" i="7" a="1"/>
  <c r="AI46" i="7" a="1"/>
  <c r="AH47" i="7" a="1"/>
  <c r="AH48" i="7" s="1" a="1"/>
  <c r="AH49" i="7" s="1" a="1"/>
  <c r="AH50" i="7" s="1" a="1"/>
  <c r="AH51" i="7" s="1" a="1"/>
  <c r="AH52" i="7" s="1" a="1"/>
  <c r="AH53" i="7" s="1" a="1"/>
  <c r="AH54" i="7" s="1" a="1"/>
  <c r="AH55" i="7" s="1" a="1"/>
  <c r="AH56" i="7" s="1" a="1"/>
  <c r="AH57" i="7" s="1" a="1"/>
  <c r="AH58" i="7" s="1" a="1"/>
  <c r="AH59" i="7" s="1" a="1"/>
  <c r="AH60" i="7" s="1" a="1"/>
  <c r="AH61" i="7" s="1" a="1"/>
  <c r="AH62" i="7" s="1" a="1"/>
  <c r="AH63" i="7" s="1" a="1"/>
  <c r="AH64" i="7" s="1" a="1"/>
  <c r="AH65" i="7" s="1" a="1"/>
  <c r="AH66" i="7" s="1" a="1"/>
  <c r="AH67" i="7" s="1" a="1"/>
  <c r="AH68" i="7" s="1" a="1"/>
  <c r="AH69" i="7" s="1" a="1"/>
  <c r="AH70" i="7" s="1" a="1"/>
  <c r="AH71" i="7" s="1" a="1"/>
  <c r="AH72" i="7" s="1" a="1"/>
  <c r="AH73" i="7" s="1" a="1"/>
  <c r="AH74" i="7" s="1" a="1"/>
  <c r="AH75" i="7" s="1" a="1"/>
  <c r="AH76" i="7" s="1" a="1"/>
  <c r="AH77" i="7" s="1" a="1"/>
  <c r="AH78" i="7" s="1" a="1"/>
  <c r="AH79" i="7" s="1" a="1"/>
  <c r="AH80" i="7" s="1" a="1"/>
  <c r="AH81" i="7" s="1" a="1"/>
  <c r="AH82" i="7" s="1" a="1"/>
  <c r="AH83" i="7" s="1" a="1"/>
  <c r="AH84" i="7" s="1" a="1"/>
  <c r="AH85" i="7" s="1" a="1"/>
  <c r="AH86" i="7" s="1" a="1"/>
  <c r="AH87" i="7" s="1" a="1"/>
  <c r="AH88" i="7" s="1" a="1"/>
  <c r="AH89" i="7" s="1" a="1"/>
  <c r="AH90" i="7" s="1" a="1"/>
  <c r="AH91" i="7" s="1" a="1"/>
  <c r="AH92" i="7" s="1" a="1"/>
  <c r="AH93" i="7" s="1" a="1"/>
  <c r="AH94" i="7" s="1" a="1"/>
  <c r="AH95" i="7" s="1" a="1"/>
  <c r="AH96" i="7" s="1" a="1"/>
  <c r="AH97" i="7" s="1" a="1"/>
  <c r="AH98" i="7" s="1" a="1"/>
  <c r="AH99" i="7" s="1" a="1"/>
  <c r="AH100" i="7" s="1" a="1"/>
  <c r="AH101" i="7" s="1" a="1"/>
  <c r="AH102" i="7" s="1" a="1"/>
  <c r="AH103" i="7" s="1" a="1"/>
  <c r="AH104" i="7" s="1" a="1"/>
  <c r="AH105" i="7" s="1" a="1"/>
  <c r="AH106" i="7" s="1" a="1"/>
  <c r="AH107" i="7" s="1" a="1"/>
  <c r="AH108" i="7" s="1" a="1"/>
  <c r="AH109" i="7" s="1" a="1"/>
  <c r="AH110" i="7" s="1" a="1"/>
  <c r="M44" i="10"/>
  <c r="I60" i="13"/>
  <c r="G61" i="13"/>
  <c r="E60" i="13"/>
  <c r="C60" i="13"/>
  <c r="H49" i="10"/>
  <c r="B49" i="10"/>
  <c r="I48" i="10"/>
  <c r="J47" i="10"/>
  <c r="K46" i="10"/>
  <c r="L45" i="10"/>
  <c r="C80" i="12"/>
  <c r="E81" i="12"/>
  <c r="F81" i="12"/>
  <c r="D76" i="12"/>
  <c r="G82" i="12"/>
  <c r="B72" i="12"/>
  <c r="C73" i="11"/>
  <c r="E82" i="11"/>
  <c r="F83" i="11"/>
  <c r="B76" i="11"/>
  <c r="L52" i="7" a="1"/>
  <c r="N52" i="7" s="1" a="1"/>
  <c r="O52" i="7" s="1" a="1"/>
  <c r="M52" i="7" a="1"/>
  <c r="AK52" i="7"/>
  <c r="C52" i="9" s="1"/>
  <c r="K53" i="7"/>
  <c r="R75" i="1"/>
  <c r="O75" i="1" a="1"/>
  <c r="P75" i="1" a="1"/>
  <c r="Q75" i="1" a="1"/>
  <c r="L76" i="1" a="1"/>
  <c r="N76" i="1" a="1"/>
  <c r="M76" i="1" a="1"/>
  <c r="D75" i="5"/>
  <c r="C75" i="5"/>
  <c r="K77" i="1"/>
  <c r="S76" i="1" a="1"/>
  <c r="T76" i="1" a="1"/>
  <c r="U76" i="1" a="1"/>
  <c r="Y75" i="1"/>
  <c r="Z75" i="1" s="1"/>
  <c r="V75" i="1"/>
  <c r="W75" i="1" a="1"/>
  <c r="X75" i="1" a="1"/>
  <c r="M44" i="3"/>
  <c r="L45" i="3"/>
  <c r="K46" i="3"/>
  <c r="J47" i="3"/>
  <c r="I48" i="3"/>
  <c r="H49" i="3"/>
  <c r="D49" i="3"/>
  <c r="F47" i="3"/>
  <c r="B51" i="3"/>
  <c r="C50" i="3"/>
  <c r="E48" i="3"/>
  <c r="G46" i="3"/>
  <c r="AB51" i="1"/>
  <c r="AA53" i="1"/>
  <c r="F44" i="10" l="1"/>
  <c r="AB46" i="7" a="1"/>
  <c r="G43" i="10"/>
  <c r="AC45" i="7" a="1"/>
  <c r="AI47" i="7" a="1"/>
  <c r="AI48" i="7" s="1" a="1"/>
  <c r="AI49" i="7" s="1" a="1"/>
  <c r="AI50" i="7" s="1" a="1"/>
  <c r="AI51" i="7" s="1" a="1"/>
  <c r="AI52" i="7" s="1" a="1"/>
  <c r="AI53" i="7" s="1" a="1"/>
  <c r="AI54" i="7" s="1" a="1"/>
  <c r="AI55" i="7" s="1" a="1"/>
  <c r="AI56" i="7" s="1" a="1"/>
  <c r="AI57" i="7" s="1" a="1"/>
  <c r="AI58" i="7" s="1" a="1"/>
  <c r="AI59" i="7" s="1" a="1"/>
  <c r="AI60" i="7" s="1" a="1"/>
  <c r="AI61" i="7" s="1" a="1"/>
  <c r="AI62" i="7" s="1" a="1"/>
  <c r="AI63" i="7" s="1" a="1"/>
  <c r="AI64" i="7" s="1" a="1"/>
  <c r="AI65" i="7" s="1" a="1"/>
  <c r="AI66" i="7" s="1" a="1"/>
  <c r="AI67" i="7" s="1" a="1"/>
  <c r="AI68" i="7" s="1" a="1"/>
  <c r="AI69" i="7" s="1" a="1"/>
  <c r="AI70" i="7" s="1" a="1"/>
  <c r="AI71" i="7" s="1" a="1"/>
  <c r="AI72" i="7" s="1" a="1"/>
  <c r="AI73" i="7" s="1" a="1"/>
  <c r="AI74" i="7" s="1" a="1"/>
  <c r="AI75" i="7" s="1" a="1"/>
  <c r="AI76" i="7" s="1" a="1"/>
  <c r="AI77" i="7" s="1" a="1"/>
  <c r="AI78" i="7" s="1" a="1"/>
  <c r="AI79" i="7" s="1" a="1"/>
  <c r="AI80" i="7" s="1" a="1"/>
  <c r="AI81" i="7" s="1" a="1"/>
  <c r="AI82" i="7" s="1" a="1"/>
  <c r="AI83" i="7" s="1" a="1"/>
  <c r="AI84" i="7" s="1" a="1"/>
  <c r="AI85" i="7" s="1" a="1"/>
  <c r="AI86" i="7" s="1" a="1"/>
  <c r="AI87" i="7" s="1" a="1"/>
  <c r="AI88" i="7" s="1" a="1"/>
  <c r="AI89" i="7" s="1" a="1"/>
  <c r="AI90" i="7" s="1" a="1"/>
  <c r="AI91" i="7" s="1" a="1"/>
  <c r="AI92" i="7" s="1" a="1"/>
  <c r="AI93" i="7" s="1" a="1"/>
  <c r="AI94" i="7" s="1" a="1"/>
  <c r="AI95" i="7" s="1" a="1"/>
  <c r="AI96" i="7" s="1" a="1"/>
  <c r="AI97" i="7" s="1" a="1"/>
  <c r="AI98" i="7" s="1" a="1"/>
  <c r="AI99" i="7" s="1" a="1"/>
  <c r="AI100" i="7" s="1" a="1"/>
  <c r="AI101" i="7" s="1" a="1"/>
  <c r="AI102" i="7" s="1" a="1"/>
  <c r="AI103" i="7" s="1" a="1"/>
  <c r="AI104" i="7" s="1" a="1"/>
  <c r="AI105" i="7" s="1" a="1"/>
  <c r="AI106" i="7" s="1" a="1"/>
  <c r="AI107" i="7" s="1" a="1"/>
  <c r="AI108" i="7" s="1" a="1"/>
  <c r="AI109" i="7" s="1" a="1"/>
  <c r="AI110" i="7" s="1" a="1"/>
  <c r="Q52" i="7" a="1"/>
  <c r="P52" i="7" a="1"/>
  <c r="D46" i="10"/>
  <c r="Z48" i="7" a="1"/>
  <c r="E45" i="10"/>
  <c r="AA47" i="7" a="1"/>
  <c r="D48" i="9"/>
  <c r="C47" i="10"/>
  <c r="Y49" i="7" a="1"/>
  <c r="AL49" i="7" a="1"/>
  <c r="M45" i="10"/>
  <c r="I61" i="13"/>
  <c r="G62" i="13"/>
  <c r="E61" i="13"/>
  <c r="C61" i="13"/>
  <c r="H50" i="10"/>
  <c r="B50" i="10"/>
  <c r="I49" i="10"/>
  <c r="J48" i="10"/>
  <c r="K47" i="10"/>
  <c r="L46" i="10"/>
  <c r="C81" i="12"/>
  <c r="E82" i="12"/>
  <c r="F82" i="12"/>
  <c r="D77" i="12"/>
  <c r="G83" i="12"/>
  <c r="B73" i="12"/>
  <c r="C74" i="11"/>
  <c r="E83" i="11"/>
  <c r="F84" i="11"/>
  <c r="B77" i="11"/>
  <c r="M53" i="7" a="1"/>
  <c r="L53" i="7" a="1"/>
  <c r="N53" i="7" s="1" a="1"/>
  <c r="O53" i="7" s="1" a="1"/>
  <c r="AK53" i="7"/>
  <c r="C53" i="9" s="1"/>
  <c r="K54" i="7"/>
  <c r="R76" i="1"/>
  <c r="O76" i="1" a="1"/>
  <c r="P76" i="1" a="1"/>
  <c r="Q76" i="1" a="1"/>
  <c r="L77" i="1" a="1"/>
  <c r="N77" i="1" a="1"/>
  <c r="M77" i="1" a="1"/>
  <c r="C76" i="5"/>
  <c r="K78" i="1"/>
  <c r="D76" i="5"/>
  <c r="S77" i="1" a="1"/>
  <c r="T77" i="1" a="1"/>
  <c r="U77" i="1" a="1"/>
  <c r="V76" i="1"/>
  <c r="Y76" i="1"/>
  <c r="W76" i="1" a="1"/>
  <c r="X76" i="1" a="1"/>
  <c r="M45" i="3"/>
  <c r="L46" i="3"/>
  <c r="K47" i="3"/>
  <c r="J48" i="3"/>
  <c r="I49" i="3"/>
  <c r="H50" i="3"/>
  <c r="E49" i="3"/>
  <c r="B52" i="3"/>
  <c r="C51" i="3"/>
  <c r="D50" i="3"/>
  <c r="F48" i="3"/>
  <c r="G47" i="3"/>
  <c r="AB52" i="1"/>
  <c r="AA54" i="1"/>
  <c r="F45" i="10" l="1"/>
  <c r="AB47" i="7" a="1"/>
  <c r="G44" i="10"/>
  <c r="AC46" i="7" a="1"/>
  <c r="P53" i="7" a="1"/>
  <c r="Q53" i="7" a="1"/>
  <c r="D47" i="10"/>
  <c r="Z49" i="7" a="1"/>
  <c r="E46" i="10"/>
  <c r="AA48" i="7" a="1"/>
  <c r="D49" i="9"/>
  <c r="C48" i="10"/>
  <c r="Y50" i="7" a="1"/>
  <c r="AL50" i="7" a="1"/>
  <c r="M46" i="10"/>
  <c r="I62" i="13"/>
  <c r="G63" i="13"/>
  <c r="E62" i="13"/>
  <c r="C62" i="13"/>
  <c r="H51" i="10"/>
  <c r="B51" i="10"/>
  <c r="I50" i="10"/>
  <c r="J49" i="10"/>
  <c r="K48" i="10"/>
  <c r="L47" i="10"/>
  <c r="M47" i="10"/>
  <c r="C82" i="12"/>
  <c r="E83" i="12"/>
  <c r="F83" i="12"/>
  <c r="D78" i="12"/>
  <c r="G84" i="12"/>
  <c r="B74" i="12"/>
  <c r="C75" i="11"/>
  <c r="E84" i="11"/>
  <c r="F85" i="11"/>
  <c r="B78" i="11"/>
  <c r="M54" i="7" a="1"/>
  <c r="L54" i="7" a="1"/>
  <c r="N54" i="7" s="1" a="1"/>
  <c r="O54" i="7" s="1" a="1"/>
  <c r="AK54" i="7"/>
  <c r="C54" i="9" s="1"/>
  <c r="K55" i="7"/>
  <c r="R77" i="1"/>
  <c r="O77" i="1" a="1"/>
  <c r="P77" i="1" a="1"/>
  <c r="Q77" i="1" a="1"/>
  <c r="L78" i="1" a="1"/>
  <c r="N78" i="1" a="1"/>
  <c r="M78" i="1" a="1"/>
  <c r="C77" i="5"/>
  <c r="K79" i="1"/>
  <c r="D77" i="5"/>
  <c r="S78" i="1" a="1"/>
  <c r="T78" i="1" a="1"/>
  <c r="U78" i="1" a="1"/>
  <c r="V77" i="1"/>
  <c r="Y77" i="1"/>
  <c r="Z77" i="1" s="1"/>
  <c r="W77" i="1" a="1"/>
  <c r="X77" i="1" a="1"/>
  <c r="Z76" i="1"/>
  <c r="M46" i="3"/>
  <c r="L47" i="3"/>
  <c r="K48" i="3"/>
  <c r="J49" i="3"/>
  <c r="I50" i="3"/>
  <c r="H51" i="3"/>
  <c r="E50" i="3"/>
  <c r="F49" i="3"/>
  <c r="C52" i="3"/>
  <c r="D51" i="3"/>
  <c r="G48" i="3"/>
  <c r="B53" i="3"/>
  <c r="AB53" i="1"/>
  <c r="AA55" i="1"/>
  <c r="F46" i="10" l="1"/>
  <c r="AB48" i="7" a="1"/>
  <c r="G45" i="10"/>
  <c r="AC47" i="7" a="1"/>
  <c r="Q54" i="7" a="1"/>
  <c r="P54" i="7" a="1"/>
  <c r="D48" i="10"/>
  <c r="Z50" i="7" a="1"/>
  <c r="E47" i="10"/>
  <c r="AA49" i="7" a="1"/>
  <c r="D50" i="9"/>
  <c r="C49" i="10"/>
  <c r="Y51" i="7" a="1"/>
  <c r="AL51" i="7" a="1"/>
  <c r="I63" i="13"/>
  <c r="G64" i="13"/>
  <c r="E63" i="13"/>
  <c r="C63" i="13"/>
  <c r="H52" i="10"/>
  <c r="B52" i="10"/>
  <c r="I51" i="10"/>
  <c r="J50" i="10"/>
  <c r="K49" i="10"/>
  <c r="L48" i="10"/>
  <c r="M48" i="10"/>
  <c r="C83" i="12"/>
  <c r="E84" i="12"/>
  <c r="F84" i="12"/>
  <c r="D79" i="12"/>
  <c r="G85" i="12"/>
  <c r="B75" i="12"/>
  <c r="C76" i="11"/>
  <c r="E85" i="11"/>
  <c r="F86" i="11"/>
  <c r="B79" i="11"/>
  <c r="M55" i="7" a="1"/>
  <c r="L55" i="7" a="1"/>
  <c r="N55" i="7" s="1" a="1"/>
  <c r="O55" i="7" s="1" a="1"/>
  <c r="AK55" i="7"/>
  <c r="C55" i="9" s="1"/>
  <c r="K56" i="7"/>
  <c r="R78" i="1"/>
  <c r="O78" i="1" a="1"/>
  <c r="P78" i="1" a="1"/>
  <c r="Q78" i="1" a="1"/>
  <c r="L79" i="1" a="1"/>
  <c r="N79" i="1" a="1"/>
  <c r="M79" i="1" a="1"/>
  <c r="C78" i="5"/>
  <c r="D78" i="5"/>
  <c r="K80" i="1"/>
  <c r="S79" i="1" a="1"/>
  <c r="T79" i="1" a="1"/>
  <c r="U79" i="1" a="1"/>
  <c r="Y78" i="1"/>
  <c r="V78" i="1"/>
  <c r="W78" i="1" a="1"/>
  <c r="X78" i="1" a="1"/>
  <c r="M47" i="3"/>
  <c r="L48" i="3"/>
  <c r="K49" i="3"/>
  <c r="J50" i="3"/>
  <c r="I51" i="3"/>
  <c r="H52" i="3"/>
  <c r="D52" i="3"/>
  <c r="E51" i="3"/>
  <c r="B54" i="3"/>
  <c r="C53" i="3"/>
  <c r="F50" i="3"/>
  <c r="G49" i="3"/>
  <c r="AB54" i="1"/>
  <c r="AA56" i="1"/>
  <c r="F47" i="10" l="1"/>
  <c r="AB49" i="7" a="1"/>
  <c r="G46" i="10"/>
  <c r="AC48" i="7" a="1"/>
  <c r="P55" i="7" a="1"/>
  <c r="Q55" i="7" a="1"/>
  <c r="D49" i="10"/>
  <c r="Z51" i="7" a="1"/>
  <c r="E48" i="10"/>
  <c r="AA50" i="7" a="1"/>
  <c r="D51" i="9"/>
  <c r="C50" i="10"/>
  <c r="Y52" i="7" a="1"/>
  <c r="AL52" i="7" a="1"/>
  <c r="I64" i="13"/>
  <c r="G65" i="13"/>
  <c r="E64" i="13"/>
  <c r="C64" i="13"/>
  <c r="H53" i="10"/>
  <c r="B53" i="10"/>
  <c r="I52" i="10"/>
  <c r="J51" i="10"/>
  <c r="K50" i="10"/>
  <c r="L49" i="10"/>
  <c r="M49" i="10"/>
  <c r="C84" i="12"/>
  <c r="E85" i="12"/>
  <c r="F85" i="12"/>
  <c r="D80" i="12"/>
  <c r="G86" i="12"/>
  <c r="B76" i="12"/>
  <c r="C77" i="11"/>
  <c r="E86" i="11"/>
  <c r="F87" i="11"/>
  <c r="B80" i="11"/>
  <c r="M56" i="7" a="1"/>
  <c r="L56" i="7" a="1"/>
  <c r="N56" i="7" s="1" a="1"/>
  <c r="O56" i="7" s="1" a="1"/>
  <c r="AK56" i="7"/>
  <c r="C56" i="9" s="1"/>
  <c r="K57" i="7"/>
  <c r="Z78" i="1"/>
  <c r="R79" i="1"/>
  <c r="P79" i="1" a="1"/>
  <c r="O79" i="1" a="1"/>
  <c r="Q79" i="1" a="1"/>
  <c r="N80" i="1" a="1"/>
  <c r="C79" i="5"/>
  <c r="L80" i="1" a="1"/>
  <c r="M80" i="1" a="1"/>
  <c r="K81" i="1"/>
  <c r="D79" i="5"/>
  <c r="S80" i="1" a="1"/>
  <c r="T80" i="1" a="1"/>
  <c r="U80" i="1" a="1"/>
  <c r="Y79" i="1"/>
  <c r="Z79" i="1" s="1"/>
  <c r="V79" i="1"/>
  <c r="W79" i="1" a="1"/>
  <c r="X79" i="1" a="1"/>
  <c r="M48" i="3"/>
  <c r="L49" i="3"/>
  <c r="K50" i="3"/>
  <c r="J51" i="3"/>
  <c r="I52" i="3"/>
  <c r="H53" i="3"/>
  <c r="E52" i="3"/>
  <c r="F51" i="3"/>
  <c r="G50" i="3"/>
  <c r="B55" i="3"/>
  <c r="C54" i="3"/>
  <c r="D53" i="3"/>
  <c r="AB55" i="1"/>
  <c r="AA57" i="1"/>
  <c r="F48" i="10" l="1"/>
  <c r="AB50" i="7" a="1"/>
  <c r="G47" i="10"/>
  <c r="AC49" i="7" a="1"/>
  <c r="P56" i="7" a="1"/>
  <c r="Q56" i="7" a="1"/>
  <c r="D50" i="10"/>
  <c r="Z52" i="7" a="1"/>
  <c r="E49" i="10"/>
  <c r="AA51" i="7" a="1"/>
  <c r="D52" i="9"/>
  <c r="C51" i="10"/>
  <c r="Y53" i="7" a="1"/>
  <c r="AL53" i="7" a="1"/>
  <c r="I65" i="13"/>
  <c r="G66" i="13"/>
  <c r="E65" i="13"/>
  <c r="C65" i="13"/>
  <c r="H54" i="10"/>
  <c r="B54" i="10"/>
  <c r="I53" i="10"/>
  <c r="J52" i="10"/>
  <c r="K51" i="10"/>
  <c r="L50" i="10"/>
  <c r="M50" i="10"/>
  <c r="C85" i="12"/>
  <c r="E86" i="12"/>
  <c r="F86" i="12"/>
  <c r="D81" i="12"/>
  <c r="G87" i="12"/>
  <c r="B77" i="12"/>
  <c r="C78" i="11"/>
  <c r="E87" i="11"/>
  <c r="F88" i="11"/>
  <c r="B81" i="11"/>
  <c r="M57" i="7" a="1"/>
  <c r="L57" i="7" a="1"/>
  <c r="N57" i="7" s="1" a="1"/>
  <c r="O57" i="7" s="1" a="1"/>
  <c r="AK57" i="7"/>
  <c r="C57" i="9" s="1"/>
  <c r="K58" i="7"/>
  <c r="R80" i="1"/>
  <c r="O80" i="1" a="1"/>
  <c r="P80" i="1" a="1"/>
  <c r="Q80" i="1" a="1"/>
  <c r="L81" i="1" a="1"/>
  <c r="N81" i="1" a="1"/>
  <c r="M81" i="1" a="1"/>
  <c r="D80" i="5"/>
  <c r="K82" i="1"/>
  <c r="C80" i="5"/>
  <c r="S81" i="1" a="1"/>
  <c r="T81" i="1" a="1"/>
  <c r="U81" i="1" a="1"/>
  <c r="V80" i="1"/>
  <c r="Y80" i="1"/>
  <c r="W80" i="1" a="1"/>
  <c r="X80" i="1" a="1"/>
  <c r="M49" i="3"/>
  <c r="L50" i="3"/>
  <c r="K51" i="3"/>
  <c r="J52" i="3"/>
  <c r="I53" i="3"/>
  <c r="H54" i="3"/>
  <c r="C55" i="3"/>
  <c r="E53" i="3"/>
  <c r="F52" i="3"/>
  <c r="G51" i="3"/>
  <c r="B56" i="3"/>
  <c r="D54" i="3"/>
  <c r="AB56" i="1"/>
  <c r="AA58" i="1"/>
  <c r="F49" i="10" l="1"/>
  <c r="AB51" i="7" a="1"/>
  <c r="G48" i="10"/>
  <c r="AC50" i="7" a="1"/>
  <c r="Q57" i="7" a="1"/>
  <c r="P57" i="7" a="1"/>
  <c r="D51" i="10"/>
  <c r="Z53" i="7" a="1"/>
  <c r="E50" i="10"/>
  <c r="AA52" i="7" a="1"/>
  <c r="D53" i="9"/>
  <c r="C52" i="10"/>
  <c r="Y54" i="7" a="1"/>
  <c r="AL54" i="7" a="1"/>
  <c r="I66" i="13"/>
  <c r="G67" i="13"/>
  <c r="E66" i="13"/>
  <c r="C66" i="13"/>
  <c r="H55" i="10"/>
  <c r="B55" i="10"/>
  <c r="I54" i="10"/>
  <c r="J53" i="10"/>
  <c r="K52" i="10"/>
  <c r="L51" i="10"/>
  <c r="M51" i="10"/>
  <c r="C86" i="12"/>
  <c r="E87" i="12"/>
  <c r="F87" i="12"/>
  <c r="D82" i="12"/>
  <c r="G88" i="12"/>
  <c r="B78" i="12"/>
  <c r="C79" i="11"/>
  <c r="E88" i="11"/>
  <c r="F89" i="11"/>
  <c r="B82" i="11"/>
  <c r="M58" i="7" a="1"/>
  <c r="L58" i="7" a="1"/>
  <c r="N58" i="7" s="1" a="1"/>
  <c r="O58" i="7" s="1" a="1"/>
  <c r="AK58" i="7"/>
  <c r="C58" i="9" s="1"/>
  <c r="K59" i="7"/>
  <c r="R81" i="1"/>
  <c r="P81" i="1" a="1"/>
  <c r="O81" i="1" a="1"/>
  <c r="Q81" i="1" a="1"/>
  <c r="L82" i="1" a="1"/>
  <c r="N82" i="1" a="1"/>
  <c r="K83" i="1"/>
  <c r="D81" i="5"/>
  <c r="C81" i="5"/>
  <c r="M82" i="1" a="1"/>
  <c r="T82" i="1" a="1"/>
  <c r="S82" i="1" a="1"/>
  <c r="U82" i="1" a="1"/>
  <c r="Y81" i="1"/>
  <c r="V81" i="1"/>
  <c r="W81" i="1" a="1"/>
  <c r="X81" i="1" a="1"/>
  <c r="Z80" i="1"/>
  <c r="M50" i="3"/>
  <c r="L51" i="3"/>
  <c r="K52" i="3"/>
  <c r="J53" i="3"/>
  <c r="I54" i="3"/>
  <c r="H55" i="3"/>
  <c r="C56" i="3"/>
  <c r="E54" i="3"/>
  <c r="G52" i="3"/>
  <c r="D55" i="3"/>
  <c r="F53" i="3"/>
  <c r="B57" i="3"/>
  <c r="AB57" i="1"/>
  <c r="AA59" i="1"/>
  <c r="F50" i="10" l="1"/>
  <c r="AB52" i="7" a="1"/>
  <c r="G49" i="10"/>
  <c r="AC51" i="7" a="1"/>
  <c r="P58" i="7" a="1"/>
  <c r="Q58" i="7" a="1"/>
  <c r="D52" i="10"/>
  <c r="Z54" i="7" a="1"/>
  <c r="E51" i="10"/>
  <c r="AA53" i="7" a="1"/>
  <c r="D54" i="9"/>
  <c r="C53" i="10"/>
  <c r="Y55" i="7" a="1"/>
  <c r="AL55" i="7" a="1"/>
  <c r="I67" i="13"/>
  <c r="G68" i="13"/>
  <c r="E67" i="13"/>
  <c r="C67" i="13"/>
  <c r="H56" i="10"/>
  <c r="B56" i="10"/>
  <c r="I55" i="10"/>
  <c r="J54" i="10"/>
  <c r="K53" i="10"/>
  <c r="L52" i="10"/>
  <c r="M52" i="10"/>
  <c r="C87" i="12"/>
  <c r="E88" i="12"/>
  <c r="F88" i="12"/>
  <c r="D83" i="12"/>
  <c r="G89" i="12"/>
  <c r="B79" i="12"/>
  <c r="C80" i="11"/>
  <c r="E89" i="11"/>
  <c r="F90" i="11"/>
  <c r="B83" i="11"/>
  <c r="M59" i="7" a="1"/>
  <c r="L59" i="7" a="1"/>
  <c r="N59" i="7" s="1" a="1"/>
  <c r="O59" i="7" s="1" a="1"/>
  <c r="AK59" i="7"/>
  <c r="C59" i="9" s="1"/>
  <c r="K60" i="7"/>
  <c r="Z81" i="1"/>
  <c r="R82" i="1"/>
  <c r="P82" i="1" a="1"/>
  <c r="O82" i="1" a="1"/>
  <c r="Q82" i="1" a="1"/>
  <c r="L83" i="1" a="1"/>
  <c r="N83" i="1" a="1"/>
  <c r="M83" i="1" a="1"/>
  <c r="K84" i="1"/>
  <c r="D82" i="5"/>
  <c r="C82" i="5"/>
  <c r="S83" i="1" a="1"/>
  <c r="T83" i="1" a="1"/>
  <c r="U83" i="1" a="1"/>
  <c r="V82" i="1"/>
  <c r="Y82" i="1"/>
  <c r="W82" i="1" a="1"/>
  <c r="X82" i="1" a="1"/>
  <c r="M51" i="3"/>
  <c r="L52" i="3"/>
  <c r="K53" i="3"/>
  <c r="J54" i="3"/>
  <c r="I55" i="3"/>
  <c r="H56" i="3"/>
  <c r="C57" i="3"/>
  <c r="D56" i="3"/>
  <c r="E55" i="3"/>
  <c r="F54" i="3"/>
  <c r="G53" i="3"/>
  <c r="B58" i="3"/>
  <c r="AB58" i="1"/>
  <c r="AA60" i="1"/>
  <c r="F51" i="10" l="1"/>
  <c r="AB53" i="7" a="1"/>
  <c r="G50" i="10"/>
  <c r="AC52" i="7" a="1"/>
  <c r="Q59" i="7" a="1"/>
  <c r="P59" i="7" a="1"/>
  <c r="D53" i="10"/>
  <c r="Z55" i="7" a="1"/>
  <c r="E52" i="10"/>
  <c r="AA54" i="7" a="1"/>
  <c r="D55" i="9"/>
  <c r="C54" i="10"/>
  <c r="Y56" i="7" a="1"/>
  <c r="AL56" i="7" a="1"/>
  <c r="I68" i="13"/>
  <c r="G69" i="13"/>
  <c r="E68" i="13"/>
  <c r="C68" i="13"/>
  <c r="H57" i="10"/>
  <c r="B57" i="10"/>
  <c r="I56" i="10"/>
  <c r="J55" i="10"/>
  <c r="K54" i="10"/>
  <c r="L53" i="10"/>
  <c r="M53" i="10"/>
  <c r="C88" i="12"/>
  <c r="E89" i="12"/>
  <c r="F89" i="12"/>
  <c r="D84" i="12"/>
  <c r="G90" i="12"/>
  <c r="B80" i="12"/>
  <c r="C81" i="11"/>
  <c r="E90" i="11"/>
  <c r="F91" i="11"/>
  <c r="B84" i="11"/>
  <c r="L60" i="7" a="1"/>
  <c r="N60" i="7" s="1" a="1"/>
  <c r="O60" i="7" s="1" a="1"/>
  <c r="M60" i="7" a="1"/>
  <c r="AK60" i="7"/>
  <c r="C60" i="9" s="1"/>
  <c r="K61" i="7"/>
  <c r="R83" i="1"/>
  <c r="O83" i="1" a="1"/>
  <c r="P83" i="1" a="1"/>
  <c r="Q83" i="1" a="1"/>
  <c r="L84" i="1" a="1"/>
  <c r="N84" i="1" a="1"/>
  <c r="M84" i="1" a="1"/>
  <c r="C83" i="5"/>
  <c r="K85" i="1"/>
  <c r="D83" i="5"/>
  <c r="T84" i="1" a="1"/>
  <c r="S84" i="1" a="1"/>
  <c r="U84" i="1" a="1"/>
  <c r="V83" i="1"/>
  <c r="Y83" i="1"/>
  <c r="Z83" i="1" s="1"/>
  <c r="W83" i="1" a="1"/>
  <c r="X83" i="1" a="1"/>
  <c r="Z82" i="1"/>
  <c r="M52" i="3"/>
  <c r="L53" i="3"/>
  <c r="K54" i="3"/>
  <c r="J55" i="3"/>
  <c r="I56" i="3"/>
  <c r="H57" i="3"/>
  <c r="E56" i="3"/>
  <c r="F55" i="3"/>
  <c r="G54" i="3"/>
  <c r="C58" i="3"/>
  <c r="D57" i="3"/>
  <c r="B59" i="3"/>
  <c r="AB59" i="1"/>
  <c r="AA61" i="1"/>
  <c r="F52" i="10" l="1"/>
  <c r="AB54" i="7" a="1"/>
  <c r="G51" i="10"/>
  <c r="AC53" i="7" a="1"/>
  <c r="Q60" i="7" a="1"/>
  <c r="P60" i="7" a="1"/>
  <c r="D54" i="10"/>
  <c r="Z56" i="7" a="1"/>
  <c r="E53" i="10"/>
  <c r="AA55" i="7" a="1"/>
  <c r="D56" i="9"/>
  <c r="C55" i="10"/>
  <c r="Y57" i="7" a="1"/>
  <c r="AL57" i="7" a="1"/>
  <c r="I69" i="13"/>
  <c r="G70" i="13"/>
  <c r="E69" i="13"/>
  <c r="C69" i="13"/>
  <c r="H58" i="10"/>
  <c r="B58" i="10"/>
  <c r="I57" i="10"/>
  <c r="J56" i="10"/>
  <c r="K55" i="10"/>
  <c r="L54" i="10"/>
  <c r="M54" i="10"/>
  <c r="C89" i="12"/>
  <c r="E90" i="12"/>
  <c r="F90" i="12"/>
  <c r="D85" i="12"/>
  <c r="G91" i="12"/>
  <c r="B81" i="12"/>
  <c r="C82" i="11"/>
  <c r="E91" i="11"/>
  <c r="F92" i="11"/>
  <c r="B85" i="11"/>
  <c r="M61" i="7" a="1"/>
  <c r="L61" i="7" a="1"/>
  <c r="N61" i="7" s="1" a="1"/>
  <c r="O61" i="7" s="1" a="1"/>
  <c r="AK61" i="7"/>
  <c r="C61" i="9" s="1"/>
  <c r="K62" i="7"/>
  <c r="P84" i="1" a="1"/>
  <c r="O84" i="1" a="1"/>
  <c r="R84" i="1"/>
  <c r="Q84" i="1" a="1"/>
  <c r="D84" i="5"/>
  <c r="K86" i="1"/>
  <c r="C84" i="5"/>
  <c r="L85" i="1" a="1"/>
  <c r="N85" i="1" a="1"/>
  <c r="M85" i="1" a="1"/>
  <c r="S85" i="1" a="1"/>
  <c r="T85" i="1" a="1"/>
  <c r="U85" i="1" a="1"/>
  <c r="V84" i="1"/>
  <c r="Y84" i="1"/>
  <c r="W84" i="1" a="1"/>
  <c r="X84" i="1" a="1"/>
  <c r="M53" i="3"/>
  <c r="L54" i="3"/>
  <c r="K55" i="3"/>
  <c r="J56" i="3"/>
  <c r="I57" i="3"/>
  <c r="H58" i="3"/>
  <c r="G55" i="3"/>
  <c r="C59" i="3"/>
  <c r="D58" i="3"/>
  <c r="E57" i="3"/>
  <c r="F56" i="3"/>
  <c r="B60" i="3"/>
  <c r="AB60" i="1"/>
  <c r="AA62" i="1"/>
  <c r="F53" i="10" l="1"/>
  <c r="AB55" i="7" a="1"/>
  <c r="G52" i="10"/>
  <c r="AC54" i="7" a="1"/>
  <c r="P61" i="7" a="1"/>
  <c r="Q61" i="7" a="1"/>
  <c r="D55" i="10"/>
  <c r="Z57" i="7" a="1"/>
  <c r="E54" i="10"/>
  <c r="AA56" i="7" a="1"/>
  <c r="D57" i="9"/>
  <c r="C56" i="10"/>
  <c r="Y58" i="7" a="1"/>
  <c r="AL58" i="7" a="1"/>
  <c r="I70" i="13"/>
  <c r="G71" i="13"/>
  <c r="E70" i="13"/>
  <c r="C70" i="13"/>
  <c r="H59" i="10"/>
  <c r="B59" i="10"/>
  <c r="I58" i="10"/>
  <c r="J57" i="10"/>
  <c r="K56" i="10"/>
  <c r="L55" i="10"/>
  <c r="M55" i="10"/>
  <c r="C90" i="12"/>
  <c r="E91" i="12"/>
  <c r="F91" i="12"/>
  <c r="D86" i="12"/>
  <c r="G92" i="12"/>
  <c r="B82" i="12"/>
  <c r="C83" i="11"/>
  <c r="E92" i="11"/>
  <c r="F93" i="11"/>
  <c r="B86" i="11"/>
  <c r="M62" i="7" a="1"/>
  <c r="L62" i="7" a="1"/>
  <c r="N62" i="7" s="1" a="1"/>
  <c r="O62" i="7" s="1" a="1"/>
  <c r="AK62" i="7"/>
  <c r="C62" i="9" s="1"/>
  <c r="K63" i="7"/>
  <c r="L86" i="1" a="1"/>
  <c r="N86" i="1" a="1"/>
  <c r="M86" i="1" a="1"/>
  <c r="K87" i="1"/>
  <c r="D85" i="5"/>
  <c r="C85" i="5"/>
  <c r="T86" i="1" a="1"/>
  <c r="S86" i="1" a="1"/>
  <c r="U86" i="1" a="1"/>
  <c r="R85" i="1"/>
  <c r="O85" i="1" a="1"/>
  <c r="P85" i="1" a="1"/>
  <c r="Q85" i="1" a="1"/>
  <c r="V85" i="1"/>
  <c r="Y85" i="1"/>
  <c r="W85" i="1" a="1"/>
  <c r="X85" i="1" a="1"/>
  <c r="Z84" i="1"/>
  <c r="M54" i="3"/>
  <c r="L55" i="3"/>
  <c r="K56" i="3"/>
  <c r="J57" i="3"/>
  <c r="I58" i="3"/>
  <c r="H59" i="3"/>
  <c r="E58" i="3"/>
  <c r="C60" i="3"/>
  <c r="D59" i="3"/>
  <c r="F57" i="3"/>
  <c r="G56" i="3"/>
  <c r="B61" i="3"/>
  <c r="AB61" i="1"/>
  <c r="AA63" i="1"/>
  <c r="F54" i="10" l="1"/>
  <c r="AB56" i="7" a="1"/>
  <c r="G53" i="10"/>
  <c r="AC55" i="7" a="1"/>
  <c r="Q62" i="7" a="1"/>
  <c r="P62" i="7" a="1"/>
  <c r="D56" i="10"/>
  <c r="Z58" i="7" a="1"/>
  <c r="E55" i="10"/>
  <c r="AA57" i="7" a="1"/>
  <c r="D58" i="9"/>
  <c r="C57" i="10"/>
  <c r="Y59" i="7" a="1"/>
  <c r="AL59" i="7" a="1"/>
  <c r="I71" i="13"/>
  <c r="G72" i="13"/>
  <c r="E71" i="13"/>
  <c r="C71" i="13"/>
  <c r="H60" i="10"/>
  <c r="B60" i="10"/>
  <c r="I59" i="10"/>
  <c r="J58" i="10"/>
  <c r="K57" i="10"/>
  <c r="L56" i="10"/>
  <c r="M56" i="10"/>
  <c r="C91" i="12"/>
  <c r="E92" i="12"/>
  <c r="F92" i="12"/>
  <c r="D87" i="12"/>
  <c r="G93" i="12"/>
  <c r="B83" i="12"/>
  <c r="C84" i="11"/>
  <c r="E93" i="11"/>
  <c r="F94" i="11"/>
  <c r="B87" i="11"/>
  <c r="M63" i="7" a="1"/>
  <c r="L63" i="7" a="1"/>
  <c r="N63" i="7" s="1" a="1"/>
  <c r="O63" i="7" s="1" a="1"/>
  <c r="AK63" i="7"/>
  <c r="C63" i="9" s="1"/>
  <c r="K64" i="7"/>
  <c r="Z85" i="1"/>
  <c r="O86" i="1" a="1"/>
  <c r="R86" i="1"/>
  <c r="P86" i="1" a="1"/>
  <c r="Q86" i="1" a="1"/>
  <c r="L87" i="1" a="1"/>
  <c r="N87" i="1" a="1"/>
  <c r="M87" i="1" a="1"/>
  <c r="K88" i="1"/>
  <c r="C86" i="5"/>
  <c r="D86" i="5"/>
  <c r="S87" i="1" a="1"/>
  <c r="T87" i="1" a="1"/>
  <c r="U87" i="1" a="1"/>
  <c r="V86" i="1"/>
  <c r="Y86" i="1"/>
  <c r="W86" i="1" a="1"/>
  <c r="X86" i="1" a="1"/>
  <c r="M55" i="3"/>
  <c r="L56" i="3"/>
  <c r="K57" i="3"/>
  <c r="J58" i="3"/>
  <c r="I59" i="3"/>
  <c r="H60" i="3"/>
  <c r="C61" i="3"/>
  <c r="D60" i="3"/>
  <c r="E59" i="3"/>
  <c r="G57" i="3"/>
  <c r="B62" i="3"/>
  <c r="F58" i="3"/>
  <c r="AB62" i="1"/>
  <c r="AA64" i="1"/>
  <c r="F55" i="10" l="1"/>
  <c r="AB57" i="7" a="1"/>
  <c r="G54" i="10"/>
  <c r="AC56" i="7" a="1"/>
  <c r="Q63" i="7" a="1"/>
  <c r="P63" i="7" a="1"/>
  <c r="D57" i="10"/>
  <c r="Z59" i="7" a="1"/>
  <c r="E56" i="10"/>
  <c r="AA58" i="7" a="1"/>
  <c r="D59" i="9"/>
  <c r="C58" i="10"/>
  <c r="Y60" i="7" a="1"/>
  <c r="AL60" i="7" a="1"/>
  <c r="I72" i="13"/>
  <c r="G73" i="13"/>
  <c r="E72" i="13"/>
  <c r="C72" i="13"/>
  <c r="H61" i="10"/>
  <c r="B61" i="10"/>
  <c r="I60" i="10"/>
  <c r="J59" i="10"/>
  <c r="K58" i="10"/>
  <c r="L57" i="10"/>
  <c r="M57" i="10"/>
  <c r="C92" i="12"/>
  <c r="E93" i="12"/>
  <c r="F93" i="12"/>
  <c r="D88" i="12"/>
  <c r="G94" i="12"/>
  <c r="B84" i="12"/>
  <c r="C85" i="11"/>
  <c r="E94" i="11"/>
  <c r="F95" i="11"/>
  <c r="B88" i="11"/>
  <c r="L64" i="7" a="1"/>
  <c r="N64" i="7" s="1" a="1"/>
  <c r="O64" i="7" s="1" a="1"/>
  <c r="M64" i="7" a="1"/>
  <c r="AK64" i="7"/>
  <c r="C64" i="9" s="1"/>
  <c r="K65" i="7"/>
  <c r="R87" i="1"/>
  <c r="O87" i="1" a="1"/>
  <c r="P87" i="1" a="1"/>
  <c r="Q87" i="1" a="1"/>
  <c r="L88" i="1" a="1"/>
  <c r="N88" i="1" a="1"/>
  <c r="M88" i="1" a="1"/>
  <c r="K89" i="1"/>
  <c r="C87" i="5"/>
  <c r="D87" i="5"/>
  <c r="T88" i="1" a="1"/>
  <c r="S88" i="1" a="1"/>
  <c r="U88" i="1" a="1"/>
  <c r="Y87" i="1"/>
  <c r="Z87" i="1" s="1"/>
  <c r="V87" i="1"/>
  <c r="W87" i="1" a="1"/>
  <c r="X87" i="1" a="1"/>
  <c r="Z86" i="1"/>
  <c r="M56" i="3"/>
  <c r="L57" i="3"/>
  <c r="K58" i="3"/>
  <c r="J59" i="3"/>
  <c r="I60" i="3"/>
  <c r="H61" i="3"/>
  <c r="E60" i="3"/>
  <c r="B63" i="3"/>
  <c r="C62" i="3"/>
  <c r="D61" i="3"/>
  <c r="F59" i="3"/>
  <c r="G58" i="3"/>
  <c r="AB63" i="1"/>
  <c r="AA65" i="1"/>
  <c r="F56" i="10" l="1"/>
  <c r="AB58" i="7" a="1"/>
  <c r="G55" i="10"/>
  <c r="AC57" i="7" a="1"/>
  <c r="Q64" i="7" a="1"/>
  <c r="P64" i="7" a="1"/>
  <c r="D58" i="10"/>
  <c r="Z60" i="7" a="1"/>
  <c r="E57" i="10"/>
  <c r="AA59" i="7" a="1"/>
  <c r="D60" i="9"/>
  <c r="C59" i="10"/>
  <c r="Y61" i="7" a="1"/>
  <c r="AL61" i="7" a="1"/>
  <c r="I73" i="13"/>
  <c r="G74" i="13"/>
  <c r="E73" i="13"/>
  <c r="C73" i="13"/>
  <c r="H62" i="10"/>
  <c r="B62" i="10"/>
  <c r="I61" i="10"/>
  <c r="J60" i="10"/>
  <c r="K59" i="10"/>
  <c r="L58" i="10"/>
  <c r="M58" i="10"/>
  <c r="C93" i="12"/>
  <c r="E94" i="12"/>
  <c r="F94" i="12"/>
  <c r="D89" i="12"/>
  <c r="G95" i="12"/>
  <c r="B85" i="12"/>
  <c r="C86" i="11"/>
  <c r="E95" i="11"/>
  <c r="F96" i="11"/>
  <c r="B89" i="11"/>
  <c r="M65" i="7" a="1"/>
  <c r="L65" i="7" a="1"/>
  <c r="N65" i="7" s="1" a="1"/>
  <c r="O65" i="7" s="1" a="1"/>
  <c r="AK65" i="7"/>
  <c r="C65" i="9" s="1"/>
  <c r="K66" i="7"/>
  <c r="O88" i="1" a="1"/>
  <c r="R88" i="1"/>
  <c r="P88" i="1" a="1"/>
  <c r="Q88" i="1" a="1"/>
  <c r="D88" i="5"/>
  <c r="L89" i="1" a="1"/>
  <c r="N89" i="1" a="1"/>
  <c r="M89" i="1" a="1"/>
  <c r="K90" i="1"/>
  <c r="C88" i="5"/>
  <c r="S89" i="1" a="1"/>
  <c r="T89" i="1" a="1"/>
  <c r="U89" i="1" a="1"/>
  <c r="Y88" i="1"/>
  <c r="Z88" i="1" s="1"/>
  <c r="V88" i="1"/>
  <c r="W88" i="1" a="1"/>
  <c r="X88" i="1" a="1"/>
  <c r="M57" i="3"/>
  <c r="L58" i="3"/>
  <c r="K59" i="3"/>
  <c r="J60" i="3"/>
  <c r="I61" i="3"/>
  <c r="H62" i="3"/>
  <c r="C63" i="3"/>
  <c r="D62" i="3"/>
  <c r="F60" i="3"/>
  <c r="G59" i="3"/>
  <c r="B64" i="3"/>
  <c r="E61" i="3"/>
  <c r="AB64" i="1"/>
  <c r="AA66" i="1"/>
  <c r="F57" i="10" l="1"/>
  <c r="AB59" i="7" a="1"/>
  <c r="G56" i="10"/>
  <c r="AC58" i="7" a="1"/>
  <c r="Q65" i="7" a="1"/>
  <c r="P65" i="7" a="1"/>
  <c r="D59" i="10"/>
  <c r="Z61" i="7" a="1"/>
  <c r="E58" i="10"/>
  <c r="AA60" i="7" a="1"/>
  <c r="D61" i="9"/>
  <c r="C60" i="10"/>
  <c r="Y62" i="7" a="1"/>
  <c r="AL62" i="7" a="1"/>
  <c r="I74" i="13"/>
  <c r="G75" i="13"/>
  <c r="E74" i="13"/>
  <c r="C74" i="13"/>
  <c r="H63" i="10"/>
  <c r="B63" i="10"/>
  <c r="I62" i="10"/>
  <c r="J61" i="10"/>
  <c r="K60" i="10"/>
  <c r="L59" i="10"/>
  <c r="M59" i="10"/>
  <c r="C94" i="12"/>
  <c r="E95" i="12"/>
  <c r="F95" i="12"/>
  <c r="D90" i="12"/>
  <c r="G96" i="12"/>
  <c r="B86" i="12"/>
  <c r="C87" i="11"/>
  <c r="E96" i="11"/>
  <c r="F97" i="11"/>
  <c r="B90" i="11"/>
  <c r="M66" i="7" a="1"/>
  <c r="L66" i="7" a="1"/>
  <c r="N66" i="7" s="1" a="1"/>
  <c r="O66" i="7" s="1" a="1"/>
  <c r="AK66" i="7"/>
  <c r="C66" i="9" s="1"/>
  <c r="K67" i="7"/>
  <c r="R89" i="1"/>
  <c r="O89" i="1" a="1"/>
  <c r="P89" i="1" a="1"/>
  <c r="Q89" i="1" a="1"/>
  <c r="L90" i="1" a="1"/>
  <c r="N90" i="1" a="1"/>
  <c r="M90" i="1" a="1"/>
  <c r="D89" i="5"/>
  <c r="C89" i="5"/>
  <c r="K91" i="1"/>
  <c r="T90" i="1" a="1"/>
  <c r="S90" i="1" a="1"/>
  <c r="U90" i="1" a="1"/>
  <c r="Y89" i="1"/>
  <c r="V89" i="1"/>
  <c r="W89" i="1" a="1"/>
  <c r="X89" i="1" a="1"/>
  <c r="M58" i="3"/>
  <c r="L59" i="3"/>
  <c r="K60" i="3"/>
  <c r="J61" i="3"/>
  <c r="I62" i="3"/>
  <c r="H63" i="3"/>
  <c r="D63" i="3"/>
  <c r="G60" i="3"/>
  <c r="B65" i="3"/>
  <c r="C64" i="3"/>
  <c r="E62" i="3"/>
  <c r="F61" i="3"/>
  <c r="AB65" i="1"/>
  <c r="AA67" i="1"/>
  <c r="F58" i="10" l="1"/>
  <c r="AB60" i="7" a="1"/>
  <c r="G57" i="10"/>
  <c r="AC59" i="7" a="1"/>
  <c r="P66" i="7" a="1"/>
  <c r="Q66" i="7" a="1"/>
  <c r="D60" i="10"/>
  <c r="Z62" i="7" a="1"/>
  <c r="E59" i="10"/>
  <c r="AA61" i="7" a="1"/>
  <c r="D62" i="9"/>
  <c r="C61" i="10"/>
  <c r="Y63" i="7" a="1"/>
  <c r="AL63" i="7" a="1"/>
  <c r="I75" i="13"/>
  <c r="G76" i="13"/>
  <c r="E75" i="13"/>
  <c r="C75" i="13"/>
  <c r="H64" i="10"/>
  <c r="B64" i="10"/>
  <c r="I63" i="10"/>
  <c r="J62" i="10"/>
  <c r="K61" i="10"/>
  <c r="L60" i="10"/>
  <c r="M60" i="10"/>
  <c r="C95" i="12"/>
  <c r="E96" i="12"/>
  <c r="F96" i="12"/>
  <c r="D91" i="12"/>
  <c r="G97" i="12"/>
  <c r="B87" i="12"/>
  <c r="C88" i="11"/>
  <c r="E97" i="11"/>
  <c r="F98" i="11"/>
  <c r="B91" i="11"/>
  <c r="M67" i="7" a="1"/>
  <c r="L67" i="7" a="1"/>
  <c r="N67" i="7" s="1" a="1"/>
  <c r="O67" i="7" s="1" a="1"/>
  <c r="AK67" i="7"/>
  <c r="C67" i="9" s="1"/>
  <c r="K68" i="7"/>
  <c r="R90" i="1"/>
  <c r="O90" i="1" a="1"/>
  <c r="P90" i="1" a="1"/>
  <c r="Q90" i="1" a="1"/>
  <c r="L91" i="1" a="1"/>
  <c r="N91" i="1" a="1"/>
  <c r="M91" i="1" a="1"/>
  <c r="D90" i="5"/>
  <c r="C90" i="5"/>
  <c r="K92" i="1"/>
  <c r="S91" i="1" a="1"/>
  <c r="T91" i="1" a="1"/>
  <c r="U91" i="1" a="1"/>
  <c r="V90" i="1"/>
  <c r="Y90" i="1"/>
  <c r="W90" i="1" a="1"/>
  <c r="X90" i="1" a="1"/>
  <c r="Z89" i="1"/>
  <c r="M59" i="3"/>
  <c r="L60" i="3"/>
  <c r="K61" i="3"/>
  <c r="J62" i="3"/>
  <c r="I63" i="3"/>
  <c r="H64" i="3"/>
  <c r="C65" i="3"/>
  <c r="D64" i="3"/>
  <c r="E63" i="3"/>
  <c r="B66" i="3"/>
  <c r="F62" i="3"/>
  <c r="G61" i="3"/>
  <c r="AB66" i="1"/>
  <c r="AA68" i="1"/>
  <c r="F59" i="10" l="1"/>
  <c r="AB61" i="7" a="1"/>
  <c r="G58" i="10"/>
  <c r="AC60" i="7" a="1"/>
  <c r="P67" i="7" a="1"/>
  <c r="Q67" i="7" a="1"/>
  <c r="D61" i="10"/>
  <c r="Z63" i="7" a="1"/>
  <c r="E60" i="10"/>
  <c r="AA62" i="7" a="1"/>
  <c r="D63" i="9"/>
  <c r="C62" i="10"/>
  <c r="Y64" i="7" a="1"/>
  <c r="AL64" i="7" a="1"/>
  <c r="I76" i="13"/>
  <c r="G77" i="13"/>
  <c r="E76" i="13"/>
  <c r="C76" i="13"/>
  <c r="H65" i="10"/>
  <c r="B65" i="10"/>
  <c r="I64" i="10"/>
  <c r="J63" i="10"/>
  <c r="K62" i="10"/>
  <c r="L61" i="10"/>
  <c r="M61" i="10"/>
  <c r="C96" i="12"/>
  <c r="E97" i="12"/>
  <c r="F97" i="12"/>
  <c r="D92" i="12"/>
  <c r="G98" i="12"/>
  <c r="B88" i="12"/>
  <c r="C89" i="11"/>
  <c r="E98" i="11"/>
  <c r="F99" i="11"/>
  <c r="B92" i="11"/>
  <c r="L68" i="7" a="1"/>
  <c r="N68" i="7" s="1" a="1"/>
  <c r="O68" i="7" s="1" a="1"/>
  <c r="M68" i="7" a="1"/>
  <c r="AK68" i="7"/>
  <c r="C68" i="9" s="1"/>
  <c r="K69" i="7"/>
  <c r="R91" i="1"/>
  <c r="O91" i="1" a="1"/>
  <c r="P91" i="1" a="1"/>
  <c r="Q91" i="1" a="1"/>
  <c r="L92" i="1" a="1"/>
  <c r="N92" i="1" a="1"/>
  <c r="M92" i="1" a="1"/>
  <c r="K93" i="1"/>
  <c r="D91" i="5"/>
  <c r="C91" i="5"/>
  <c r="T92" i="1" a="1"/>
  <c r="S92" i="1" a="1"/>
  <c r="U92" i="1" a="1"/>
  <c r="V91" i="1"/>
  <c r="Y91" i="1"/>
  <c r="W91" i="1" a="1"/>
  <c r="X91" i="1" a="1"/>
  <c r="Z90" i="1"/>
  <c r="M60" i="3"/>
  <c r="L61" i="3"/>
  <c r="K62" i="3"/>
  <c r="J63" i="3"/>
  <c r="I64" i="3"/>
  <c r="H65" i="3"/>
  <c r="E64" i="3"/>
  <c r="F63" i="3"/>
  <c r="G62" i="3"/>
  <c r="C66" i="3"/>
  <c r="D65" i="3"/>
  <c r="B67" i="3"/>
  <c r="AB67" i="1"/>
  <c r="AA69" i="1"/>
  <c r="F60" i="10" l="1"/>
  <c r="AB62" i="7" a="1"/>
  <c r="G59" i="10"/>
  <c r="AC61" i="7" a="1"/>
  <c r="P68" i="7" a="1"/>
  <c r="Q68" i="7" a="1"/>
  <c r="D62" i="10"/>
  <c r="Z64" i="7" a="1"/>
  <c r="E61" i="10"/>
  <c r="AA63" i="7" a="1"/>
  <c r="D64" i="9"/>
  <c r="C63" i="10"/>
  <c r="Y65" i="7" a="1"/>
  <c r="AL65" i="7" a="1"/>
  <c r="I77" i="13"/>
  <c r="G78" i="13"/>
  <c r="E77" i="13"/>
  <c r="C77" i="13"/>
  <c r="H66" i="10"/>
  <c r="B66" i="10"/>
  <c r="I65" i="10"/>
  <c r="J64" i="10"/>
  <c r="K63" i="10"/>
  <c r="L62" i="10"/>
  <c r="M62" i="10"/>
  <c r="C97" i="12"/>
  <c r="E98" i="12"/>
  <c r="F98" i="12"/>
  <c r="D93" i="12"/>
  <c r="G99" i="12"/>
  <c r="B89" i="12"/>
  <c r="C90" i="11"/>
  <c r="E99" i="11"/>
  <c r="F100" i="11"/>
  <c r="B93" i="11"/>
  <c r="M69" i="7" a="1"/>
  <c r="L69" i="7" a="1"/>
  <c r="N69" i="7" s="1" a="1"/>
  <c r="O69" i="7" s="1" a="1"/>
  <c r="AK69" i="7"/>
  <c r="C69" i="9" s="1"/>
  <c r="K70" i="7"/>
  <c r="Z91" i="1"/>
  <c r="O92" i="1" a="1"/>
  <c r="P92" i="1" a="1"/>
  <c r="R92" i="1"/>
  <c r="Q92" i="1" a="1"/>
  <c r="C92" i="5"/>
  <c r="L93" i="1" a="1"/>
  <c r="N93" i="1" a="1"/>
  <c r="K94" i="1"/>
  <c r="D92" i="5"/>
  <c r="M93" i="1" a="1"/>
  <c r="S93" i="1" a="1"/>
  <c r="T93" i="1" a="1"/>
  <c r="U93" i="1" a="1"/>
  <c r="V92" i="1"/>
  <c r="Y92" i="1"/>
  <c r="Z92" i="1" s="1"/>
  <c r="W92" i="1" a="1"/>
  <c r="X92" i="1" a="1"/>
  <c r="M61" i="3"/>
  <c r="L62" i="3"/>
  <c r="K63" i="3"/>
  <c r="J64" i="3"/>
  <c r="I65" i="3"/>
  <c r="H66" i="3"/>
  <c r="F64" i="3"/>
  <c r="G63" i="3"/>
  <c r="C67" i="3"/>
  <c r="D66" i="3"/>
  <c r="E65" i="3"/>
  <c r="B68" i="3"/>
  <c r="AB68" i="1"/>
  <c r="AA70" i="1"/>
  <c r="F61" i="10" l="1"/>
  <c r="AB63" i="7" a="1"/>
  <c r="G60" i="10"/>
  <c r="AC62" i="7" a="1"/>
  <c r="Q69" i="7" a="1"/>
  <c r="P69" i="7" a="1"/>
  <c r="D63" i="10"/>
  <c r="Z65" i="7" a="1"/>
  <c r="E62" i="10"/>
  <c r="AA64" i="7" a="1"/>
  <c r="D65" i="9"/>
  <c r="C64" i="10"/>
  <c r="Y66" i="7" a="1"/>
  <c r="AL66" i="7" a="1"/>
  <c r="I78" i="13"/>
  <c r="G79" i="13"/>
  <c r="E78" i="13"/>
  <c r="C78" i="13"/>
  <c r="H67" i="10"/>
  <c r="B67" i="10"/>
  <c r="I66" i="10"/>
  <c r="J65" i="10"/>
  <c r="K64" i="10"/>
  <c r="L63" i="10"/>
  <c r="M63" i="10"/>
  <c r="C98" i="12"/>
  <c r="E99" i="12"/>
  <c r="F99" i="12"/>
  <c r="D94" i="12"/>
  <c r="G100" i="12"/>
  <c r="B90" i="12"/>
  <c r="C91" i="11"/>
  <c r="E100" i="11"/>
  <c r="F101" i="11"/>
  <c r="B94" i="11"/>
  <c r="M70" i="7" a="1"/>
  <c r="L70" i="7" a="1"/>
  <c r="N70" i="7" s="1" a="1"/>
  <c r="O70" i="7" s="1" a="1"/>
  <c r="AK70" i="7"/>
  <c r="C70" i="9" s="1"/>
  <c r="K71" i="7"/>
  <c r="R93" i="1"/>
  <c r="O93" i="1" a="1"/>
  <c r="P93" i="1" a="1"/>
  <c r="Q93" i="1" a="1"/>
  <c r="L94" i="1" a="1"/>
  <c r="K95" i="1"/>
  <c r="D93" i="5"/>
  <c r="C93" i="5"/>
  <c r="N94" i="1" a="1"/>
  <c r="M94" i="1" a="1"/>
  <c r="T94" i="1" a="1"/>
  <c r="S94" i="1" a="1"/>
  <c r="U94" i="1" a="1"/>
  <c r="V93" i="1"/>
  <c r="Y93" i="1"/>
  <c r="Z93" i="1" s="1"/>
  <c r="W93" i="1" a="1"/>
  <c r="X93" i="1" a="1"/>
  <c r="M62" i="3"/>
  <c r="L63" i="3"/>
  <c r="K64" i="3"/>
  <c r="J65" i="3"/>
  <c r="I66" i="3"/>
  <c r="H67" i="3"/>
  <c r="C68" i="3"/>
  <c r="D67" i="3"/>
  <c r="G64" i="3"/>
  <c r="E66" i="3"/>
  <c r="F65" i="3"/>
  <c r="B69" i="3"/>
  <c r="AB69" i="1"/>
  <c r="AA71" i="1"/>
  <c r="F62" i="10" l="1"/>
  <c r="AB64" i="7" a="1"/>
  <c r="G61" i="10"/>
  <c r="AC63" i="7" a="1"/>
  <c r="P70" i="7" a="1"/>
  <c r="Q70" i="7" a="1"/>
  <c r="D64" i="10"/>
  <c r="Z66" i="7" a="1"/>
  <c r="E63" i="10"/>
  <c r="AA65" i="7" a="1"/>
  <c r="D66" i="9"/>
  <c r="C65" i="10"/>
  <c r="Y67" i="7" a="1"/>
  <c r="AL67" i="7" a="1"/>
  <c r="I79" i="13"/>
  <c r="G80" i="13"/>
  <c r="E79" i="13"/>
  <c r="C79" i="13"/>
  <c r="H68" i="10"/>
  <c r="B68" i="10"/>
  <c r="I67" i="10"/>
  <c r="J66" i="10"/>
  <c r="K65" i="10"/>
  <c r="L64" i="10"/>
  <c r="M64" i="10"/>
  <c r="C99" i="12"/>
  <c r="E100" i="12"/>
  <c r="F100" i="12"/>
  <c r="D95" i="12"/>
  <c r="G101" i="12"/>
  <c r="B91" i="12"/>
  <c r="C92" i="11"/>
  <c r="E101" i="11"/>
  <c r="F102" i="11"/>
  <c r="B95" i="11"/>
  <c r="M71" i="7" a="1"/>
  <c r="L71" i="7" a="1"/>
  <c r="N71" i="7" s="1" a="1"/>
  <c r="O71" i="7" s="1" a="1"/>
  <c r="AK71" i="7"/>
  <c r="C71" i="9" s="1"/>
  <c r="K72" i="7"/>
  <c r="R94" i="1"/>
  <c r="O94" i="1" a="1"/>
  <c r="P94" i="1" a="1"/>
  <c r="Q94" i="1" a="1"/>
  <c r="L95" i="1" a="1"/>
  <c r="N95" i="1" a="1"/>
  <c r="M95" i="1" a="1"/>
  <c r="K96" i="1"/>
  <c r="C94" i="5"/>
  <c r="D94" i="5"/>
  <c r="S95" i="1" a="1"/>
  <c r="T95" i="1" a="1"/>
  <c r="U95" i="1" a="1"/>
  <c r="V94" i="1"/>
  <c r="Y94" i="1"/>
  <c r="W94" i="1" a="1"/>
  <c r="X94" i="1" a="1"/>
  <c r="M63" i="3"/>
  <c r="L64" i="3"/>
  <c r="K65" i="3"/>
  <c r="J66" i="3"/>
  <c r="I67" i="3"/>
  <c r="H68" i="3"/>
  <c r="C69" i="3"/>
  <c r="D68" i="3"/>
  <c r="F66" i="3"/>
  <c r="G65" i="3"/>
  <c r="B70" i="3"/>
  <c r="E67" i="3"/>
  <c r="AB70" i="1"/>
  <c r="AA72" i="1"/>
  <c r="F63" i="10" l="1"/>
  <c r="AB65" i="7" a="1"/>
  <c r="G62" i="10"/>
  <c r="AC64" i="7" a="1"/>
  <c r="Q71" i="7" a="1"/>
  <c r="P71" i="7" a="1"/>
  <c r="D65" i="10"/>
  <c r="Z67" i="7" a="1"/>
  <c r="E64" i="10"/>
  <c r="AA66" i="7" a="1"/>
  <c r="D67" i="9"/>
  <c r="C66" i="10"/>
  <c r="Y68" i="7" a="1"/>
  <c r="AL68" i="7" a="1"/>
  <c r="I80" i="13"/>
  <c r="G81" i="13"/>
  <c r="E80" i="13"/>
  <c r="C80" i="13"/>
  <c r="H69" i="10"/>
  <c r="B69" i="10"/>
  <c r="I68" i="10"/>
  <c r="J67" i="10"/>
  <c r="K66" i="10"/>
  <c r="L65" i="10"/>
  <c r="M65" i="10"/>
  <c r="C100" i="12"/>
  <c r="E101" i="12"/>
  <c r="F101" i="12"/>
  <c r="D96" i="12"/>
  <c r="G102" i="12"/>
  <c r="B92" i="12"/>
  <c r="C93" i="11"/>
  <c r="E102" i="11"/>
  <c r="B96" i="11"/>
  <c r="M72" i="7" a="1"/>
  <c r="L72" i="7" a="1"/>
  <c r="N72" i="7" s="1" a="1"/>
  <c r="O72" i="7" s="1" a="1"/>
  <c r="AK72" i="7"/>
  <c r="C72" i="9" s="1"/>
  <c r="K73" i="7"/>
  <c r="R95" i="1"/>
  <c r="P95" i="1" a="1"/>
  <c r="O95" i="1" a="1"/>
  <c r="Q95" i="1" a="1"/>
  <c r="L96" i="1" a="1"/>
  <c r="M96" i="1" a="1"/>
  <c r="D95" i="5"/>
  <c r="C95" i="5"/>
  <c r="N96" i="1" a="1"/>
  <c r="K97" i="1"/>
  <c r="T96" i="1" a="1"/>
  <c r="S96" i="1" a="1"/>
  <c r="U96" i="1" a="1"/>
  <c r="Y95" i="1"/>
  <c r="V95" i="1"/>
  <c r="W95" i="1" a="1"/>
  <c r="X95" i="1" a="1"/>
  <c r="Z94" i="1"/>
  <c r="M64" i="3"/>
  <c r="L65" i="3"/>
  <c r="K66" i="3"/>
  <c r="J67" i="3"/>
  <c r="I68" i="3"/>
  <c r="H69" i="3"/>
  <c r="D69" i="3"/>
  <c r="G66" i="3"/>
  <c r="B71" i="3"/>
  <c r="C70" i="3"/>
  <c r="E68" i="3"/>
  <c r="F67" i="3"/>
  <c r="AB71" i="1"/>
  <c r="AA73" i="1"/>
  <c r="F64" i="10" l="1"/>
  <c r="AB66" i="7" a="1"/>
  <c r="G63" i="10"/>
  <c r="AC65" i="7" a="1"/>
  <c r="Q72" i="7" a="1"/>
  <c r="P72" i="7" a="1"/>
  <c r="D66" i="10"/>
  <c r="Z68" i="7" a="1"/>
  <c r="E65" i="10"/>
  <c r="AA67" i="7" a="1"/>
  <c r="D68" i="9"/>
  <c r="C67" i="10"/>
  <c r="Y69" i="7" a="1"/>
  <c r="AL69" i="7" a="1"/>
  <c r="I81" i="13"/>
  <c r="G82" i="13"/>
  <c r="E81" i="13"/>
  <c r="C81" i="13"/>
  <c r="H70" i="10"/>
  <c r="B70" i="10"/>
  <c r="I69" i="10"/>
  <c r="J68" i="10"/>
  <c r="K67" i="10"/>
  <c r="L66" i="10"/>
  <c r="M66" i="10"/>
  <c r="C101" i="12"/>
  <c r="E102" i="12"/>
  <c r="F102" i="12"/>
  <c r="D97" i="12"/>
  <c r="B93" i="12"/>
  <c r="C94" i="11"/>
  <c r="B97" i="11"/>
  <c r="L73" i="7" a="1"/>
  <c r="N73" i="7" s="1" a="1"/>
  <c r="O73" i="7" s="1" a="1"/>
  <c r="M73" i="7" a="1"/>
  <c r="AK73" i="7"/>
  <c r="C73" i="9" s="1"/>
  <c r="K74" i="7"/>
  <c r="Z95" i="1"/>
  <c r="R96" i="1"/>
  <c r="O96" i="1" a="1"/>
  <c r="P96" i="1" a="1"/>
  <c r="Q96" i="1" a="1"/>
  <c r="L97" i="1" a="1"/>
  <c r="N97" i="1" a="1"/>
  <c r="M97" i="1" a="1"/>
  <c r="D96" i="5"/>
  <c r="C96" i="5"/>
  <c r="K98" i="1"/>
  <c r="S97" i="1" a="1"/>
  <c r="T97" i="1" a="1"/>
  <c r="U97" i="1" a="1"/>
  <c r="V96" i="1"/>
  <c r="Y96" i="1"/>
  <c r="W96" i="1" a="1"/>
  <c r="X96" i="1" a="1"/>
  <c r="M65" i="3"/>
  <c r="L66" i="3"/>
  <c r="K67" i="3"/>
  <c r="J68" i="3"/>
  <c r="I69" i="3"/>
  <c r="H70" i="3"/>
  <c r="C71" i="3"/>
  <c r="D70" i="3"/>
  <c r="E69" i="3"/>
  <c r="G67" i="3"/>
  <c r="F68" i="3"/>
  <c r="B72" i="3"/>
  <c r="AB72" i="1"/>
  <c r="AA74" i="1"/>
  <c r="F65" i="10" l="1"/>
  <c r="AB67" i="7" a="1"/>
  <c r="G64" i="10"/>
  <c r="AC66" i="7" a="1"/>
  <c r="P73" i="7" a="1"/>
  <c r="Q73" i="7" a="1"/>
  <c r="D67" i="10"/>
  <c r="Z69" i="7" a="1"/>
  <c r="E66" i="10"/>
  <c r="AA68" i="7" a="1"/>
  <c r="D69" i="9"/>
  <c r="C68" i="10"/>
  <c r="Y70" i="7" a="1"/>
  <c r="AL70" i="7" a="1"/>
  <c r="I82" i="13"/>
  <c r="G83" i="13"/>
  <c r="E82" i="13"/>
  <c r="C82" i="13"/>
  <c r="H71" i="10"/>
  <c r="B71" i="10"/>
  <c r="I70" i="10"/>
  <c r="J69" i="10"/>
  <c r="K68" i="10"/>
  <c r="L67" i="10"/>
  <c r="M67" i="10"/>
  <c r="C102" i="12"/>
  <c r="D98" i="12"/>
  <c r="B94" i="12"/>
  <c r="C95" i="11"/>
  <c r="B98" i="11"/>
  <c r="M74" i="7" a="1"/>
  <c r="L74" i="7" a="1"/>
  <c r="N74" i="7" s="1" a="1"/>
  <c r="O74" i="7" s="1" a="1"/>
  <c r="AK74" i="7"/>
  <c r="C74" i="9" s="1"/>
  <c r="K75" i="7"/>
  <c r="Z96" i="1"/>
  <c r="P97" i="1" a="1"/>
  <c r="R97" i="1"/>
  <c r="O97" i="1" a="1"/>
  <c r="Q97" i="1" a="1"/>
  <c r="L98" i="1" a="1"/>
  <c r="K99" i="1"/>
  <c r="D97" i="5"/>
  <c r="N98" i="1" a="1"/>
  <c r="C97" i="5"/>
  <c r="M98" i="1" a="1"/>
  <c r="T98" i="1" a="1"/>
  <c r="S98" i="1" a="1"/>
  <c r="U98" i="1" a="1"/>
  <c r="Y97" i="1"/>
  <c r="Z97" i="1" s="1"/>
  <c r="V97" i="1"/>
  <c r="W97" i="1" a="1"/>
  <c r="X97" i="1" a="1"/>
  <c r="M66" i="3"/>
  <c r="L67" i="3"/>
  <c r="K68" i="3"/>
  <c r="J69" i="3"/>
  <c r="I70" i="3"/>
  <c r="H71" i="3"/>
  <c r="C72" i="3"/>
  <c r="D71" i="3"/>
  <c r="E70" i="3"/>
  <c r="G68" i="3"/>
  <c r="B73" i="3"/>
  <c r="F69" i="3"/>
  <c r="AB73" i="1"/>
  <c r="AA75" i="1"/>
  <c r="F66" i="10" l="1"/>
  <c r="AB68" i="7" a="1"/>
  <c r="G65" i="10"/>
  <c r="AC67" i="7" a="1"/>
  <c r="P74" i="7" a="1"/>
  <c r="Q74" i="7" a="1"/>
  <c r="D68" i="10"/>
  <c r="Z70" i="7" a="1"/>
  <c r="E67" i="10"/>
  <c r="AA69" i="7" a="1"/>
  <c r="D70" i="9"/>
  <c r="C69" i="10"/>
  <c r="Y71" i="7" a="1"/>
  <c r="AL71" i="7" a="1"/>
  <c r="I83" i="13"/>
  <c r="G84" i="13"/>
  <c r="E83" i="13"/>
  <c r="C83" i="13"/>
  <c r="H72" i="10"/>
  <c r="B72" i="10"/>
  <c r="I71" i="10"/>
  <c r="J70" i="10"/>
  <c r="K69" i="10"/>
  <c r="L68" i="10"/>
  <c r="M68" i="10"/>
  <c r="D99" i="12"/>
  <c r="B95" i="12"/>
  <c r="C96" i="11"/>
  <c r="B99" i="11"/>
  <c r="M75" i="7" a="1"/>
  <c r="L75" i="7" a="1"/>
  <c r="N75" i="7" s="1" a="1"/>
  <c r="O75" i="7" s="1" a="1"/>
  <c r="AK75" i="7"/>
  <c r="C75" i="9" s="1"/>
  <c r="K76" i="7"/>
  <c r="R98" i="1"/>
  <c r="O98" i="1" a="1"/>
  <c r="P98" i="1" a="1"/>
  <c r="Q98" i="1" a="1"/>
  <c r="M99" i="1" a="1"/>
  <c r="K100" i="1"/>
  <c r="N99" i="1" a="1"/>
  <c r="C98" i="5"/>
  <c r="L99" i="1" a="1"/>
  <c r="D98" i="5"/>
  <c r="S99" i="1" a="1"/>
  <c r="T99" i="1" a="1"/>
  <c r="U99" i="1" a="1"/>
  <c r="Y98" i="1"/>
  <c r="Z98" i="1" s="1"/>
  <c r="V98" i="1"/>
  <c r="W98" i="1" a="1"/>
  <c r="X98" i="1" a="1"/>
  <c r="M67" i="3"/>
  <c r="L68" i="3"/>
  <c r="K69" i="3"/>
  <c r="J70" i="3"/>
  <c r="I71" i="3"/>
  <c r="H72" i="3"/>
  <c r="B74" i="3"/>
  <c r="C73" i="3"/>
  <c r="D72" i="3"/>
  <c r="E71" i="3"/>
  <c r="F70" i="3"/>
  <c r="G69" i="3"/>
  <c r="AB74" i="1"/>
  <c r="AA76" i="1"/>
  <c r="F67" i="10" l="1"/>
  <c r="AB69" i="7" a="1"/>
  <c r="G66" i="10"/>
  <c r="AC68" i="7" a="1"/>
  <c r="Q75" i="7" a="1"/>
  <c r="P75" i="7" a="1"/>
  <c r="D69" i="10"/>
  <c r="Z71" i="7" a="1"/>
  <c r="E68" i="10"/>
  <c r="AA70" i="7" a="1"/>
  <c r="D71" i="9"/>
  <c r="C70" i="10"/>
  <c r="Y72" i="7" a="1"/>
  <c r="AL72" i="7" a="1"/>
  <c r="I84" i="13"/>
  <c r="G85" i="13"/>
  <c r="E84" i="13"/>
  <c r="C84" i="13"/>
  <c r="H73" i="10"/>
  <c r="B73" i="10"/>
  <c r="I72" i="10"/>
  <c r="J71" i="10"/>
  <c r="K70" i="10"/>
  <c r="L69" i="10"/>
  <c r="M69" i="10"/>
  <c r="D100" i="12"/>
  <c r="B96" i="12"/>
  <c r="C97" i="11"/>
  <c r="B100" i="11"/>
  <c r="L76" i="7" a="1"/>
  <c r="N76" i="7" s="1" a="1"/>
  <c r="O76" i="7" s="1" a="1"/>
  <c r="M76" i="7" a="1"/>
  <c r="AK76" i="7"/>
  <c r="C76" i="9" s="1"/>
  <c r="K77" i="7"/>
  <c r="L100" i="1" a="1"/>
  <c r="N100" i="1" a="1"/>
  <c r="M100" i="1" a="1"/>
  <c r="C99" i="5"/>
  <c r="K101" i="1"/>
  <c r="D99" i="5"/>
  <c r="T100" i="1" a="1"/>
  <c r="S100" i="1" a="1"/>
  <c r="U100" i="1" a="1"/>
  <c r="R99" i="1"/>
  <c r="O99" i="1" a="1"/>
  <c r="P99" i="1" a="1"/>
  <c r="Q99" i="1" a="1"/>
  <c r="Y99" i="1"/>
  <c r="Z99" i="1" s="1"/>
  <c r="V99" i="1"/>
  <c r="W99" i="1" a="1"/>
  <c r="X99" i="1" a="1"/>
  <c r="M68" i="3"/>
  <c r="L69" i="3"/>
  <c r="K70" i="3"/>
  <c r="J71" i="3"/>
  <c r="I72" i="3"/>
  <c r="H73" i="3"/>
  <c r="C74" i="3"/>
  <c r="D73" i="3"/>
  <c r="E72" i="3"/>
  <c r="F71" i="3"/>
  <c r="G70" i="3"/>
  <c r="B75" i="3"/>
  <c r="AB75" i="1"/>
  <c r="AA77" i="1"/>
  <c r="F68" i="10" l="1"/>
  <c r="AB70" i="7" a="1"/>
  <c r="G67" i="10"/>
  <c r="AC69" i="7" a="1"/>
  <c r="Q76" i="7" a="1"/>
  <c r="P76" i="7" a="1"/>
  <c r="D70" i="10"/>
  <c r="Z72" i="7" a="1"/>
  <c r="E69" i="10"/>
  <c r="AA71" i="7" a="1"/>
  <c r="D72" i="9"/>
  <c r="C71" i="10"/>
  <c r="Y73" i="7" a="1"/>
  <c r="AL73" i="7" a="1"/>
  <c r="I85" i="13"/>
  <c r="G86" i="13"/>
  <c r="E85" i="13"/>
  <c r="C85" i="13"/>
  <c r="H74" i="10"/>
  <c r="B74" i="10"/>
  <c r="I73" i="10"/>
  <c r="J72" i="10"/>
  <c r="K71" i="10"/>
  <c r="L70" i="10"/>
  <c r="M70" i="10"/>
  <c r="D101" i="12"/>
  <c r="B97" i="12"/>
  <c r="C98" i="11"/>
  <c r="B101" i="11"/>
  <c r="M77" i="7" a="1"/>
  <c r="L77" i="7" a="1"/>
  <c r="N77" i="7" s="1" a="1"/>
  <c r="O77" i="7" s="1" a="1"/>
  <c r="AK77" i="7"/>
  <c r="C77" i="9" s="1"/>
  <c r="K78" i="7"/>
  <c r="R100" i="1"/>
  <c r="O100" i="1" a="1"/>
  <c r="P100" i="1" a="1"/>
  <c r="Q100" i="1" a="1"/>
  <c r="L101" i="1" a="1"/>
  <c r="N101" i="1" a="1"/>
  <c r="M101" i="1" a="1"/>
  <c r="K102" i="1"/>
  <c r="D100" i="5"/>
  <c r="C100" i="5"/>
  <c r="S101" i="1" a="1"/>
  <c r="T101" i="1" a="1"/>
  <c r="U101" i="1" a="1"/>
  <c r="Y100" i="1"/>
  <c r="Z100" i="1" s="1"/>
  <c r="V100" i="1"/>
  <c r="W100" i="1" a="1"/>
  <c r="X100" i="1" a="1"/>
  <c r="M69" i="3"/>
  <c r="L70" i="3"/>
  <c r="K71" i="3"/>
  <c r="J72" i="3"/>
  <c r="I73" i="3"/>
  <c r="H74" i="3"/>
  <c r="C75" i="3"/>
  <c r="D74" i="3"/>
  <c r="E73" i="3"/>
  <c r="F72" i="3"/>
  <c r="G71" i="3"/>
  <c r="B76" i="3"/>
  <c r="AB76" i="1"/>
  <c r="AA78" i="1"/>
  <c r="F69" i="10" l="1"/>
  <c r="AB71" i="7" a="1"/>
  <c r="G68" i="10"/>
  <c r="AC70" i="7" a="1"/>
  <c r="P77" i="7" a="1"/>
  <c r="Q77" i="7" a="1"/>
  <c r="D71" i="10"/>
  <c r="Z73" i="7" a="1"/>
  <c r="E70" i="10"/>
  <c r="AA72" i="7" a="1"/>
  <c r="D73" i="9"/>
  <c r="C72" i="10"/>
  <c r="Y74" i="7" a="1"/>
  <c r="AL74" i="7" a="1"/>
  <c r="I86" i="13"/>
  <c r="G87" i="13"/>
  <c r="E86" i="13"/>
  <c r="C86" i="13"/>
  <c r="H75" i="10"/>
  <c r="B75" i="10"/>
  <c r="I74" i="10"/>
  <c r="J73" i="10"/>
  <c r="K72" i="10"/>
  <c r="L71" i="10"/>
  <c r="M71" i="10"/>
  <c r="D102" i="12"/>
  <c r="B98" i="12"/>
  <c r="C99" i="11"/>
  <c r="B102" i="11"/>
  <c r="M78" i="7" a="1"/>
  <c r="L78" i="7" a="1"/>
  <c r="N78" i="7" s="1" a="1"/>
  <c r="O78" i="7" s="1" a="1"/>
  <c r="AK78" i="7"/>
  <c r="C78" i="9" s="1"/>
  <c r="K79" i="7"/>
  <c r="R101" i="1"/>
  <c r="O101" i="1" a="1"/>
  <c r="P101" i="1" a="1"/>
  <c r="Q101" i="1" a="1"/>
  <c r="L102" i="1" a="1"/>
  <c r="N102" i="1" a="1"/>
  <c r="M102" i="1" a="1"/>
  <c r="C101" i="5"/>
  <c r="D101" i="5"/>
  <c r="K103" i="1"/>
  <c r="T102" i="1" a="1"/>
  <c r="S102" i="1" a="1"/>
  <c r="U102" i="1" a="1"/>
  <c r="V101" i="1"/>
  <c r="Y101" i="1"/>
  <c r="W101" i="1" a="1"/>
  <c r="X101" i="1" a="1"/>
  <c r="M70" i="3"/>
  <c r="L71" i="3"/>
  <c r="K72" i="3"/>
  <c r="J73" i="3"/>
  <c r="I74" i="3"/>
  <c r="H75" i="3"/>
  <c r="B77" i="3"/>
  <c r="C76" i="3"/>
  <c r="D75" i="3"/>
  <c r="E74" i="3"/>
  <c r="F73" i="3"/>
  <c r="G72" i="3"/>
  <c r="AB77" i="1"/>
  <c r="AA79" i="1"/>
  <c r="F70" i="10" l="1"/>
  <c r="AB72" i="7" a="1"/>
  <c r="G69" i="10"/>
  <c r="AC71" i="7" a="1"/>
  <c r="Q78" i="7" a="1"/>
  <c r="P78" i="7" a="1"/>
  <c r="D72" i="10"/>
  <c r="Z74" i="7" a="1"/>
  <c r="E71" i="10"/>
  <c r="AA73" i="7" a="1"/>
  <c r="D74" i="9"/>
  <c r="C73" i="10"/>
  <c r="Y75" i="7" a="1"/>
  <c r="AL75" i="7" a="1"/>
  <c r="I87" i="13"/>
  <c r="G88" i="13"/>
  <c r="E87" i="13"/>
  <c r="C87" i="13"/>
  <c r="H76" i="10"/>
  <c r="B76" i="10"/>
  <c r="I75" i="10"/>
  <c r="J74" i="10"/>
  <c r="K73" i="10"/>
  <c r="L72" i="10"/>
  <c r="M72" i="10"/>
  <c r="B99" i="12"/>
  <c r="C100" i="11"/>
  <c r="L79" i="7" a="1"/>
  <c r="N79" i="7" s="1" a="1"/>
  <c r="O79" i="7" s="1" a="1"/>
  <c r="M79" i="7" a="1"/>
  <c r="AK79" i="7"/>
  <c r="C79" i="9" s="1"/>
  <c r="K80" i="7"/>
  <c r="P102" i="1" a="1"/>
  <c r="O102" i="1" a="1"/>
  <c r="R102" i="1"/>
  <c r="Q102" i="1" a="1"/>
  <c r="M103" i="1" a="1"/>
  <c r="D102" i="5"/>
  <c r="K104" i="1"/>
  <c r="C102" i="5"/>
  <c r="L103" i="1" a="1"/>
  <c r="N103" i="1" a="1"/>
  <c r="S103" i="1" a="1"/>
  <c r="T103" i="1" a="1"/>
  <c r="U103" i="1" a="1"/>
  <c r="V102" i="1"/>
  <c r="Y102" i="1"/>
  <c r="W102" i="1" a="1"/>
  <c r="X102" i="1" a="1"/>
  <c r="Z101" i="1"/>
  <c r="M71" i="3"/>
  <c r="L72" i="3"/>
  <c r="K73" i="3"/>
  <c r="J74" i="3"/>
  <c r="I75" i="3"/>
  <c r="H76" i="3"/>
  <c r="C77" i="3"/>
  <c r="D76" i="3"/>
  <c r="E75" i="3"/>
  <c r="F74" i="3"/>
  <c r="G73" i="3"/>
  <c r="B78" i="3"/>
  <c r="AB78" i="1"/>
  <c r="AA80" i="1"/>
  <c r="F71" i="10" l="1"/>
  <c r="AB73" i="7" a="1"/>
  <c r="G70" i="10"/>
  <c r="AC72" i="7" a="1"/>
  <c r="Q79" i="7" a="1"/>
  <c r="P79" i="7" a="1"/>
  <c r="D73" i="10"/>
  <c r="Z75" i="7" a="1"/>
  <c r="E72" i="10"/>
  <c r="AA74" i="7" a="1"/>
  <c r="D75" i="9"/>
  <c r="C74" i="10"/>
  <c r="Y76" i="7" a="1"/>
  <c r="AL76" i="7" a="1"/>
  <c r="I88" i="13"/>
  <c r="G89" i="13"/>
  <c r="E88" i="13"/>
  <c r="C88" i="13"/>
  <c r="H77" i="10"/>
  <c r="B77" i="10"/>
  <c r="I76" i="10"/>
  <c r="J75" i="10"/>
  <c r="K74" i="10"/>
  <c r="L73" i="10"/>
  <c r="M73" i="10"/>
  <c r="B100" i="12"/>
  <c r="C101" i="11"/>
  <c r="M80" i="7" a="1"/>
  <c r="L80" i="7" a="1"/>
  <c r="N80" i="7" s="1" a="1"/>
  <c r="O80" i="7" s="1" a="1"/>
  <c r="AK80" i="7"/>
  <c r="C80" i="9" s="1"/>
  <c r="K81" i="7"/>
  <c r="M104" i="1" a="1"/>
  <c r="L104" i="1" a="1"/>
  <c r="N104" i="1" a="1"/>
  <c r="K105" i="1"/>
  <c r="T104" i="1" a="1"/>
  <c r="S104" i="1" a="1"/>
  <c r="U104" i="1" a="1"/>
  <c r="P103" i="1" a="1"/>
  <c r="O103" i="1" a="1"/>
  <c r="R103" i="1"/>
  <c r="Q103" i="1" a="1"/>
  <c r="V103" i="1"/>
  <c r="Y103" i="1"/>
  <c r="W103" i="1" a="1"/>
  <c r="X103" i="1" a="1"/>
  <c r="Z102" i="1"/>
  <c r="M72" i="3"/>
  <c r="L73" i="3"/>
  <c r="K74" i="3"/>
  <c r="J75" i="3"/>
  <c r="I76" i="3"/>
  <c r="H77" i="3"/>
  <c r="C78" i="3"/>
  <c r="D77" i="3"/>
  <c r="E76" i="3"/>
  <c r="F75" i="3"/>
  <c r="G74" i="3"/>
  <c r="B79" i="3"/>
  <c r="AB79" i="1"/>
  <c r="AA81" i="1"/>
  <c r="F72" i="10" l="1"/>
  <c r="AB74" i="7" a="1"/>
  <c r="G71" i="10"/>
  <c r="AC73" i="7" a="1"/>
  <c r="P80" i="7" a="1"/>
  <c r="Q80" i="7" a="1"/>
  <c r="D74" i="10"/>
  <c r="Z76" i="7" a="1"/>
  <c r="E73" i="10"/>
  <c r="AA75" i="7" a="1"/>
  <c r="D76" i="9"/>
  <c r="C75" i="10"/>
  <c r="Y77" i="7" a="1"/>
  <c r="AL77" i="7" a="1"/>
  <c r="I89" i="13"/>
  <c r="G90" i="13"/>
  <c r="E89" i="13"/>
  <c r="C89" i="13"/>
  <c r="H78" i="10"/>
  <c r="B78" i="10"/>
  <c r="I77" i="10"/>
  <c r="J76" i="10"/>
  <c r="K75" i="10"/>
  <c r="L74" i="10"/>
  <c r="M74" i="10"/>
  <c r="B101" i="12"/>
  <c r="C102" i="11"/>
  <c r="L81" i="7" a="1"/>
  <c r="N81" i="7" s="1" a="1"/>
  <c r="O81" i="7" s="1" a="1"/>
  <c r="M81" i="7" a="1"/>
  <c r="AK81" i="7"/>
  <c r="C81" i="9" s="1"/>
  <c r="K82" i="7"/>
  <c r="Z103" i="1"/>
  <c r="R104" i="1"/>
  <c r="O104" i="1" a="1"/>
  <c r="P104" i="1" a="1"/>
  <c r="Q104" i="1" a="1"/>
  <c r="L105" i="1" a="1"/>
  <c r="N105" i="1" a="1"/>
  <c r="M105" i="1" a="1"/>
  <c r="K106" i="1"/>
  <c r="S105" i="1" a="1"/>
  <c r="T105" i="1" a="1"/>
  <c r="U105" i="1" a="1"/>
  <c r="V104" i="1"/>
  <c r="Y104" i="1"/>
  <c r="W104" i="1" a="1"/>
  <c r="X104" i="1" a="1"/>
  <c r="M73" i="3"/>
  <c r="L74" i="3"/>
  <c r="K75" i="3"/>
  <c r="J76" i="3"/>
  <c r="I77" i="3"/>
  <c r="H78" i="3"/>
  <c r="B80" i="3"/>
  <c r="C79" i="3"/>
  <c r="D78" i="3"/>
  <c r="E77" i="3"/>
  <c r="F76" i="3"/>
  <c r="G75" i="3"/>
  <c r="AB80" i="1"/>
  <c r="AA82" i="1"/>
  <c r="F73" i="10" l="1"/>
  <c r="AB75" i="7" a="1"/>
  <c r="G72" i="10"/>
  <c r="AC74" i="7" a="1"/>
  <c r="P81" i="7" a="1"/>
  <c r="Q81" i="7" a="1"/>
  <c r="D75" i="10"/>
  <c r="Z77" i="7" a="1"/>
  <c r="E74" i="10"/>
  <c r="AA76" i="7" a="1"/>
  <c r="D77" i="9"/>
  <c r="C76" i="10"/>
  <c r="Y78" i="7" a="1"/>
  <c r="AL78" i="7" a="1"/>
  <c r="I90" i="13"/>
  <c r="G91" i="13"/>
  <c r="E90" i="13"/>
  <c r="C90" i="13"/>
  <c r="H79" i="10"/>
  <c r="B79" i="10"/>
  <c r="I78" i="10"/>
  <c r="J77" i="10"/>
  <c r="K76" i="10"/>
  <c r="L75" i="10"/>
  <c r="M75" i="10"/>
  <c r="B102" i="12"/>
  <c r="M82" i="7" a="1"/>
  <c r="L82" i="7" a="1"/>
  <c r="N82" i="7" s="1" a="1"/>
  <c r="O82" i="7" s="1" a="1"/>
  <c r="AK82" i="7"/>
  <c r="C82" i="9" s="1"/>
  <c r="K83" i="7"/>
  <c r="Z104" i="1"/>
  <c r="AB104" i="1" s="1"/>
  <c r="R105" i="1"/>
  <c r="O105" i="1" a="1"/>
  <c r="P105" i="1" a="1"/>
  <c r="Q105" i="1" a="1"/>
  <c r="L106" i="1" a="1"/>
  <c r="N106" i="1" a="1"/>
  <c r="M106" i="1" a="1"/>
  <c r="K107" i="1"/>
  <c r="T106" i="1" a="1"/>
  <c r="S106" i="1" a="1"/>
  <c r="U106" i="1" a="1"/>
  <c r="V105" i="1"/>
  <c r="Y105" i="1"/>
  <c r="Z105" i="1" s="1"/>
  <c r="W105" i="1" a="1"/>
  <c r="X105" i="1" a="1"/>
  <c r="M98" i="3"/>
  <c r="J101" i="3"/>
  <c r="L99" i="3"/>
  <c r="I102" i="3"/>
  <c r="K100" i="3"/>
  <c r="M74" i="3"/>
  <c r="L75" i="3"/>
  <c r="K76" i="3"/>
  <c r="J77" i="3"/>
  <c r="I78" i="3"/>
  <c r="H79" i="3"/>
  <c r="C80" i="3"/>
  <c r="D79" i="3"/>
  <c r="E78" i="3"/>
  <c r="F77" i="3"/>
  <c r="G76" i="3"/>
  <c r="B81" i="3"/>
  <c r="AB81" i="1"/>
  <c r="AA83" i="1"/>
  <c r="F74" i="10" l="1"/>
  <c r="AB76" i="7" a="1"/>
  <c r="G73" i="10"/>
  <c r="AC75" i="7" a="1"/>
  <c r="Q82" i="7" a="1"/>
  <c r="P82" i="7" a="1"/>
  <c r="D76" i="10"/>
  <c r="Z78" i="7" a="1"/>
  <c r="E75" i="10"/>
  <c r="AA77" i="7" a="1"/>
  <c r="D78" i="9"/>
  <c r="C77" i="10"/>
  <c r="Y79" i="7" a="1"/>
  <c r="AL79" i="7" a="1"/>
  <c r="I91" i="13"/>
  <c r="G92" i="13"/>
  <c r="E91" i="13"/>
  <c r="C91" i="13"/>
  <c r="H80" i="10"/>
  <c r="B80" i="10"/>
  <c r="I79" i="10"/>
  <c r="J78" i="10"/>
  <c r="K77" i="10"/>
  <c r="L76" i="10"/>
  <c r="M76" i="10"/>
  <c r="M83" i="7" a="1"/>
  <c r="L83" i="7" a="1"/>
  <c r="N83" i="7" s="1" a="1"/>
  <c r="O83" i="7" s="1" a="1"/>
  <c r="AK83" i="7"/>
  <c r="C83" i="9" s="1"/>
  <c r="K84" i="7"/>
  <c r="R106" i="1"/>
  <c r="O106" i="1" a="1"/>
  <c r="P106" i="1" a="1"/>
  <c r="Q106" i="1" a="1"/>
  <c r="L107" i="1" a="1"/>
  <c r="N107" i="1" a="1"/>
  <c r="M107" i="1" a="1"/>
  <c r="K108" i="1"/>
  <c r="S107" i="1" a="1"/>
  <c r="T107" i="1" a="1"/>
  <c r="U107" i="1" a="1"/>
  <c r="V106" i="1"/>
  <c r="Y106" i="1"/>
  <c r="W106" i="1" a="1"/>
  <c r="X106" i="1" a="1"/>
  <c r="AB105" i="1"/>
  <c r="M75" i="3"/>
  <c r="L76" i="3"/>
  <c r="K77" i="3"/>
  <c r="J78" i="3"/>
  <c r="I79" i="3"/>
  <c r="H80" i="3"/>
  <c r="C81" i="3"/>
  <c r="D80" i="3"/>
  <c r="E79" i="3"/>
  <c r="F78" i="3"/>
  <c r="G77" i="3"/>
  <c r="B82" i="3"/>
  <c r="AB82" i="1"/>
  <c r="AA84" i="1"/>
  <c r="F75" i="10" l="1"/>
  <c r="AB77" i="7" a="1"/>
  <c r="G74" i="10"/>
  <c r="AC76" i="7" a="1"/>
  <c r="P83" i="7" a="1"/>
  <c r="Q83" i="7" a="1"/>
  <c r="D77" i="10"/>
  <c r="Z79" i="7" a="1"/>
  <c r="E76" i="10"/>
  <c r="AA78" i="7" a="1"/>
  <c r="D79" i="9"/>
  <c r="C78" i="10"/>
  <c r="Y80" i="7" a="1"/>
  <c r="AL80" i="7" a="1"/>
  <c r="I92" i="13"/>
  <c r="G93" i="13"/>
  <c r="E92" i="13"/>
  <c r="C92" i="13"/>
  <c r="H81" i="10"/>
  <c r="B81" i="10"/>
  <c r="I80" i="10"/>
  <c r="J79" i="10"/>
  <c r="K78" i="10"/>
  <c r="L77" i="10"/>
  <c r="M77" i="10"/>
  <c r="L84" i="7" a="1"/>
  <c r="N84" i="7" s="1" a="1"/>
  <c r="O84" i="7" s="1" a="1"/>
  <c r="M84" i="7" a="1"/>
  <c r="AK84" i="7"/>
  <c r="C84" i="9" s="1"/>
  <c r="K85" i="7"/>
  <c r="Z106" i="1"/>
  <c r="AB106" i="1" s="1"/>
  <c r="R107" i="1"/>
  <c r="O107" i="1" a="1"/>
  <c r="P107" i="1" a="1"/>
  <c r="Q107" i="1" a="1"/>
  <c r="L108" i="1" a="1"/>
  <c r="N108" i="1" a="1"/>
  <c r="M108" i="1" a="1"/>
  <c r="K109" i="1"/>
  <c r="T108" i="1" a="1"/>
  <c r="S108" i="1" a="1"/>
  <c r="U108" i="1" a="1"/>
  <c r="V107" i="1"/>
  <c r="Y107" i="1"/>
  <c r="W107" i="1" a="1"/>
  <c r="X107" i="1" a="1"/>
  <c r="K102" i="3"/>
  <c r="M100" i="3"/>
  <c r="L101" i="3"/>
  <c r="K101" i="3"/>
  <c r="J102" i="3"/>
  <c r="M99" i="3"/>
  <c r="L100" i="3"/>
  <c r="M76" i="3"/>
  <c r="L77" i="3"/>
  <c r="K78" i="3"/>
  <c r="J79" i="3"/>
  <c r="I80" i="3"/>
  <c r="H81" i="3"/>
  <c r="B83" i="3"/>
  <c r="C82" i="3"/>
  <c r="D81" i="3"/>
  <c r="E80" i="3"/>
  <c r="F79" i="3"/>
  <c r="G78" i="3"/>
  <c r="AB83" i="1"/>
  <c r="AA85" i="1"/>
  <c r="F76" i="10" l="1"/>
  <c r="AB78" i="7" a="1"/>
  <c r="G75" i="10"/>
  <c r="AC77" i="7" a="1"/>
  <c r="P84" i="7" a="1"/>
  <c r="Q84" i="7" a="1"/>
  <c r="D78" i="10"/>
  <c r="Z80" i="7" a="1"/>
  <c r="E77" i="10"/>
  <c r="AA79" i="7" a="1"/>
  <c r="D80" i="9"/>
  <c r="C79" i="10"/>
  <c r="Y81" i="7" a="1"/>
  <c r="AL81" i="7" a="1"/>
  <c r="I93" i="13"/>
  <c r="G94" i="13"/>
  <c r="E93" i="13"/>
  <c r="C93" i="13"/>
  <c r="H82" i="10"/>
  <c r="B82" i="10"/>
  <c r="I81" i="10"/>
  <c r="J80" i="10"/>
  <c r="K79" i="10"/>
  <c r="L78" i="10"/>
  <c r="M78" i="10"/>
  <c r="M85" i="7" a="1"/>
  <c r="L85" i="7" a="1"/>
  <c r="N85" i="7" s="1" a="1"/>
  <c r="O85" i="7" s="1" a="1"/>
  <c r="AK85" i="7"/>
  <c r="C85" i="9" s="1"/>
  <c r="K86" i="7"/>
  <c r="Z107" i="1"/>
  <c r="R108" i="1"/>
  <c r="O108" i="1" a="1"/>
  <c r="P108" i="1" a="1"/>
  <c r="Q108" i="1" a="1"/>
  <c r="L109" i="1" a="1"/>
  <c r="N109" i="1" a="1"/>
  <c r="M109" i="1" a="1"/>
  <c r="K110" i="1"/>
  <c r="S109" i="1" a="1"/>
  <c r="T109" i="1" a="1"/>
  <c r="U109" i="1" a="1"/>
  <c r="V108" i="1"/>
  <c r="Y108" i="1"/>
  <c r="Z108" i="1" s="1"/>
  <c r="W108" i="1" a="1"/>
  <c r="X108" i="1" a="1"/>
  <c r="AB107" i="1"/>
  <c r="M77" i="3"/>
  <c r="L78" i="3"/>
  <c r="K79" i="3"/>
  <c r="J80" i="3"/>
  <c r="I81" i="3"/>
  <c r="H82" i="3"/>
  <c r="C83" i="3"/>
  <c r="D82" i="3"/>
  <c r="E81" i="3"/>
  <c r="F80" i="3"/>
  <c r="G79" i="3"/>
  <c r="B84" i="3"/>
  <c r="AB84" i="1"/>
  <c r="AA86" i="1"/>
  <c r="F77" i="10" l="1"/>
  <c r="AB79" i="7" a="1"/>
  <c r="G76" i="10"/>
  <c r="AC78" i="7" a="1"/>
  <c r="P85" i="7" a="1"/>
  <c r="Q85" i="7" a="1"/>
  <c r="D79" i="10"/>
  <c r="Z81" i="7" a="1"/>
  <c r="E78" i="10"/>
  <c r="AA80" i="7" a="1"/>
  <c r="D81" i="9"/>
  <c r="C80" i="10"/>
  <c r="Y82" i="7" a="1"/>
  <c r="AL82" i="7" a="1"/>
  <c r="I94" i="13"/>
  <c r="G95" i="13"/>
  <c r="E94" i="13"/>
  <c r="C94" i="13"/>
  <c r="H83" i="10"/>
  <c r="B83" i="10"/>
  <c r="I82" i="10"/>
  <c r="J81" i="10"/>
  <c r="K80" i="10"/>
  <c r="L79" i="10"/>
  <c r="M79" i="10"/>
  <c r="L86" i="7" a="1"/>
  <c r="N86" i="7" s="1" a="1"/>
  <c r="O86" i="7" s="1" a="1"/>
  <c r="M86" i="7" a="1"/>
  <c r="AK86" i="7"/>
  <c r="C86" i="9" s="1"/>
  <c r="K87" i="7"/>
  <c r="R109" i="1"/>
  <c r="O109" i="1" a="1"/>
  <c r="P109" i="1" a="1"/>
  <c r="Q109" i="1" a="1"/>
  <c r="L110" i="1" a="1"/>
  <c r="N110" i="1" a="1"/>
  <c r="M110" i="1" a="1"/>
  <c r="T110" i="1" a="1"/>
  <c r="S110" i="1" a="1"/>
  <c r="U110" i="1" a="1"/>
  <c r="V109" i="1"/>
  <c r="Y109" i="1"/>
  <c r="Z109" i="1" s="1"/>
  <c r="W109" i="1" a="1"/>
  <c r="X109" i="1" a="1"/>
  <c r="L102" i="3"/>
  <c r="M101" i="3"/>
  <c r="AB108" i="1"/>
  <c r="M78" i="3"/>
  <c r="L79" i="3"/>
  <c r="K80" i="3"/>
  <c r="J81" i="3"/>
  <c r="I82" i="3"/>
  <c r="H83" i="3"/>
  <c r="B85" i="3"/>
  <c r="C84" i="3"/>
  <c r="D83" i="3"/>
  <c r="E82" i="3"/>
  <c r="F81" i="3"/>
  <c r="G80" i="3"/>
  <c r="AB85" i="1"/>
  <c r="AA87" i="1"/>
  <c r="F78" i="10" l="1"/>
  <c r="AB80" i="7" a="1"/>
  <c r="G77" i="10"/>
  <c r="AC79" i="7" a="1"/>
  <c r="P86" i="7" a="1"/>
  <c r="Q86" i="7" a="1"/>
  <c r="D80" i="10"/>
  <c r="Z82" i="7" a="1"/>
  <c r="E79" i="10"/>
  <c r="AA81" i="7" a="1"/>
  <c r="D82" i="9"/>
  <c r="C81" i="10"/>
  <c r="Y83" i="7" a="1"/>
  <c r="AL83" i="7" a="1"/>
  <c r="I95" i="13"/>
  <c r="G96" i="13"/>
  <c r="E95" i="13"/>
  <c r="C95" i="13"/>
  <c r="H84" i="10"/>
  <c r="B84" i="10"/>
  <c r="I83" i="10"/>
  <c r="J82" i="10"/>
  <c r="K81" i="10"/>
  <c r="L80" i="10"/>
  <c r="M80" i="10"/>
  <c r="M87" i="7" a="1"/>
  <c r="L87" i="7" a="1"/>
  <c r="N87" i="7" s="1" a="1"/>
  <c r="O87" i="7" s="1" a="1"/>
  <c r="AK87" i="7"/>
  <c r="C87" i="9" s="1"/>
  <c r="K88" i="7"/>
  <c r="R110" i="1"/>
  <c r="O110" i="1" a="1"/>
  <c r="P110" i="1" a="1"/>
  <c r="Q110" i="1" a="1"/>
  <c r="V110" i="1"/>
  <c r="Y110" i="1"/>
  <c r="Z110" i="1" s="1"/>
  <c r="W110" i="1" a="1"/>
  <c r="X110" i="1" a="1"/>
  <c r="M102" i="3"/>
  <c r="AB109" i="1"/>
  <c r="M79" i="3"/>
  <c r="L80" i="3"/>
  <c r="K81" i="3"/>
  <c r="J82" i="3"/>
  <c r="I83" i="3"/>
  <c r="H84" i="3"/>
  <c r="D84" i="3"/>
  <c r="E83" i="3"/>
  <c r="F82" i="3"/>
  <c r="G81" i="3"/>
  <c r="C85" i="3"/>
  <c r="B86" i="3"/>
  <c r="AB86" i="1"/>
  <c r="AA88" i="1"/>
  <c r="F79" i="10" l="1"/>
  <c r="AB81" i="7" a="1"/>
  <c r="G78" i="10"/>
  <c r="AC80" i="7" a="1"/>
  <c r="P87" i="7" a="1"/>
  <c r="Q87" i="7" a="1"/>
  <c r="D81" i="10"/>
  <c r="Z83" i="7" a="1"/>
  <c r="E80" i="10"/>
  <c r="AA82" i="7" a="1"/>
  <c r="D83" i="9"/>
  <c r="C82" i="10"/>
  <c r="Y84" i="7" a="1"/>
  <c r="AL84" i="7" a="1"/>
  <c r="I96" i="13"/>
  <c r="G97" i="13"/>
  <c r="E96" i="13"/>
  <c r="C96" i="13"/>
  <c r="H85" i="10"/>
  <c r="B85" i="10"/>
  <c r="I84" i="10"/>
  <c r="J83" i="10"/>
  <c r="K82" i="10"/>
  <c r="L81" i="10"/>
  <c r="M81" i="10"/>
  <c r="M88" i="7" a="1"/>
  <c r="L88" i="7" a="1"/>
  <c r="N88" i="7" s="1" a="1"/>
  <c r="O88" i="7" s="1" a="1"/>
  <c r="AK88" i="7"/>
  <c r="C88" i="9" s="1"/>
  <c r="K89" i="7"/>
  <c r="AB110" i="1"/>
  <c r="M80" i="3"/>
  <c r="L81" i="3"/>
  <c r="K82" i="3"/>
  <c r="J83" i="3"/>
  <c r="I84" i="3"/>
  <c r="H85" i="3"/>
  <c r="C86" i="3"/>
  <c r="D85" i="3"/>
  <c r="E84" i="3"/>
  <c r="F83" i="3"/>
  <c r="G82" i="3"/>
  <c r="B87" i="3"/>
  <c r="AB87" i="1"/>
  <c r="AA89" i="1"/>
  <c r="F80" i="10" l="1"/>
  <c r="AB82" i="7" a="1"/>
  <c r="G79" i="10"/>
  <c r="AC81" i="7" a="1"/>
  <c r="Q88" i="7" a="1"/>
  <c r="P88" i="7" a="1"/>
  <c r="D82" i="10"/>
  <c r="Z84" i="7" a="1"/>
  <c r="E81" i="10"/>
  <c r="AA83" i="7" a="1"/>
  <c r="D84" i="9"/>
  <c r="C83" i="10"/>
  <c r="Y85" i="7" a="1"/>
  <c r="AL85" i="7" a="1"/>
  <c r="I97" i="13"/>
  <c r="G98" i="13"/>
  <c r="E97" i="13"/>
  <c r="C97" i="13"/>
  <c r="H86" i="10"/>
  <c r="B86" i="10"/>
  <c r="I85" i="10"/>
  <c r="J84" i="10"/>
  <c r="K83" i="10"/>
  <c r="L82" i="10"/>
  <c r="M82" i="10"/>
  <c r="M89" i="7" a="1"/>
  <c r="L89" i="7" a="1"/>
  <c r="N89" i="7" s="1" a="1"/>
  <c r="O89" i="7" s="1" a="1"/>
  <c r="AK89" i="7"/>
  <c r="C89" i="9" s="1"/>
  <c r="K90" i="7"/>
  <c r="M81" i="3"/>
  <c r="L82" i="3"/>
  <c r="K83" i="3"/>
  <c r="J84" i="3"/>
  <c r="I85" i="3"/>
  <c r="H86" i="3"/>
  <c r="C87" i="3"/>
  <c r="E85" i="3"/>
  <c r="F84" i="3"/>
  <c r="G83" i="3"/>
  <c r="B88" i="3"/>
  <c r="D86" i="3"/>
  <c r="AB88" i="1"/>
  <c r="AA90" i="1"/>
  <c r="F81" i="10" l="1"/>
  <c r="AB83" i="7" a="1"/>
  <c r="G80" i="10"/>
  <c r="AC82" i="7" a="1"/>
  <c r="Q89" i="7" a="1"/>
  <c r="P89" i="7" a="1"/>
  <c r="D83" i="10"/>
  <c r="Z85" i="7" a="1"/>
  <c r="E82" i="10"/>
  <c r="AA84" i="7" a="1"/>
  <c r="D85" i="9"/>
  <c r="C84" i="10"/>
  <c r="Y86" i="7" a="1"/>
  <c r="AL86" i="7" a="1"/>
  <c r="I98" i="13"/>
  <c r="G99" i="13"/>
  <c r="E98" i="13"/>
  <c r="C98" i="13"/>
  <c r="H87" i="10"/>
  <c r="B87" i="10"/>
  <c r="I86" i="10"/>
  <c r="J85" i="10"/>
  <c r="K84" i="10"/>
  <c r="L83" i="10"/>
  <c r="M83" i="10"/>
  <c r="L90" i="7" a="1"/>
  <c r="N90" i="7" s="1" a="1"/>
  <c r="O90" i="7" s="1" a="1"/>
  <c r="M90" i="7" a="1"/>
  <c r="AK90" i="7"/>
  <c r="C90" i="9" s="1"/>
  <c r="K91" i="7"/>
  <c r="M82" i="3"/>
  <c r="L83" i="3"/>
  <c r="K84" i="3"/>
  <c r="J85" i="3"/>
  <c r="I86" i="3"/>
  <c r="H87" i="3"/>
  <c r="C88" i="3"/>
  <c r="D87" i="3"/>
  <c r="F85" i="3"/>
  <c r="G84" i="3"/>
  <c r="E86" i="3"/>
  <c r="B89" i="3"/>
  <c r="AB89" i="1"/>
  <c r="AA91" i="1"/>
  <c r="F82" i="10" l="1"/>
  <c r="AB84" i="7" a="1"/>
  <c r="G81" i="10"/>
  <c r="AC83" i="7" a="1"/>
  <c r="P90" i="7" a="1"/>
  <c r="Q90" i="7" a="1"/>
  <c r="D84" i="10"/>
  <c r="Z86" i="7" a="1"/>
  <c r="E83" i="10"/>
  <c r="AA85" i="7" a="1"/>
  <c r="D86" i="9"/>
  <c r="C85" i="10"/>
  <c r="Y87" i="7" a="1"/>
  <c r="AL87" i="7" a="1"/>
  <c r="I99" i="13"/>
  <c r="G100" i="13"/>
  <c r="E99" i="13"/>
  <c r="C99" i="13"/>
  <c r="H88" i="10"/>
  <c r="B88" i="10"/>
  <c r="I87" i="10"/>
  <c r="J86" i="10"/>
  <c r="K85" i="10"/>
  <c r="L84" i="10"/>
  <c r="M84" i="10"/>
  <c r="M91" i="7" a="1"/>
  <c r="L91" i="7" a="1"/>
  <c r="N91" i="7" s="1" a="1"/>
  <c r="O91" i="7" s="1" a="1"/>
  <c r="AK91" i="7"/>
  <c r="C91" i="9" s="1"/>
  <c r="K92" i="7"/>
  <c r="M83" i="3"/>
  <c r="L84" i="3"/>
  <c r="K85" i="3"/>
  <c r="J86" i="3"/>
  <c r="I87" i="3"/>
  <c r="H88" i="3"/>
  <c r="F86" i="3"/>
  <c r="B90" i="3"/>
  <c r="C89" i="3"/>
  <c r="D88" i="3"/>
  <c r="E87" i="3"/>
  <c r="G85" i="3"/>
  <c r="AB90" i="1"/>
  <c r="AA92" i="1"/>
  <c r="F83" i="10" l="1"/>
  <c r="AB85" i="7" a="1"/>
  <c r="G82" i="10"/>
  <c r="AC84" i="7" a="1"/>
  <c r="Q91" i="7" a="1"/>
  <c r="P91" i="7" a="1"/>
  <c r="D85" i="10"/>
  <c r="Z87" i="7" a="1"/>
  <c r="E84" i="10"/>
  <c r="AA86" i="7" a="1"/>
  <c r="D87" i="9"/>
  <c r="C86" i="10"/>
  <c r="Y88" i="7" a="1"/>
  <c r="AL88" i="7" a="1"/>
  <c r="I100" i="13"/>
  <c r="G101" i="13"/>
  <c r="E100" i="13"/>
  <c r="C100" i="13"/>
  <c r="H89" i="10"/>
  <c r="B89" i="10"/>
  <c r="I88" i="10"/>
  <c r="J87" i="10"/>
  <c r="K86" i="10"/>
  <c r="L85" i="10"/>
  <c r="M85" i="10"/>
  <c r="M92" i="7" a="1"/>
  <c r="L92" i="7" a="1"/>
  <c r="N92" i="7" s="1" a="1"/>
  <c r="O92" i="7" s="1" a="1"/>
  <c r="AK92" i="7"/>
  <c r="C92" i="9" s="1"/>
  <c r="K93" i="7"/>
  <c r="M84" i="3"/>
  <c r="L85" i="3"/>
  <c r="K86" i="3"/>
  <c r="J87" i="3"/>
  <c r="I88" i="3"/>
  <c r="H89" i="3"/>
  <c r="C90" i="3"/>
  <c r="B91" i="3"/>
  <c r="D89" i="3"/>
  <c r="E88" i="3"/>
  <c r="F87" i="3"/>
  <c r="G86" i="3"/>
  <c r="AB91" i="1"/>
  <c r="AA93" i="1"/>
  <c r="F84" i="10" l="1"/>
  <c r="AB86" i="7" a="1"/>
  <c r="G83" i="10"/>
  <c r="AC85" i="7" a="1"/>
  <c r="P92" i="7" a="1"/>
  <c r="Q92" i="7" a="1"/>
  <c r="D86" i="10"/>
  <c r="Z88" i="7" a="1"/>
  <c r="E85" i="10"/>
  <c r="AA87" i="7" a="1"/>
  <c r="D88" i="9"/>
  <c r="C87" i="10"/>
  <c r="Y89" i="7" a="1"/>
  <c r="AL89" i="7" a="1"/>
  <c r="I101" i="13"/>
  <c r="G102" i="13"/>
  <c r="E101" i="13"/>
  <c r="C101" i="13"/>
  <c r="H90" i="10"/>
  <c r="B90" i="10"/>
  <c r="I89" i="10"/>
  <c r="J88" i="10"/>
  <c r="K87" i="10"/>
  <c r="L86" i="10"/>
  <c r="M86" i="10"/>
  <c r="M93" i="7" a="1"/>
  <c r="L93" i="7" a="1"/>
  <c r="N93" i="7" s="1" a="1"/>
  <c r="O93" i="7" s="1" a="1"/>
  <c r="AK93" i="7"/>
  <c r="C93" i="9" s="1"/>
  <c r="K94" i="7"/>
  <c r="M85" i="3"/>
  <c r="L86" i="3"/>
  <c r="K87" i="3"/>
  <c r="J88" i="3"/>
  <c r="I89" i="3"/>
  <c r="H90" i="3"/>
  <c r="C91" i="3"/>
  <c r="D90" i="3"/>
  <c r="E89" i="3"/>
  <c r="F88" i="3"/>
  <c r="G87" i="3"/>
  <c r="B92" i="3"/>
  <c r="AB92" i="1"/>
  <c r="AA94" i="1"/>
  <c r="F85" i="10" l="1"/>
  <c r="AB87" i="7" a="1"/>
  <c r="G84" i="10"/>
  <c r="AC86" i="7" a="1"/>
  <c r="P93" i="7" a="1"/>
  <c r="Q93" i="7" a="1"/>
  <c r="D87" i="10"/>
  <c r="Z89" i="7" a="1"/>
  <c r="E86" i="10"/>
  <c r="AA88" i="7" a="1"/>
  <c r="D89" i="9"/>
  <c r="C88" i="10"/>
  <c r="Y90" i="7" a="1"/>
  <c r="AL90" i="7" a="1"/>
  <c r="I102" i="13"/>
  <c r="E102" i="13"/>
  <c r="C102" i="13"/>
  <c r="H91" i="10"/>
  <c r="B91" i="10"/>
  <c r="I90" i="10"/>
  <c r="J89" i="10"/>
  <c r="K88" i="10"/>
  <c r="L87" i="10"/>
  <c r="M87" i="10"/>
  <c r="L94" i="7" a="1"/>
  <c r="N94" i="7" s="1" a="1"/>
  <c r="O94" i="7" s="1" a="1"/>
  <c r="M94" i="7" a="1"/>
  <c r="AK94" i="7"/>
  <c r="C94" i="9" s="1"/>
  <c r="K95" i="7"/>
  <c r="M86" i="3"/>
  <c r="L87" i="3"/>
  <c r="K88" i="3"/>
  <c r="J89" i="3"/>
  <c r="I90" i="3"/>
  <c r="H91" i="3"/>
  <c r="C92" i="3"/>
  <c r="G88" i="3"/>
  <c r="D91" i="3"/>
  <c r="E90" i="3"/>
  <c r="F89" i="3"/>
  <c r="B93" i="3"/>
  <c r="AB93" i="1"/>
  <c r="AA95" i="1"/>
  <c r="F86" i="10" l="1"/>
  <c r="AB88" i="7" a="1"/>
  <c r="G85" i="10"/>
  <c r="AC87" i="7" a="1"/>
  <c r="P94" i="7" a="1"/>
  <c r="Q94" i="7" a="1"/>
  <c r="D88" i="10"/>
  <c r="Z90" i="7" a="1"/>
  <c r="E87" i="10"/>
  <c r="AA89" i="7" a="1"/>
  <c r="D90" i="9"/>
  <c r="C89" i="10"/>
  <c r="Y91" i="7" a="1"/>
  <c r="AL91" i="7" a="1"/>
  <c r="H92" i="10"/>
  <c r="B92" i="10"/>
  <c r="I91" i="10"/>
  <c r="J90" i="10"/>
  <c r="K89" i="10"/>
  <c r="L88" i="10"/>
  <c r="M88" i="10"/>
  <c r="M95" i="7" a="1"/>
  <c r="L95" i="7" a="1"/>
  <c r="N95" i="7" s="1" a="1"/>
  <c r="O95" i="7" s="1" a="1"/>
  <c r="AK95" i="7"/>
  <c r="C95" i="9" s="1"/>
  <c r="K96" i="7"/>
  <c r="M87" i="3"/>
  <c r="L88" i="3"/>
  <c r="K89" i="3"/>
  <c r="J90" i="3"/>
  <c r="I91" i="3"/>
  <c r="H92" i="3"/>
  <c r="C93" i="3"/>
  <c r="D92" i="3"/>
  <c r="B94" i="3"/>
  <c r="E91" i="3"/>
  <c r="F90" i="3"/>
  <c r="G89" i="3"/>
  <c r="AB94" i="1"/>
  <c r="AA96" i="1"/>
  <c r="F87" i="10" l="1"/>
  <c r="AB89" i="7" a="1"/>
  <c r="G86" i="10"/>
  <c r="AC88" i="7" a="1"/>
  <c r="P95" i="7" a="1"/>
  <c r="Q95" i="7" a="1"/>
  <c r="D89" i="10"/>
  <c r="Z91" i="7" a="1"/>
  <c r="E88" i="10"/>
  <c r="AA90" i="7" a="1"/>
  <c r="D91" i="9"/>
  <c r="C90" i="10"/>
  <c r="Y92" i="7" a="1"/>
  <c r="AL92" i="7" a="1"/>
  <c r="H93" i="10"/>
  <c r="B93" i="10"/>
  <c r="I92" i="10"/>
  <c r="J91" i="10"/>
  <c r="K90" i="10"/>
  <c r="L89" i="10"/>
  <c r="M89" i="10"/>
  <c r="M96" i="7" a="1"/>
  <c r="L96" i="7" a="1"/>
  <c r="N96" i="7" s="1" a="1"/>
  <c r="O96" i="7" s="1" a="1"/>
  <c r="AK96" i="7"/>
  <c r="C96" i="9" s="1"/>
  <c r="K97" i="7"/>
  <c r="M88" i="3"/>
  <c r="L89" i="3"/>
  <c r="K90" i="3"/>
  <c r="J91" i="3"/>
  <c r="I92" i="3"/>
  <c r="H93" i="3"/>
  <c r="E92" i="3"/>
  <c r="F91" i="3"/>
  <c r="B95" i="3"/>
  <c r="C94" i="3"/>
  <c r="D93" i="3"/>
  <c r="G90" i="3"/>
  <c r="AB95" i="1"/>
  <c r="AA97" i="1"/>
  <c r="F88" i="10" l="1"/>
  <c r="AB90" i="7" a="1"/>
  <c r="G87" i="10"/>
  <c r="AC89" i="7" a="1"/>
  <c r="Q96" i="7" a="1"/>
  <c r="P96" i="7" a="1"/>
  <c r="D90" i="10"/>
  <c r="Z92" i="7" a="1"/>
  <c r="E89" i="10"/>
  <c r="AA91" i="7" a="1"/>
  <c r="D92" i="9"/>
  <c r="C91" i="10"/>
  <c r="Y93" i="7" a="1"/>
  <c r="AL93" i="7" a="1"/>
  <c r="H94" i="10"/>
  <c r="B94" i="10"/>
  <c r="I93" i="10"/>
  <c r="J92" i="10"/>
  <c r="K91" i="10"/>
  <c r="L90" i="10"/>
  <c r="M90" i="10"/>
  <c r="M97" i="7" a="1"/>
  <c r="L97" i="7" a="1"/>
  <c r="N97" i="7" s="1" a="1"/>
  <c r="O97" i="7" s="1" a="1"/>
  <c r="AK97" i="7"/>
  <c r="C97" i="9" s="1"/>
  <c r="K98" i="7"/>
  <c r="M89" i="3"/>
  <c r="L90" i="3"/>
  <c r="K91" i="3"/>
  <c r="J92" i="3"/>
  <c r="I93" i="3"/>
  <c r="H94" i="3"/>
  <c r="B96" i="3"/>
  <c r="C95" i="3"/>
  <c r="D94" i="3"/>
  <c r="E93" i="3"/>
  <c r="F92" i="3"/>
  <c r="G91" i="3"/>
  <c r="AB96" i="1"/>
  <c r="AA98" i="1"/>
  <c r="F89" i="10" l="1"/>
  <c r="AB91" i="7" a="1"/>
  <c r="G88" i="10"/>
  <c r="AC90" i="7" a="1"/>
  <c r="Q97" i="7" a="1"/>
  <c r="P97" i="7" a="1"/>
  <c r="D91" i="10"/>
  <c r="Z93" i="7" a="1"/>
  <c r="E90" i="10"/>
  <c r="AA92" i="7" a="1"/>
  <c r="D93" i="9"/>
  <c r="C92" i="10"/>
  <c r="Y94" i="7" a="1"/>
  <c r="AL94" i="7" a="1"/>
  <c r="H95" i="10"/>
  <c r="B95" i="10"/>
  <c r="I94" i="10"/>
  <c r="J93" i="10"/>
  <c r="K92" i="10"/>
  <c r="L91" i="10"/>
  <c r="M91" i="10"/>
  <c r="M98" i="7" a="1"/>
  <c r="L98" i="7" a="1"/>
  <c r="N98" i="7" s="1" a="1"/>
  <c r="O98" i="7" s="1" a="1"/>
  <c r="AK98" i="7"/>
  <c r="C98" i="9" s="1"/>
  <c r="K99" i="7"/>
  <c r="M90" i="3"/>
  <c r="L91" i="3"/>
  <c r="K92" i="3"/>
  <c r="J93" i="3"/>
  <c r="I94" i="3"/>
  <c r="H95" i="3"/>
  <c r="C96" i="3"/>
  <c r="D95" i="3"/>
  <c r="E94" i="3"/>
  <c r="F93" i="3"/>
  <c r="G92" i="3"/>
  <c r="B97" i="3"/>
  <c r="AB97" i="1"/>
  <c r="AA99" i="1"/>
  <c r="F90" i="10" l="1"/>
  <c r="AB92" i="7" a="1"/>
  <c r="G89" i="10"/>
  <c r="AC91" i="7" a="1"/>
  <c r="Q98" i="7" a="1"/>
  <c r="P98" i="7" a="1"/>
  <c r="D92" i="10"/>
  <c r="Z94" i="7" a="1"/>
  <c r="E91" i="10"/>
  <c r="AA93" i="7" a="1"/>
  <c r="D94" i="9"/>
  <c r="C93" i="10"/>
  <c r="Y95" i="7" a="1"/>
  <c r="AL95" i="7" a="1"/>
  <c r="H96" i="10"/>
  <c r="B96" i="10"/>
  <c r="I95" i="10"/>
  <c r="J94" i="10"/>
  <c r="K93" i="10"/>
  <c r="L92" i="10"/>
  <c r="M92" i="10"/>
  <c r="M99" i="7" a="1"/>
  <c r="L99" i="7" a="1"/>
  <c r="N99" i="7" s="1" a="1"/>
  <c r="O99" i="7" s="1" a="1"/>
  <c r="AK99" i="7"/>
  <c r="C99" i="9" s="1"/>
  <c r="K100" i="7"/>
  <c r="M91" i="3"/>
  <c r="L92" i="3"/>
  <c r="K93" i="3"/>
  <c r="J94" i="3"/>
  <c r="I95" i="3"/>
  <c r="H96" i="3"/>
  <c r="C97" i="3"/>
  <c r="D96" i="3"/>
  <c r="E95" i="3"/>
  <c r="F94" i="3"/>
  <c r="G93" i="3"/>
  <c r="B98" i="3"/>
  <c r="AB98" i="1"/>
  <c r="AA100" i="1"/>
  <c r="F91" i="10" l="1"/>
  <c r="AB93" i="7" a="1"/>
  <c r="G90" i="10"/>
  <c r="AC92" i="7" a="1"/>
  <c r="P99" i="7" a="1"/>
  <c r="Q99" i="7" a="1"/>
  <c r="D93" i="10"/>
  <c r="Z95" i="7" a="1"/>
  <c r="E92" i="10"/>
  <c r="AA94" i="7" a="1"/>
  <c r="D95" i="9"/>
  <c r="C94" i="10"/>
  <c r="Y96" i="7" a="1"/>
  <c r="AL96" i="7" a="1"/>
  <c r="H97" i="10"/>
  <c r="B97" i="10"/>
  <c r="I96" i="10"/>
  <c r="J95" i="10"/>
  <c r="K94" i="10"/>
  <c r="L93" i="10"/>
  <c r="M93" i="10"/>
  <c r="M100" i="7" a="1"/>
  <c r="L100" i="7" a="1"/>
  <c r="N100" i="7" s="1" a="1"/>
  <c r="O100" i="7" s="1" a="1"/>
  <c r="AK100" i="7"/>
  <c r="C100" i="9" s="1"/>
  <c r="K101" i="7"/>
  <c r="M92" i="3"/>
  <c r="L93" i="3"/>
  <c r="K94" i="3"/>
  <c r="J95" i="3"/>
  <c r="I96" i="3"/>
  <c r="H97" i="3"/>
  <c r="B99" i="3"/>
  <c r="C98" i="3"/>
  <c r="D97" i="3"/>
  <c r="E96" i="3"/>
  <c r="F95" i="3"/>
  <c r="G94" i="3"/>
  <c r="AB99" i="1"/>
  <c r="AA101" i="1"/>
  <c r="F92" i="10" l="1"/>
  <c r="AB94" i="7" a="1"/>
  <c r="G91" i="10"/>
  <c r="AC93" i="7" a="1"/>
  <c r="Q100" i="7" a="1"/>
  <c r="P100" i="7" a="1"/>
  <c r="D94" i="10"/>
  <c r="Z96" i="7" a="1"/>
  <c r="E93" i="10"/>
  <c r="AA95" i="7" a="1"/>
  <c r="D96" i="9"/>
  <c r="C95" i="10"/>
  <c r="Y97" i="7" a="1"/>
  <c r="AL97" i="7" a="1"/>
  <c r="H98" i="10"/>
  <c r="B98" i="10"/>
  <c r="I97" i="10"/>
  <c r="J96" i="10"/>
  <c r="K95" i="10"/>
  <c r="L94" i="10"/>
  <c r="M94" i="10"/>
  <c r="M101" i="7" a="1"/>
  <c r="L101" i="7" a="1"/>
  <c r="N101" i="7" s="1" a="1"/>
  <c r="O101" i="7" s="1" a="1"/>
  <c r="AK101" i="7"/>
  <c r="C101" i="9" s="1"/>
  <c r="K102" i="7"/>
  <c r="M93" i="3"/>
  <c r="L94" i="3"/>
  <c r="K95" i="3"/>
  <c r="J96" i="3"/>
  <c r="I97" i="3"/>
  <c r="H98" i="3"/>
  <c r="D98" i="3"/>
  <c r="E97" i="3"/>
  <c r="F96" i="3"/>
  <c r="G95" i="3"/>
  <c r="B100" i="3"/>
  <c r="C99" i="3"/>
  <c r="AB100" i="1"/>
  <c r="AA102" i="1"/>
  <c r="F93" i="10" l="1"/>
  <c r="AB95" i="7" a="1"/>
  <c r="G92" i="10"/>
  <c r="AC94" i="7" a="1"/>
  <c r="Q101" i="7" a="1"/>
  <c r="P101" i="7" a="1"/>
  <c r="D95" i="10"/>
  <c r="Z97" i="7" a="1"/>
  <c r="E94" i="10"/>
  <c r="AA96" i="7" a="1"/>
  <c r="D97" i="9"/>
  <c r="C96" i="10"/>
  <c r="Y98" i="7" a="1"/>
  <c r="AL98" i="7" a="1"/>
  <c r="H99" i="10"/>
  <c r="B99" i="10"/>
  <c r="I98" i="10"/>
  <c r="J97" i="10"/>
  <c r="K96" i="10"/>
  <c r="L95" i="10"/>
  <c r="M95" i="10"/>
  <c r="L102" i="7" a="1"/>
  <c r="N102" i="7" s="1" a="1"/>
  <c r="O102" i="7" s="1" a="1"/>
  <c r="M102" i="7" a="1"/>
  <c r="AK102" i="7"/>
  <c r="C102" i="9" s="1"/>
  <c r="K103" i="7"/>
  <c r="M94" i="3"/>
  <c r="L95" i="3"/>
  <c r="K96" i="3"/>
  <c r="J97" i="3"/>
  <c r="I98" i="3"/>
  <c r="H99" i="3"/>
  <c r="C100" i="3"/>
  <c r="E98" i="3"/>
  <c r="B101" i="3"/>
  <c r="D99" i="3"/>
  <c r="F97" i="3"/>
  <c r="G96" i="3"/>
  <c r="AB101" i="1"/>
  <c r="F94" i="10" l="1"/>
  <c r="AB96" i="7" a="1"/>
  <c r="G93" i="10"/>
  <c r="AC95" i="7" a="1"/>
  <c r="Q102" i="7" a="1"/>
  <c r="P102" i="7" a="1"/>
  <c r="D96" i="10"/>
  <c r="Z98" i="7" a="1"/>
  <c r="E95" i="10"/>
  <c r="AA97" i="7" a="1"/>
  <c r="D98" i="9"/>
  <c r="C97" i="10"/>
  <c r="Y99" i="7" a="1"/>
  <c r="AL99" i="7" a="1"/>
  <c r="H100" i="10"/>
  <c r="B100" i="10"/>
  <c r="I99" i="10"/>
  <c r="J98" i="10"/>
  <c r="K97" i="10"/>
  <c r="L96" i="10"/>
  <c r="M96" i="10"/>
  <c r="M103" i="7" a="1"/>
  <c r="L103" i="7" a="1"/>
  <c r="N103" i="7" s="1" a="1"/>
  <c r="O103" i="7" s="1" a="1"/>
  <c r="AK103" i="7"/>
  <c r="K104" i="7"/>
  <c r="M95" i="3"/>
  <c r="L96" i="3"/>
  <c r="K97" i="3"/>
  <c r="J98" i="3"/>
  <c r="I99" i="3"/>
  <c r="H100" i="3"/>
  <c r="AA103" i="1"/>
  <c r="AB102" i="1"/>
  <c r="AB103" i="1"/>
  <c r="F95" i="10" l="1"/>
  <c r="AB97" i="7" a="1"/>
  <c r="G94" i="10"/>
  <c r="AC96" i="7" a="1"/>
  <c r="P103" i="7" a="1"/>
  <c r="Q103" i="7" a="1"/>
  <c r="D97" i="10"/>
  <c r="Z99" i="7" a="1"/>
  <c r="E96" i="10"/>
  <c r="AA98" i="7" a="1"/>
  <c r="D99" i="9"/>
  <c r="C98" i="10"/>
  <c r="Y100" i="7" a="1"/>
  <c r="AL100" i="7" a="1"/>
  <c r="H101" i="10"/>
  <c r="B101" i="10"/>
  <c r="I100" i="10"/>
  <c r="J99" i="10"/>
  <c r="K98" i="10"/>
  <c r="L97" i="10"/>
  <c r="M97" i="10"/>
  <c r="L104" i="7" a="1"/>
  <c r="N104" i="7" s="1" a="1"/>
  <c r="O104" i="7" s="1" a="1"/>
  <c r="M104" i="7" a="1"/>
  <c r="AK104" i="7"/>
  <c r="K105" i="7"/>
  <c r="AD32" i="1" a="1"/>
  <c r="AD29" i="1" a="1"/>
  <c r="AD30" i="1" a="1"/>
  <c r="AD31" i="1" a="1"/>
  <c r="AD33" i="1" a="1"/>
  <c r="AD35" i="1" a="1"/>
  <c r="AD34" i="1" a="1"/>
  <c r="AD36" i="1" a="1"/>
  <c r="AD37" i="1" a="1"/>
  <c r="AD38" i="1" a="1"/>
  <c r="AD39" i="1" a="1"/>
  <c r="AD40" i="1" a="1"/>
  <c r="AD41" i="1" a="1"/>
  <c r="AD42" i="1" a="1"/>
  <c r="AD43" i="1" a="1"/>
  <c r="AD44" i="1" a="1"/>
  <c r="AD45" i="1" a="1"/>
  <c r="AD46" i="1" a="1"/>
  <c r="AD47" i="1" a="1"/>
  <c r="AD48" i="1" a="1"/>
  <c r="AD49" i="1" a="1"/>
  <c r="AD52" i="1" a="1"/>
  <c r="AD50" i="1" a="1"/>
  <c r="AD51" i="1" a="1"/>
  <c r="AD53" i="1" a="1"/>
  <c r="AD54" i="1" a="1"/>
  <c r="AD55" i="1" a="1"/>
  <c r="AD56" i="1" a="1"/>
  <c r="AD57" i="1" a="1"/>
  <c r="AD58" i="1" a="1"/>
  <c r="AD59" i="1" a="1"/>
  <c r="AD61" i="1" a="1"/>
  <c r="AD60" i="1" a="1"/>
  <c r="AD62" i="1" a="1"/>
  <c r="AD63" i="1" a="1"/>
  <c r="AD64" i="1" a="1"/>
  <c r="AD66" i="1" a="1"/>
  <c r="AD65" i="1" a="1"/>
  <c r="AD67" i="1" a="1"/>
  <c r="AD68" i="1" a="1"/>
  <c r="AD71" i="1" a="1"/>
  <c r="AD69" i="1" a="1"/>
  <c r="AD70" i="1" a="1"/>
  <c r="AD73" i="1" a="1"/>
  <c r="AD72" i="1" a="1"/>
  <c r="AD74" i="1" a="1"/>
  <c r="AD75" i="1" a="1"/>
  <c r="AD76" i="1" a="1"/>
  <c r="AD77" i="1" a="1"/>
  <c r="AD78" i="1" a="1"/>
  <c r="AD79" i="1" a="1"/>
  <c r="AD80" i="1" a="1"/>
  <c r="AD83" i="1" a="1"/>
  <c r="AD82" i="1" a="1"/>
  <c r="AD81" i="1" a="1"/>
  <c r="AD84" i="1" a="1"/>
  <c r="AD85" i="1" a="1"/>
  <c r="AD86" i="1" a="1"/>
  <c r="AD87" i="1" a="1"/>
  <c r="AD88" i="1" a="1"/>
  <c r="AD89" i="1" a="1"/>
  <c r="AD90" i="1" a="1"/>
  <c r="AD93" i="1" a="1"/>
  <c r="AD91" i="1" a="1"/>
  <c r="AD92" i="1" a="1"/>
  <c r="AD100" i="1" a="1"/>
  <c r="AD99" i="1" a="1"/>
  <c r="AD95" i="1" a="1"/>
  <c r="AD96" i="1" a="1"/>
  <c r="AD97" i="1" a="1"/>
  <c r="AD98" i="1" a="1"/>
  <c r="AD101" i="1" a="1"/>
  <c r="AD94" i="1" a="1"/>
  <c r="AD102" i="1" a="1"/>
  <c r="M96" i="3"/>
  <c r="L97" i="3"/>
  <c r="K98" i="3"/>
  <c r="J99" i="3"/>
  <c r="I100" i="3"/>
  <c r="H101" i="3"/>
  <c r="AA104" i="1"/>
  <c r="B102" i="3"/>
  <c r="G97" i="3"/>
  <c r="F98" i="3"/>
  <c r="E99" i="3"/>
  <c r="D100" i="3"/>
  <c r="C101" i="3"/>
  <c r="M97" i="3"/>
  <c r="L98" i="3"/>
  <c r="K99" i="3"/>
  <c r="J100" i="3"/>
  <c r="I101" i="3"/>
  <c r="H102" i="3"/>
  <c r="F96" i="10" l="1"/>
  <c r="AB98" i="7" a="1"/>
  <c r="G95" i="10"/>
  <c r="AC97" i="7" a="1"/>
  <c r="Q104" i="7" a="1"/>
  <c r="P104" i="7" a="1"/>
  <c r="D98" i="10"/>
  <c r="Z100" i="7" a="1"/>
  <c r="E97" i="10"/>
  <c r="AA99" i="7" a="1"/>
  <c r="D100" i="9"/>
  <c r="C99" i="10"/>
  <c r="Y101" i="7" a="1"/>
  <c r="AL101" i="7" a="1"/>
  <c r="I101" i="10"/>
  <c r="J100" i="10"/>
  <c r="K99" i="10"/>
  <c r="L98" i="10"/>
  <c r="M98" i="10"/>
  <c r="M105" i="7" a="1"/>
  <c r="L105" i="7" a="1"/>
  <c r="N105" i="7" s="1" a="1"/>
  <c r="O105" i="7" s="1" a="1"/>
  <c r="AK105" i="7"/>
  <c r="K106" i="7"/>
  <c r="F31" i="5"/>
  <c r="F28" i="5"/>
  <c r="F29" i="5"/>
  <c r="F30" i="5"/>
  <c r="F32" i="5"/>
  <c r="F34" i="5"/>
  <c r="F33" i="5"/>
  <c r="F35" i="5"/>
  <c r="F36" i="5"/>
  <c r="F37" i="5"/>
  <c r="F38" i="5"/>
  <c r="F39" i="5"/>
  <c r="F40" i="5"/>
  <c r="F41" i="5"/>
  <c r="F42" i="5"/>
  <c r="F43" i="5"/>
  <c r="F44" i="5"/>
  <c r="F45" i="5"/>
  <c r="F46" i="5"/>
  <c r="F47" i="5"/>
  <c r="F48" i="5"/>
  <c r="F51" i="5"/>
  <c r="F49" i="5"/>
  <c r="F50" i="5"/>
  <c r="F52" i="5"/>
  <c r="F53" i="5"/>
  <c r="F54" i="5"/>
  <c r="F55" i="5"/>
  <c r="F56" i="5"/>
  <c r="F57" i="5"/>
  <c r="F58" i="5"/>
  <c r="F60" i="5"/>
  <c r="F59" i="5"/>
  <c r="F61" i="5"/>
  <c r="F62" i="5"/>
  <c r="F63" i="5"/>
  <c r="F65" i="5"/>
  <c r="F64" i="5"/>
  <c r="F66" i="5"/>
  <c r="F67" i="5"/>
  <c r="F70" i="5"/>
  <c r="F68" i="5"/>
  <c r="F69" i="5"/>
  <c r="F72" i="5"/>
  <c r="F71" i="5"/>
  <c r="F73" i="5"/>
  <c r="F74" i="5"/>
  <c r="F75" i="5"/>
  <c r="F76" i="5"/>
  <c r="F77" i="5"/>
  <c r="F78" i="5"/>
  <c r="F79" i="5"/>
  <c r="F82" i="5"/>
  <c r="F81" i="5"/>
  <c r="F80" i="5"/>
  <c r="F83" i="5"/>
  <c r="F84" i="5"/>
  <c r="F85" i="5"/>
  <c r="F86" i="5"/>
  <c r="F87" i="5"/>
  <c r="F88" i="5"/>
  <c r="F89" i="5"/>
  <c r="F92" i="5"/>
  <c r="F90" i="5"/>
  <c r="F91" i="5"/>
  <c r="F99" i="5"/>
  <c r="F98" i="5"/>
  <c r="F94" i="5"/>
  <c r="F95" i="5"/>
  <c r="F96" i="5"/>
  <c r="F97" i="5"/>
  <c r="F100" i="5"/>
  <c r="F93" i="5"/>
  <c r="F101" i="5"/>
  <c r="AD103" i="1" a="1"/>
  <c r="F99" i="3"/>
  <c r="C102" i="3"/>
  <c r="G98" i="3"/>
  <c r="E100" i="3"/>
  <c r="D101" i="3"/>
  <c r="AA105" i="1"/>
  <c r="F97" i="10" l="1"/>
  <c r="AB99" i="7" a="1"/>
  <c r="G96" i="10"/>
  <c r="AC98" i="7" a="1"/>
  <c r="Q105" i="7" a="1"/>
  <c r="P105" i="7" a="1"/>
  <c r="D99" i="10"/>
  <c r="Z101" i="7" a="1"/>
  <c r="E98" i="10"/>
  <c r="AA100" i="7" a="1"/>
  <c r="D101" i="9"/>
  <c r="C100" i="10"/>
  <c r="Y102" i="7" a="1"/>
  <c r="AL102" i="7" a="1"/>
  <c r="J101" i="10"/>
  <c r="K100" i="10"/>
  <c r="L99" i="10"/>
  <c r="M99" i="10"/>
  <c r="K107" i="7"/>
  <c r="M106" i="7" a="1"/>
  <c r="L106" i="7" a="1"/>
  <c r="N106" i="7" s="1" a="1"/>
  <c r="O106" i="7" s="1" a="1"/>
  <c r="AK106" i="7"/>
  <c r="F102" i="5"/>
  <c r="AD104" i="1" a="1"/>
  <c r="G99" i="3"/>
  <c r="F100" i="3"/>
  <c r="E101" i="3"/>
  <c r="D102" i="3"/>
  <c r="AA106" i="1"/>
  <c r="F98" i="10" l="1"/>
  <c r="AB100" i="7" a="1"/>
  <c r="G97" i="10"/>
  <c r="AC99" i="7" a="1"/>
  <c r="P106" i="7" a="1"/>
  <c r="Q106" i="7" a="1"/>
  <c r="D100" i="10"/>
  <c r="Z102" i="7" a="1"/>
  <c r="E99" i="10"/>
  <c r="AA101" i="7" a="1"/>
  <c r="D102" i="9"/>
  <c r="C101" i="10"/>
  <c r="Y103" i="7" a="1"/>
  <c r="Y104" i="7" s="1" a="1"/>
  <c r="Y105" i="7" s="1" a="1"/>
  <c r="Y106" i="7" s="1" a="1"/>
  <c r="Y107" i="7" s="1" a="1"/>
  <c r="Y108" i="7" s="1" a="1"/>
  <c r="Y109" i="7" s="1" a="1"/>
  <c r="Y110" i="7" s="1" a="1"/>
  <c r="AL103" i="7" a="1"/>
  <c r="K101" i="10"/>
  <c r="L100" i="10"/>
  <c r="M100" i="10"/>
  <c r="L107" i="7" a="1"/>
  <c r="N107" i="7" s="1" a="1"/>
  <c r="O107" i="7" s="1" a="1"/>
  <c r="M107" i="7" a="1"/>
  <c r="AK107" i="7"/>
  <c r="K108" i="7"/>
  <c r="AD105" i="1" a="1"/>
  <c r="F101" i="3"/>
  <c r="E102" i="3"/>
  <c r="G100" i="3"/>
  <c r="AA107" i="1"/>
  <c r="F99" i="10" l="1"/>
  <c r="AB101" i="7" a="1"/>
  <c r="G98" i="10"/>
  <c r="AC100" i="7" a="1"/>
  <c r="P107" i="7" a="1"/>
  <c r="Q107" i="7" a="1"/>
  <c r="D101" i="10"/>
  <c r="Z103" i="7" a="1"/>
  <c r="Z104" i="7" s="1" a="1"/>
  <c r="Z105" i="7" s="1" a="1"/>
  <c r="Z106" i="7" s="1" a="1"/>
  <c r="Z107" i="7" s="1" a="1"/>
  <c r="Z108" i="7" s="1" a="1"/>
  <c r="Z109" i="7" s="1" a="1"/>
  <c r="Z110" i="7" s="1" a="1"/>
  <c r="E100" i="10"/>
  <c r="AA102" i="7" a="1"/>
  <c r="AL104" i="7" a="1"/>
  <c r="L101" i="10"/>
  <c r="M101" i="10"/>
  <c r="M108" i="7" a="1"/>
  <c r="L108" i="7" a="1"/>
  <c r="N108" i="7" s="1" a="1"/>
  <c r="O108" i="7" s="1" a="1"/>
  <c r="AK108" i="7"/>
  <c r="K109" i="7"/>
  <c r="AD106" i="1" a="1"/>
  <c r="F102" i="3"/>
  <c r="G101" i="3"/>
  <c r="AA108" i="1"/>
  <c r="F100" i="10" l="1"/>
  <c r="AB102" i="7" a="1"/>
  <c r="G99" i="10"/>
  <c r="AC101" i="7" a="1"/>
  <c r="P108" i="7" a="1"/>
  <c r="Q108" i="7" a="1"/>
  <c r="E101" i="10"/>
  <c r="AA103" i="7" a="1"/>
  <c r="AA104" i="7" s="1" a="1"/>
  <c r="AA105" i="7" s="1" a="1"/>
  <c r="AA106" i="7" s="1" a="1"/>
  <c r="AA107" i="7" s="1" a="1"/>
  <c r="AA108" i="7" s="1" a="1"/>
  <c r="AA109" i="7" s="1" a="1"/>
  <c r="AA110" i="7" s="1" a="1"/>
  <c r="AL105" i="7" a="1"/>
  <c r="AL107" i="7" a="1"/>
  <c r="L109" i="7" a="1"/>
  <c r="N109" i="7" s="1" a="1"/>
  <c r="O109" i="7" s="1" a="1"/>
  <c r="M109" i="7" a="1"/>
  <c r="AK109" i="7"/>
  <c r="AL109" i="7" s="1" a="1"/>
  <c r="K110" i="7"/>
  <c r="G102" i="3"/>
  <c r="AD107" i="1" a="1"/>
  <c r="AA109" i="1"/>
  <c r="AA110" i="1"/>
  <c r="F101" i="10" l="1"/>
  <c r="AB103" i="7" a="1"/>
  <c r="AB104" i="7" s="1" a="1"/>
  <c r="AB105" i="7" s="1" a="1"/>
  <c r="AB106" i="7" s="1" a="1"/>
  <c r="AB107" i="7" s="1" a="1"/>
  <c r="AB108" i="7" s="1" a="1"/>
  <c r="AB109" i="7" s="1" a="1"/>
  <c r="AB110" i="7" s="1" a="1"/>
  <c r="G100" i="10"/>
  <c r="AC102" i="7" a="1"/>
  <c r="P109" i="7" a="1"/>
  <c r="Q109" i="7" a="1"/>
  <c r="AL106" i="7" a="1"/>
  <c r="AL108" i="7" a="1"/>
  <c r="M110" i="7" a="1"/>
  <c r="L110" i="7" a="1"/>
  <c r="N110" i="7" s="1" a="1"/>
  <c r="O110" i="7" s="1" a="1"/>
  <c r="AK110" i="7"/>
  <c r="AL110" i="7" s="1" a="1"/>
  <c r="AD109" i="1" a="1"/>
  <c r="AD108" i="1" a="1"/>
  <c r="AD110" i="1" a="1"/>
  <c r="G101" i="10" l="1"/>
  <c r="AC103" i="7" a="1"/>
  <c r="AC104" i="7" s="1" a="1"/>
  <c r="AC105" i="7" s="1" a="1"/>
  <c r="AC106" i="7" s="1" a="1"/>
  <c r="AC107" i="7" s="1" a="1"/>
  <c r="AC108" i="7" s="1" a="1"/>
  <c r="AC109" i="7" s="1" a="1"/>
  <c r="AC110" i="7" s="1" a="1"/>
  <c r="P110" i="7" a="1"/>
  <c r="Q110" i="7" a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<sst xmlns="http://schemas.openxmlformats.org/spreadsheetml/2006/main" count="414" uniqueCount="140">
  <si>
    <t>ナンバー</t>
  </si>
  <si>
    <t>駅名</t>
  </si>
  <si>
    <t>上 野</t>
  </si>
  <si>
    <t>井 堀</t>
  </si>
  <si>
    <t>尾 久</t>
  </si>
  <si>
    <t>赤 羽</t>
  </si>
  <si>
    <t>川 口</t>
  </si>
  <si>
    <t>浦 和</t>
  </si>
  <si>
    <t>さ新都心</t>
  </si>
  <si>
    <t>大 宮</t>
  </si>
  <si>
    <t>土 呂</t>
  </si>
  <si>
    <t>東 大 宮</t>
  </si>
  <si>
    <t>蓮 田</t>
  </si>
  <si>
    <t>白 岡</t>
  </si>
  <si>
    <t>新 白 岡</t>
  </si>
  <si>
    <t>久 喜</t>
  </si>
  <si>
    <t>東 鷲 宮</t>
  </si>
  <si>
    <t>栗　 橋</t>
  </si>
  <si>
    <t>古　 河</t>
  </si>
  <si>
    <t>野　 木</t>
  </si>
  <si>
    <t>間 々 田</t>
  </si>
  <si>
    <t>小　 山</t>
  </si>
  <si>
    <t>小 金 井</t>
  </si>
  <si>
    <t>自治医大</t>
  </si>
  <si>
    <t>石 橋</t>
  </si>
  <si>
    <t>宇都宮タ</t>
  </si>
  <si>
    <t>雀 宮</t>
  </si>
  <si>
    <t>宇 都 宮</t>
  </si>
  <si>
    <t>駅キロ</t>
  </si>
  <si>
    <t>駅番号</t>
  </si>
  <si>
    <t>着(hh:mm:ss)</t>
  </si>
  <si>
    <t>発(通)(hh:mm:ss)</t>
  </si>
  <si>
    <t>p</t>
  </si>
  <si>
    <t>t</t>
  </si>
  <si>
    <t>駅番線</t>
  </si>
  <si>
    <t>制限速度IN</t>
  </si>
  <si>
    <t>制限速度OUT</t>
  </si>
  <si>
    <t>#TIMS駅名表示</t>
  </si>
  <si>
    <t>#列車スタフ</t>
  </si>
  <si>
    <t>着hh</t>
  </si>
  <si>
    <t>着mm</t>
  </si>
  <si>
    <t>着ss</t>
  </si>
  <si>
    <t>着mm00→60</t>
  </si>
  <si>
    <t>着ss00→60</t>
  </si>
  <si>
    <t>着hh00→24</t>
  </si>
  <si>
    <t>着hh真</t>
  </si>
  <si>
    <t>発hh</t>
  </si>
  <si>
    <t>発mm</t>
  </si>
  <si>
    <t>発ss</t>
  </si>
  <si>
    <t>発hh00→24</t>
  </si>
  <si>
    <t>発mm00→60</t>
  </si>
  <si>
    <t>発ss00→60</t>
  </si>
  <si>
    <t>発hh真</t>
  </si>
  <si>
    <t>停車？</t>
  </si>
  <si>
    <t>IsOverHour?</t>
  </si>
  <si>
    <t>列車着(hhmmss)</t>
  </si>
  <si>
    <t>列車発(通)(hhmmss)</t>
  </si>
  <si>
    <t>列車次駅設定</t>
  </si>
  <si>
    <t>#TIMS時刻設定</t>
  </si>
  <si>
    <t>#TIMS到着番線</t>
  </si>
  <si>
    <t>#TIMS次駅設定</t>
  </si>
  <si>
    <t>#TIMS制限速度&amp;駅間時間</t>
  </si>
  <si>
    <t>列車次駅着時刻</t>
  </si>
  <si>
    <t>通過駅画像番号</t>
  </si>
  <si>
    <t>停車駅画像番号</t>
  </si>
  <si>
    <t>終着駅画像番号</t>
  </si>
  <si>
    <t>00分画像番号</t>
  </si>
  <si>
    <t>00時画像番号</t>
  </si>
  <si>
    <t>00秒画像番号</t>
  </si>
  <si>
    <t>到着仕業番号</t>
  </si>
  <si>
    <t>出発仕業番号</t>
  </si>
  <si>
    <t>停車mmss</t>
  </si>
  <si>
    <t>着mmss</t>
  </si>
  <si>
    <t>列車駅間時間
(自動計算)</t>
  </si>
  <si>
    <t>#電車スタフ</t>
  </si>
  <si>
    <t>発(通)mmss</t>
  </si>
  <si>
    <t>駅番</t>
  </si>
  <si>
    <t>次駅設定</t>
  </si>
  <si>
    <t>着仕業mmss</t>
  </si>
  <si>
    <t>発(通)仕業mmss</t>
  </si>
  <si>
    <t>通過mmss</t>
  </si>
  <si>
    <t>列車駅間時間
(マニュアル入力，hh:mm:ss)</t>
  </si>
  <si>
    <t>$dis = distance;</t>
  </si>
  <si>
    <t>#TIMS行路表矢印</t>
  </si>
  <si>
    <t>$dis = distance;$dis-2;</t>
  </si>
  <si>
    <t>$dis+20;</t>
  </si>
  <si>
    <t>I</t>
  </si>
  <si>
    <t>II</t>
  </si>
  <si>
    <t>III</t>
  </si>
  <si>
    <t>IV</t>
  </si>
  <si>
    <t>V</t>
  </si>
  <si>
    <t>VI</t>
  </si>
  <si>
    <t>I-II</t>
  </si>
  <si>
    <t>II-III</t>
  </si>
  <si>
    <t>III-IV</t>
  </si>
  <si>
    <t>IV-V</t>
  </si>
  <si>
    <t>TIMS表示段目</t>
  </si>
  <si>
    <t>T</t>
  </si>
  <si>
    <t>採時駅？（1：採時 0&amp;空白：非採時）</t>
  </si>
  <si>
    <t>停通防止</t>
  </si>
  <si>
    <t>Beacon Index</t>
  </si>
  <si>
    <t>次採時駅名</t>
  </si>
  <si>
    <t>次駅接近</t>
  </si>
  <si>
    <t>到着番線</t>
  </si>
  <si>
    <t>行路表矢印</t>
  </si>
  <si>
    <t>-</t>
  </si>
  <si>
    <t>次採時駅番線</t>
  </si>
  <si>
    <t>次採時駅着</t>
  </si>
  <si>
    <t>次採時駅発</t>
  </si>
  <si>
    <t>直前採時駅名</t>
  </si>
  <si>
    <t>直前採時駅番線</t>
  </si>
  <si>
    <t>直前採時駅発</t>
  </si>
  <si>
    <t>#TIMS採時駅設定</t>
  </si>
  <si>
    <t>発(通)mm</t>
  </si>
  <si>
    <t>発(通)ss</t>
  </si>
  <si>
    <t>直前採時駅hh</t>
  </si>
  <si>
    <t>高尾</t>
  </si>
  <si>
    <t>西八王子</t>
  </si>
  <si>
    <t>八王子</t>
  </si>
  <si>
    <t>豊田</t>
  </si>
  <si>
    <t>日野</t>
  </si>
  <si>
    <t>立川</t>
  </si>
  <si>
    <t>国立</t>
  </si>
  <si>
    <t>西国分寺</t>
  </si>
  <si>
    <t>国分寺</t>
  </si>
  <si>
    <t>武蔵小金井</t>
  </si>
  <si>
    <t>東小金井</t>
  </si>
  <si>
    <t>武蔵境</t>
  </si>
  <si>
    <t>三鷹</t>
  </si>
  <si>
    <t>吉祥寺</t>
  </si>
  <si>
    <t>西荻窪</t>
  </si>
  <si>
    <t>荻窪</t>
  </si>
  <si>
    <t>阿佐ヶ谷</t>
  </si>
  <si>
    <t>高円寺</t>
  </si>
  <si>
    <t>中野</t>
  </si>
  <si>
    <t>新宿</t>
  </si>
  <si>
    <t>四ッ谷</t>
  </si>
  <si>
    <t>御茶ノ水</t>
  </si>
  <si>
    <t>神田</t>
  </si>
  <si>
    <t>東京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</si>
</sst>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1"/>
      <color theme="1"/>
      <name val="Calibri"/>
      <family val="2"/>
      <charset val="134"/>
      <scheme val="minor"/>
    </font>
    <font>
      <sz val="11"/>
      <color theme="1"/>
      <name val="Calibri Light"/>
      <family val="2"/>
      <scheme val="major"/>
    </font>
    <font>
      <sz val="8"/>
      <name val="Calibri"/>
      <family val="2"/>
      <charset val="134"/>
      <scheme val="minor"/>
    </font>
    <font>
      <sz val="11"/>
      <color theme="1"/>
      <name val="Calibri"/>
      <family val="2"/>
      <scheme val="minor"/>
    </font>
    <font>
      <sz val="11"/>
      <color rgb="FF3F3F76"/>
      <name val="Calibri"/>
      <family val="2"/>
      <charset val="134"/>
      <scheme val="minor"/>
    </font>
    <font>
      <b/>
      <sz val="11"/>
      <color theme="1"/>
      <name val="Calibri"/>
      <family val="2"/>
      <scheme val="minor"/>
    </font>
    <font>
      <b/>
      <sz val="11"/>
      <color rgb="FF3F3F76"/>
      <name val="Calibri"/>
      <family val="2"/>
      <scheme val="minor"/>
    </font>
    <font>
      <sz val="10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CC99"/>
      </patternFill>
    </fill>
  </fills>
  <borders count="5">
    <border>
      <left/>
      <right/>
      <top/>
      <bottom/>
      <diagonal/>
    </border>
    <border>
      <left style="thin">
        <color theme="0" tint="-0.14999847407452621"/>
      </left>
      <right style="thin">
        <color theme="0" tint="-0.14999847407452621"/>
      </right>
      <top style="thin">
        <color theme="0" tint="-0.14999847407452621"/>
      </top>
      <bottom style="thin">
        <color theme="0" tint="-0.14999847407452621"/>
      </bottom>
      <diagonal/>
    </border>
    <border>
      <left style="thin">
        <color theme="0" tint="-0.14999847407452621"/>
      </left>
      <right style="thin">
        <color theme="0" tint="-0.14999847407452621"/>
      </right>
      <top style="thin">
        <color theme="0" tint="-0.14999847407452621"/>
      </top>
      <bottom/>
      <diagonal/>
    </border>
    <border>
      <left style="thin">
        <color theme="0" tint="-0.14999847407452621"/>
      </left>
      <right style="thin">
        <color theme="0" tint="-0.14999847407452621"/>
      </right>
      <top/>
      <bottom style="thin">
        <color theme="0" tint="-0.149998474074526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</borders>
  <cellStyleXfs count="2">
    <xf numFmtId="0" fontId="0" fillId="0" borderId="0"/>
    <xf numFmtId="0" fontId="4" fillId="3" borderId="4" applyNumberFormat="0" applyAlignment="0" applyProtection="0"/>
  </cellStyleXfs>
  <cellXfs count="26">
    <xf numFmtId="0" fontId="0" fillId="0" borderId="0" xfId="0"/>
    <xf numFmtId="0" fontId="1" fillId="2" borderId="1" xfId="0" applyFont="1" applyFill="1" applyBorder="1"/>
    <xf numFmtId="0" fontId="3" fillId="0" borderId="0" xfId="0" applyFont="1"/>
    <xf numFmtId="0" fontId="3" fillId="2" borderId="1" xfId="0" applyFont="1" applyFill="1" applyBorder="1"/>
    <xf numFmtId="0" fontId="3" fillId="2" borderId="3" xfId="0" applyFont="1" applyFill="1" applyBorder="1"/>
    <xf numFmtId="0" fontId="4" fillId="3" borderId="4" xfId="1"/>
    <xf numFmtId="0" fontId="4" fillId="3" borderId="4" xfId="1" applyNumberFormat="1"/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/>
    </xf>
    <xf numFmtId="21" fontId="4" fillId="3" borderId="4" xfId="1" applyNumberFormat="1" applyAlignment="1">
      <alignment vertical="center" wrapText="1"/>
    </xf>
    <xf numFmtId="0" fontId="4" fillId="3" borderId="4" xfId="1" applyAlignment="1">
      <alignment vertical="center" wrapText="1"/>
    </xf>
    <xf numFmtId="0" fontId="1" fillId="0" borderId="0" xfId="0" applyFont="1"/>
    <xf numFmtId="0" fontId="1" fillId="0" borderId="0" xfId="0" quotePrefix="1" applyFont="1"/>
    <xf numFmtId="0" fontId="0" fillId="0" borderId="0" xfId="0" applyAlignment="1">
      <alignment horizontal="center"/>
    </xf>
    <xf numFmtId="21" fontId="4" fillId="3" borderId="4" xfId="1" applyNumberFormat="1"/>
    <xf numFmtId="0" fontId="5" fillId="0" borderId="0" xfId="0" applyFont="1" applyAlignment="1">
      <alignment horizontal="center" vertical="center"/>
    </xf>
    <xf numFmtId="0" fontId="5" fillId="2" borderId="2" xfId="0" applyFont="1" applyFill="1" applyBorder="1" applyAlignment="1">
      <alignment horizontal="center" vertical="center"/>
    </xf>
    <xf numFmtId="0" fontId="6" fillId="3" borderId="4" xfId="1" applyFont="1"/>
    <xf numFmtId="0" fontId="5" fillId="0" borderId="0" xfId="0" applyFont="1"/>
    <xf numFmtId="0" fontId="5" fillId="2" borderId="2" xfId="0" applyFont="1" applyFill="1" applyBorder="1"/>
    <xf numFmtId="0" fontId="7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/>
    </xf>
    <xf numFmtId="16" fontId="0" fillId="0" borderId="0" xfId="0" quotePrefix="1" applyNumberFormat="1" applyAlignment="1">
      <alignment horizontal="center" vertical="center"/>
    </xf>
    <xf numFmtId="0" fontId="0" fillId="0" borderId="0" xfId="0" quotePrefix="1" applyAlignment="1">
      <alignment horizontal="center" vertical="center"/>
    </xf>
    <xf numFmtId="0" fontId="0" fillId="0" borderId="0" xfId="0" applyAlignment="1">
      <alignment horizontal="center" vertical="center"/>
    </xf>
  </cellXfs>
  <cellStyles count="2">
    <cellStyle name="常规" xfId="0" builtinId="0"/>
    <cellStyle name="输入" xfId="1" builtinId="2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eetMetadata" Target="metadata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31</xdr:col>
      <xdr:colOff>602972</xdr:colOff>
      <xdr:row>2</xdr:row>
      <xdr:rowOff>364434</xdr:rowOff>
    </xdr:from>
    <xdr:to>
      <xdr:col>39</xdr:col>
      <xdr:colOff>112642</xdr:colOff>
      <xdr:row>19</xdr:row>
      <xdr:rowOff>26504</xdr:rowOff>
    </xdr:to>
    <xdr:sp macro="" textlink="">
      <xdr:nvSpPr>
        <xdr:cNvPr id="2" name="文本框 1">
          <a:extLst>
            <a:ext uri="{FF2B5EF4-FFF2-40B4-BE49-F238E27FC236}">
              <a16:creationId xmlns:a16="http://schemas.microsoft.com/office/drawing/2014/main" id="{51A97E5A-CB9C-5490-60AF-F6946C35B064}"/>
            </a:ext>
          </a:extLst>
        </xdr:cNvPr>
        <xdr:cNvSpPr txBox="1"/>
      </xdr:nvSpPr>
      <xdr:spPr>
        <a:xfrm>
          <a:off x="10575233" y="735495"/>
          <a:ext cx="4446105" cy="2994992"/>
        </a:xfrm>
        <a:prstGeom prst="rect">
          <a:avLst/>
        </a:prstGeom>
        <a:ln/>
      </xdr:spPr>
      <xdr:style>
        <a:lnRef idx="1">
          <a:schemeClr val="accent6"/>
        </a:lnRef>
        <a:fillRef idx="2">
          <a:schemeClr val="accent6"/>
        </a:fillRef>
        <a:effectRef idx="1">
          <a:schemeClr val="accent6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zh-CN" altLang="en-US" sz="1100"/>
            <a:t>備考：</a:t>
          </a:r>
        </a:p>
        <a:p>
          <a:r>
            <a:rPr lang="ja-JP" altLang="en-US" sz="1100"/>
            <a:t>オレンジ</a:t>
          </a:r>
          <a:r>
            <a:rPr lang="zh-CN" altLang="en-US" sz="1100"/>
            <a:t>色</a:t>
          </a:r>
          <a:r>
            <a:rPr lang="ja-JP" altLang="en-US" sz="1100"/>
            <a:t>のセルは</a:t>
          </a:r>
          <a:r>
            <a:rPr lang="zh-CN" altLang="en-US" sz="1100"/>
            <a:t>入力部分</a:t>
          </a:r>
          <a:r>
            <a:rPr lang="ja-JP" altLang="en-US" sz="1100"/>
            <a:t>です</a:t>
          </a:r>
        </a:p>
        <a:p>
          <a:r>
            <a:rPr lang="zh-CN" altLang="en-US" sz="1100"/>
            <a:t>必須入力</a:t>
          </a:r>
          <a:r>
            <a:rPr lang="ja-JP" altLang="en-US" sz="1100"/>
            <a:t>データには</a:t>
          </a:r>
          <a:r>
            <a:rPr lang="zh-CN" altLang="en-US" sz="1100"/>
            <a:t>以下</a:t>
          </a:r>
          <a:r>
            <a:rPr lang="ja-JP" altLang="en-US" sz="1100"/>
            <a:t>が</a:t>
          </a:r>
          <a:r>
            <a:rPr lang="zh-CN" altLang="en-US" sz="1100"/>
            <a:t>含</a:t>
          </a:r>
          <a:r>
            <a:rPr lang="ja-JP" altLang="en-US" sz="1100"/>
            <a:t>まれます：</a:t>
          </a:r>
        </a:p>
        <a:p>
          <a:r>
            <a:rPr lang="zh-CN" altLang="en-US" sz="1100" b="1">
              <a:solidFill>
                <a:srgbClr val="C00000"/>
              </a:solidFill>
            </a:rPr>
            <a:t>駅</a:t>
          </a:r>
          <a:r>
            <a:rPr lang="ja-JP" altLang="en-US" sz="1100" b="1">
              <a:solidFill>
                <a:srgbClr val="C00000"/>
              </a:solidFill>
            </a:rPr>
            <a:t>キロ、</a:t>
          </a:r>
          <a:r>
            <a:rPr lang="zh-CN" altLang="en-US" sz="1100" b="1">
              <a:solidFill>
                <a:srgbClr val="C00000"/>
              </a:solidFill>
            </a:rPr>
            <a:t>駅</a:t>
          </a:r>
          <a:r>
            <a:rPr kumimoji="0" lang="zh-CN" altLang="en-US" sz="1100" b="1" i="0" u="none" strike="noStrike" kern="0" cap="none" spc="0" normalizeH="0" baseline="0" noProof="0">
              <a:ln>
                <a:noFill/>
              </a:ln>
              <a:solidFill>
                <a:srgbClr val="C00000"/>
              </a:solidFill>
              <a:effectLst/>
              <a:uLnTx/>
              <a:uFillTx/>
              <a:latin typeface="+mn-lt"/>
              <a:ea typeface="+mn-ea"/>
              <a:cs typeface="+mn-cs"/>
            </a:rPr>
            <a:t>対応</a:t>
          </a:r>
          <a:r>
            <a:rPr kumimoji="0" lang="ja-JP" altLang="en-US" sz="1100" b="1" i="0" u="none" strike="noStrike" kern="0" cap="none" spc="0" normalizeH="0" baseline="0" noProof="0">
              <a:ln>
                <a:noFill/>
              </a:ln>
              <a:solidFill>
                <a:srgbClr val="C00000"/>
              </a:solidFill>
              <a:effectLst/>
              <a:uLnTx/>
              <a:uFillTx/>
              <a:latin typeface="+mn-lt"/>
              <a:ea typeface="+mn-ea"/>
              <a:cs typeface="+mn-cs"/>
            </a:rPr>
            <a:t>する</a:t>
          </a:r>
          <a:r>
            <a:rPr kumimoji="0" lang="zh-CN" altLang="en-US" sz="1100" b="1" i="0" u="none" strike="noStrike" kern="0" cap="none" spc="0" normalizeH="0" baseline="0" noProof="0">
              <a:ln>
                <a:noFill/>
              </a:ln>
              <a:solidFill>
                <a:srgbClr val="C00000"/>
              </a:solidFill>
              <a:effectLst/>
              <a:uLnTx/>
              <a:uFillTx/>
              <a:latin typeface="+mn-lt"/>
              <a:ea typeface="+mn-ea"/>
              <a:cs typeface="+mn-cs"/>
            </a:rPr>
            <a:t>画像番号</a:t>
          </a:r>
          <a:r>
            <a:rPr kumimoji="0" lang="ja-JP" altLang="en-US" sz="1100" b="1" i="0" u="none" strike="noStrike" kern="0" cap="none" spc="0" normalizeH="0" baseline="0" noProof="0">
              <a:ln>
                <a:noFill/>
              </a:ln>
              <a:solidFill>
                <a:srgbClr val="C00000"/>
              </a:solidFill>
              <a:effectLst/>
              <a:uLnTx/>
              <a:uFillTx/>
              <a:latin typeface="+mn-lt"/>
              <a:ea typeface="+mn-ea"/>
              <a:cs typeface="+mn-cs"/>
            </a:rPr>
            <a:t>（駅番号）</a:t>
          </a:r>
          <a:r>
            <a:rPr lang="zh-CN" altLang="en-US" sz="1100" b="1">
              <a:solidFill>
                <a:srgbClr val="C00000"/>
              </a:solidFill>
            </a:rPr>
            <a:t>、着発</a:t>
          </a:r>
          <a:r>
            <a:rPr lang="en-US" altLang="zh-CN" sz="1100" b="1">
              <a:solidFill>
                <a:srgbClr val="C00000"/>
              </a:solidFill>
            </a:rPr>
            <a:t>(</a:t>
          </a:r>
          <a:r>
            <a:rPr lang="zh-CN" altLang="en-US" sz="1100" b="1">
              <a:solidFill>
                <a:srgbClr val="C00000"/>
              </a:solidFill>
            </a:rPr>
            <a:t>通</a:t>
          </a:r>
          <a:r>
            <a:rPr lang="en-US" altLang="zh-CN" sz="1100" b="1">
              <a:solidFill>
                <a:srgbClr val="C00000"/>
              </a:solidFill>
            </a:rPr>
            <a:t>)</a:t>
          </a:r>
          <a:r>
            <a:rPr lang="en-US" sz="1100" b="1">
              <a:solidFill>
                <a:srgbClr val="C00000"/>
              </a:solidFill>
            </a:rPr>
            <a:t>hh:mm:ss</a:t>
          </a:r>
          <a:r>
            <a:rPr lang="zh-CN" altLang="en-US" sz="1100" b="1">
              <a:solidFill>
                <a:srgbClr val="C00000"/>
              </a:solidFill>
            </a:rPr>
            <a:t>時刻</a:t>
          </a:r>
          <a:r>
            <a:rPr lang="ja-JP" altLang="en-US" sz="1100" b="1">
              <a:solidFill>
                <a:srgbClr val="C00000"/>
              </a:solidFill>
            </a:rPr>
            <a:t>と、</a:t>
          </a:r>
          <a:endParaRPr lang="en-US" altLang="ja-JP" sz="1100" b="1">
            <a:solidFill>
              <a:srgbClr val="C00000"/>
            </a:solidFill>
          </a:endParaRPr>
        </a:p>
        <a:p>
          <a:r>
            <a:rPr lang="zh-CN" altLang="en-US" sz="1100" b="1">
              <a:solidFill>
                <a:srgbClr val="C00000"/>
              </a:solidFill>
            </a:rPr>
            <a:t>通過</a:t>
          </a:r>
          <a:r>
            <a:rPr lang="en-US" altLang="zh-CN" sz="1100" b="1">
              <a:solidFill>
                <a:srgbClr val="C00000"/>
              </a:solidFill>
            </a:rPr>
            <a:t>/</a:t>
          </a:r>
          <a:r>
            <a:rPr lang="zh-CN" altLang="en-US" sz="1100" b="1">
              <a:solidFill>
                <a:srgbClr val="C00000"/>
              </a:solidFill>
            </a:rPr>
            <a:t>停車</a:t>
          </a:r>
          <a:r>
            <a:rPr lang="en-US" altLang="zh-CN" sz="1100" b="1">
              <a:solidFill>
                <a:srgbClr val="C00000"/>
              </a:solidFill>
            </a:rPr>
            <a:t>/</a:t>
          </a:r>
          <a:r>
            <a:rPr lang="zh-CN" altLang="en-US" sz="1100" b="1">
              <a:solidFill>
                <a:srgbClr val="C00000"/>
              </a:solidFill>
            </a:rPr>
            <a:t>終着駅、</a:t>
          </a:r>
          <a:r>
            <a:rPr lang="en-US" altLang="zh-CN" sz="1100" b="1">
              <a:solidFill>
                <a:srgbClr val="C00000"/>
              </a:solidFill>
            </a:rPr>
            <a:t>0</a:t>
          </a:r>
          <a:r>
            <a:rPr lang="zh-CN" altLang="en-US" sz="1100" b="1">
              <a:solidFill>
                <a:srgbClr val="C00000"/>
              </a:solidFill>
            </a:rPr>
            <a:t>時</a:t>
          </a:r>
          <a:r>
            <a:rPr lang="en-US" altLang="zh-CN" sz="1100" b="1">
              <a:solidFill>
                <a:srgbClr val="C00000"/>
              </a:solidFill>
            </a:rPr>
            <a:t>/0</a:t>
          </a:r>
          <a:r>
            <a:rPr lang="zh-CN" altLang="en-US" sz="1100" b="1">
              <a:solidFill>
                <a:srgbClr val="C00000"/>
              </a:solidFill>
            </a:rPr>
            <a:t>分</a:t>
          </a:r>
          <a:r>
            <a:rPr lang="en-US" altLang="zh-CN" sz="1100" b="1">
              <a:solidFill>
                <a:srgbClr val="C00000"/>
              </a:solidFill>
            </a:rPr>
            <a:t>/0</a:t>
          </a:r>
          <a:r>
            <a:rPr lang="zh-CN" altLang="en-US" sz="1100" b="1">
              <a:solidFill>
                <a:srgbClr val="C00000"/>
              </a:solidFill>
            </a:rPr>
            <a:t>秒対応</a:t>
          </a:r>
          <a:r>
            <a:rPr lang="ja-JP" altLang="en-US" sz="1100" b="1">
              <a:solidFill>
                <a:srgbClr val="C00000"/>
              </a:solidFill>
            </a:rPr>
            <a:t>する</a:t>
          </a:r>
          <a:r>
            <a:rPr lang="zh-CN" altLang="en-US" sz="1100" b="1">
              <a:solidFill>
                <a:srgbClr val="C00000"/>
              </a:solidFill>
            </a:rPr>
            <a:t>画像番号</a:t>
          </a:r>
        </a:p>
        <a:p>
          <a:endParaRPr lang="zh-CN" altLang="en-US" sz="1100"/>
        </a:p>
        <a:p>
          <a:r>
            <a:rPr lang="zh-CN" altLang="en-US" sz="1100"/>
            <a:t>着発</a:t>
          </a:r>
          <a:r>
            <a:rPr lang="en-US" altLang="zh-CN" sz="1100"/>
            <a:t>(</a:t>
          </a:r>
          <a:r>
            <a:rPr lang="zh-CN" altLang="en-US" sz="1100"/>
            <a:t>通</a:t>
          </a:r>
          <a:r>
            <a:rPr lang="en-US" altLang="zh-CN" sz="1100"/>
            <a:t>)</a:t>
          </a:r>
          <a:r>
            <a:rPr lang="zh-CN" altLang="en-US" sz="1100"/>
            <a:t>時刻</a:t>
          </a:r>
          <a:r>
            <a:rPr lang="ja-JP" altLang="en-US" sz="1100"/>
            <a:t>に</a:t>
          </a:r>
          <a:r>
            <a:rPr lang="zh-CN" altLang="en-US" sz="1100"/>
            <a:t>関連</a:t>
          </a:r>
          <a:r>
            <a:rPr lang="ja-JP" altLang="en-US" sz="1100"/>
            <a:t>する</a:t>
          </a:r>
          <a:r>
            <a:rPr lang="zh-CN" altLang="en-US" sz="1100"/>
            <a:t>部分</a:t>
          </a:r>
          <a:r>
            <a:rPr lang="ja-JP" altLang="en-US" sz="1100"/>
            <a:t>は</a:t>
          </a:r>
          <a:r>
            <a:rPr lang="en-US" sz="1100"/>
            <a:t>stationlist</a:t>
          </a:r>
          <a:r>
            <a:rPr lang="ja-JP" altLang="en-US" sz="1100"/>
            <a:t>から</a:t>
          </a:r>
          <a:r>
            <a:rPr lang="zh-CN" altLang="en-US" sz="1100"/>
            <a:t>直接</a:t>
          </a:r>
          <a:r>
            <a:rPr lang="ja-JP" altLang="en-US" sz="1100"/>
            <a:t>コピーできます</a:t>
          </a:r>
        </a:p>
        <a:p>
          <a:endParaRPr lang="ja-JP" altLang="en-US" sz="1100"/>
        </a:p>
        <a:p>
          <a:r>
            <a:rPr lang="zh-CN" altLang="en-US" sz="1100"/>
            <a:t>列車</a:t>
          </a:r>
          <a:r>
            <a:rPr lang="ja-JP" altLang="en-US" sz="1100"/>
            <a:t>の</a:t>
          </a:r>
          <a:r>
            <a:rPr lang="zh-CN" altLang="en-US" sz="1100"/>
            <a:t>駅間運行時間</a:t>
          </a:r>
          <a:r>
            <a:rPr lang="ja-JP" altLang="en-US" sz="1100"/>
            <a:t>の</a:t>
          </a:r>
          <a:r>
            <a:rPr lang="zh-CN" altLang="en-US" sz="1100"/>
            <a:t>欄</a:t>
          </a:r>
          <a:r>
            <a:rPr lang="ja-JP" altLang="en-US" sz="1100"/>
            <a:t>は</a:t>
          </a:r>
          <a:r>
            <a:rPr lang="zh-CN" altLang="en-US" sz="1100"/>
            <a:t>必要</a:t>
          </a:r>
          <a:r>
            <a:rPr lang="ja-JP" altLang="en-US" sz="1100"/>
            <a:t>に</a:t>
          </a:r>
          <a:r>
            <a:rPr lang="zh-CN" altLang="en-US" sz="1100"/>
            <a:t>応</a:t>
          </a:r>
          <a:r>
            <a:rPr lang="ja-JP" altLang="en-US" sz="1100"/>
            <a:t>じて</a:t>
          </a:r>
          <a:r>
            <a:rPr lang="zh-CN" altLang="en-US" sz="1100"/>
            <a:t>入力</a:t>
          </a:r>
          <a:r>
            <a:rPr lang="ja-JP" altLang="en-US" sz="1100"/>
            <a:t>できます。</a:t>
          </a:r>
        </a:p>
        <a:p>
          <a:r>
            <a:rPr lang="zh-CN" altLang="en-US" sz="1100"/>
            <a:t>空欄</a:t>
          </a:r>
          <a:r>
            <a:rPr lang="ja-JP" altLang="en-US" sz="1100"/>
            <a:t>にすると、</a:t>
          </a:r>
          <a:r>
            <a:rPr lang="zh-CN" altLang="en-US" sz="1100"/>
            <a:t>時刻表上</a:t>
          </a:r>
          <a:r>
            <a:rPr lang="ja-JP" altLang="en-US" sz="1100"/>
            <a:t>の</a:t>
          </a:r>
          <a:r>
            <a:rPr lang="zh-CN" altLang="en-US" sz="1100"/>
            <a:t>現在</a:t>
          </a:r>
          <a:r>
            <a:rPr lang="ja-JP" altLang="en-US" sz="1100"/>
            <a:t>の</a:t>
          </a:r>
          <a:r>
            <a:rPr lang="zh-CN" altLang="en-US" sz="1100"/>
            <a:t>駅</a:t>
          </a:r>
          <a:r>
            <a:rPr lang="ja-JP" altLang="en-US" sz="1100"/>
            <a:t>の</a:t>
          </a:r>
          <a:r>
            <a:rPr lang="zh-CN" altLang="en-US" sz="1100"/>
            <a:t>発車（通過）時間</a:t>
          </a:r>
          <a:r>
            <a:rPr lang="ja-JP" altLang="en-US" sz="1100"/>
            <a:t>と</a:t>
          </a:r>
          <a:r>
            <a:rPr lang="zh-CN" altLang="en-US" sz="1100"/>
            <a:t>次</a:t>
          </a:r>
          <a:r>
            <a:rPr lang="ja-JP" altLang="en-US" sz="1100"/>
            <a:t>の</a:t>
          </a:r>
          <a:r>
            <a:rPr lang="zh-CN" altLang="en-US" sz="1100"/>
            <a:t>駅</a:t>
          </a:r>
          <a:r>
            <a:rPr lang="ja-JP" altLang="en-US" sz="1100"/>
            <a:t>の</a:t>
          </a:r>
          <a:r>
            <a:rPr lang="zh-CN" altLang="en-US" sz="1100"/>
            <a:t>到着時間</a:t>
          </a:r>
          <a:r>
            <a:rPr lang="ja-JP" altLang="en-US" sz="1100"/>
            <a:t>の</a:t>
          </a:r>
          <a:r>
            <a:rPr lang="zh-CN" altLang="en-US" sz="1100"/>
            <a:t>時間差</a:t>
          </a:r>
          <a:r>
            <a:rPr lang="ja-JP" altLang="en-US" sz="1100"/>
            <a:t>が</a:t>
          </a:r>
          <a:r>
            <a:rPr lang="zh-CN" altLang="en-US" sz="1100"/>
            <a:t>自動的</a:t>
          </a:r>
          <a:r>
            <a:rPr lang="ja-JP" altLang="en-US" sz="1100"/>
            <a:t>に</a:t>
          </a:r>
          <a:r>
            <a:rPr lang="zh-CN" altLang="en-US" sz="1100"/>
            <a:t>計算</a:t>
          </a:r>
          <a:r>
            <a:rPr lang="ja-JP" altLang="en-US" sz="1100"/>
            <a:t>されます。</a:t>
          </a:r>
        </a:p>
        <a:p>
          <a:endParaRPr lang="ja-JP" altLang="en-US" sz="1100"/>
        </a:p>
        <a:p>
          <a:r>
            <a:rPr lang="zh-CN" altLang="en-US" sz="1100"/>
            <a:t>駅名</a:t>
          </a:r>
          <a:r>
            <a:rPr lang="ja-JP" altLang="en-US" sz="1100"/>
            <a:t>は</a:t>
          </a:r>
          <a:r>
            <a:rPr lang="zh-CN" altLang="en-US" sz="1100"/>
            <a:t>照合用</a:t>
          </a:r>
          <a:r>
            <a:rPr lang="ja-JP" altLang="en-US" sz="1100"/>
            <a:t>であり、</a:t>
          </a:r>
          <a:r>
            <a:rPr lang="zh-CN" altLang="en-US" sz="1100"/>
            <a:t>関連</a:t>
          </a:r>
          <a:r>
            <a:rPr lang="ja-JP" altLang="en-US" sz="1100"/>
            <a:t>するパラメータの</a:t>
          </a:r>
          <a:r>
            <a:rPr lang="zh-CN" altLang="en-US" sz="1100"/>
            <a:t>計算</a:t>
          </a:r>
          <a:r>
            <a:rPr lang="ja-JP" altLang="en-US" sz="1100"/>
            <a:t>には</a:t>
          </a:r>
          <a:r>
            <a:rPr lang="zh-CN" altLang="en-US" sz="1100"/>
            <a:t>影響</a:t>
          </a:r>
          <a:r>
            <a:rPr lang="ja-JP" altLang="en-US" sz="1100"/>
            <a:t>しません</a:t>
          </a:r>
          <a:endParaRPr lang="en-US" sz="1100"/>
        </a:p>
      </xdr:txBody>
    </xdr:sp>
    <xdr:clientData/>
  </xdr:twoCellAnchor>
  <xdr:oneCellAnchor>
    <xdr:from>
      <xdr:col>33</xdr:col>
      <xdr:colOff>159026</xdr:colOff>
      <xdr:row>17</xdr:row>
      <xdr:rowOff>112643</xdr:rowOff>
    </xdr:from>
    <xdr:ext cx="184731" cy="264560"/>
    <xdr:sp macro="" textlink="">
      <xdr:nvSpPr>
        <xdr:cNvPr id="3" name="文本框 2">
          <a:extLst>
            <a:ext uri="{FF2B5EF4-FFF2-40B4-BE49-F238E27FC236}">
              <a16:creationId xmlns:a16="http://schemas.microsoft.com/office/drawing/2014/main" id="{8AD2361C-FEE5-7933-C26A-4E98EF270CFA}"/>
            </a:ext>
          </a:extLst>
        </xdr:cNvPr>
        <xdr:cNvSpPr txBox="1"/>
      </xdr:nvSpPr>
      <xdr:spPr>
        <a:xfrm>
          <a:off x="10721009" y="344556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56</xdr:col>
      <xdr:colOff>609598</xdr:colOff>
      <xdr:row>2</xdr:row>
      <xdr:rowOff>178906</xdr:rowOff>
    </xdr:from>
    <xdr:to>
      <xdr:col>64</xdr:col>
      <xdr:colOff>178903</xdr:colOff>
      <xdr:row>14</xdr:row>
      <xdr:rowOff>1</xdr:rowOff>
    </xdr:to>
    <xdr:sp macro="" textlink="">
      <xdr:nvSpPr>
        <xdr:cNvPr id="2" name="文本框 1">
          <a:extLst>
            <a:ext uri="{FF2B5EF4-FFF2-40B4-BE49-F238E27FC236}">
              <a16:creationId xmlns:a16="http://schemas.microsoft.com/office/drawing/2014/main" id="{3BE6F08B-4565-4AC8-B7FF-E30F8807CB98}"/>
            </a:ext>
          </a:extLst>
        </xdr:cNvPr>
        <xdr:cNvSpPr txBox="1"/>
      </xdr:nvSpPr>
      <xdr:spPr>
        <a:xfrm>
          <a:off x="11376989" y="549967"/>
          <a:ext cx="4446105" cy="2047460"/>
        </a:xfrm>
        <a:prstGeom prst="rect">
          <a:avLst/>
        </a:prstGeom>
        <a:ln/>
      </xdr:spPr>
      <xdr:style>
        <a:lnRef idx="1">
          <a:schemeClr val="accent6"/>
        </a:lnRef>
        <a:fillRef idx="2">
          <a:schemeClr val="accent6"/>
        </a:fillRef>
        <a:effectRef idx="1">
          <a:schemeClr val="accent6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zh-CN" altLang="en-US" sz="1100"/>
            <a:t>備考：</a:t>
          </a:r>
        </a:p>
        <a:p>
          <a:r>
            <a:rPr lang="ja-JP" altLang="en-US" sz="1100"/>
            <a:t>オレンジ</a:t>
          </a:r>
          <a:r>
            <a:rPr lang="zh-CN" altLang="en-US" sz="1100"/>
            <a:t>色</a:t>
          </a:r>
          <a:r>
            <a:rPr lang="ja-JP" altLang="en-US" sz="1100"/>
            <a:t>のセルは</a:t>
          </a:r>
          <a:r>
            <a:rPr lang="zh-CN" altLang="en-US" sz="1100"/>
            <a:t>入力部分</a:t>
          </a:r>
          <a:r>
            <a:rPr lang="ja-JP" altLang="en-US" sz="1100"/>
            <a:t>です</a:t>
          </a:r>
        </a:p>
        <a:p>
          <a:r>
            <a:rPr lang="zh-CN" altLang="en-US" sz="1100"/>
            <a:t>必須入力</a:t>
          </a:r>
          <a:r>
            <a:rPr lang="ja-JP" altLang="en-US" sz="1100"/>
            <a:t>データには</a:t>
          </a:r>
          <a:r>
            <a:rPr lang="zh-CN" altLang="en-US" sz="1100"/>
            <a:t>以下</a:t>
          </a:r>
          <a:r>
            <a:rPr lang="ja-JP" altLang="en-US" sz="1100"/>
            <a:t>が</a:t>
          </a:r>
          <a:r>
            <a:rPr lang="zh-CN" altLang="en-US" sz="1100"/>
            <a:t>含</a:t>
          </a:r>
          <a:r>
            <a:rPr lang="ja-JP" altLang="en-US" sz="1100"/>
            <a:t>まれます：</a:t>
          </a:r>
        </a:p>
        <a:p>
          <a:r>
            <a:rPr lang="zh-CN" altLang="en-US" sz="1100" b="1">
              <a:solidFill>
                <a:srgbClr val="C00000"/>
              </a:solidFill>
            </a:rPr>
            <a:t>駅</a:t>
          </a:r>
          <a:r>
            <a:rPr lang="ja-JP" altLang="en-US" sz="1100" b="1">
              <a:solidFill>
                <a:srgbClr val="C00000"/>
              </a:solidFill>
            </a:rPr>
            <a:t>キロ、</a:t>
          </a:r>
          <a:r>
            <a:rPr lang="zh-CN" altLang="en-US" sz="1100" b="1">
              <a:solidFill>
                <a:srgbClr val="C00000"/>
              </a:solidFill>
            </a:rPr>
            <a:t>駅</a:t>
          </a:r>
          <a:r>
            <a:rPr kumimoji="0" lang="zh-CN" altLang="en-US" sz="1100" b="1" i="0" u="none" strike="noStrike" kern="0" cap="none" spc="0" normalizeH="0" baseline="0" noProof="0">
              <a:ln>
                <a:noFill/>
              </a:ln>
              <a:solidFill>
                <a:srgbClr val="C00000"/>
              </a:solidFill>
              <a:effectLst/>
              <a:uLnTx/>
              <a:uFillTx/>
              <a:latin typeface="+mn-lt"/>
              <a:ea typeface="+mn-ea"/>
              <a:cs typeface="+mn-cs"/>
            </a:rPr>
            <a:t>対応</a:t>
          </a:r>
          <a:r>
            <a:rPr kumimoji="0" lang="ja-JP" altLang="en-US" sz="1100" b="1" i="0" u="none" strike="noStrike" kern="0" cap="none" spc="0" normalizeH="0" baseline="0" noProof="0">
              <a:ln>
                <a:noFill/>
              </a:ln>
              <a:solidFill>
                <a:srgbClr val="C00000"/>
              </a:solidFill>
              <a:effectLst/>
              <a:uLnTx/>
              <a:uFillTx/>
              <a:latin typeface="+mn-lt"/>
              <a:ea typeface="+mn-ea"/>
              <a:cs typeface="+mn-cs"/>
            </a:rPr>
            <a:t>する</a:t>
          </a:r>
          <a:r>
            <a:rPr kumimoji="0" lang="zh-CN" altLang="en-US" sz="1100" b="1" i="0" u="none" strike="noStrike" kern="0" cap="none" spc="0" normalizeH="0" baseline="0" noProof="0">
              <a:ln>
                <a:noFill/>
              </a:ln>
              <a:solidFill>
                <a:srgbClr val="C00000"/>
              </a:solidFill>
              <a:effectLst/>
              <a:uLnTx/>
              <a:uFillTx/>
              <a:latin typeface="+mn-lt"/>
              <a:ea typeface="+mn-ea"/>
              <a:cs typeface="+mn-cs"/>
            </a:rPr>
            <a:t>画像番号</a:t>
          </a:r>
          <a:r>
            <a:rPr kumimoji="0" lang="ja-JP" altLang="en-US" sz="1100" b="1" i="0" u="none" strike="noStrike" kern="0" cap="none" spc="0" normalizeH="0" baseline="0" noProof="0">
              <a:ln>
                <a:noFill/>
              </a:ln>
              <a:solidFill>
                <a:srgbClr val="C00000"/>
              </a:solidFill>
              <a:effectLst/>
              <a:uLnTx/>
              <a:uFillTx/>
              <a:latin typeface="+mn-lt"/>
              <a:ea typeface="+mn-ea"/>
              <a:cs typeface="+mn-cs"/>
            </a:rPr>
            <a:t>（駅番号）</a:t>
          </a:r>
          <a:r>
            <a:rPr lang="zh-CN" altLang="en-US" sz="1100" b="1">
              <a:solidFill>
                <a:srgbClr val="C00000"/>
              </a:solidFill>
            </a:rPr>
            <a:t>、着発</a:t>
          </a:r>
          <a:r>
            <a:rPr lang="en-US" altLang="zh-CN" sz="1100" b="1">
              <a:solidFill>
                <a:srgbClr val="C00000"/>
              </a:solidFill>
            </a:rPr>
            <a:t>(</a:t>
          </a:r>
          <a:r>
            <a:rPr lang="zh-CN" altLang="en-US" sz="1100" b="1">
              <a:solidFill>
                <a:srgbClr val="C00000"/>
              </a:solidFill>
            </a:rPr>
            <a:t>通</a:t>
          </a:r>
          <a:r>
            <a:rPr lang="en-US" altLang="zh-CN" sz="1100" b="1">
              <a:solidFill>
                <a:srgbClr val="C00000"/>
              </a:solidFill>
            </a:rPr>
            <a:t>)</a:t>
          </a:r>
          <a:r>
            <a:rPr lang="en-US" sz="1100" b="1">
              <a:solidFill>
                <a:srgbClr val="C00000"/>
              </a:solidFill>
            </a:rPr>
            <a:t>hh:mm:ss</a:t>
          </a:r>
          <a:r>
            <a:rPr lang="zh-CN" altLang="en-US" sz="1100" b="1">
              <a:solidFill>
                <a:srgbClr val="C00000"/>
              </a:solidFill>
            </a:rPr>
            <a:t>時刻</a:t>
          </a:r>
          <a:r>
            <a:rPr lang="ja-JP" altLang="en-US" sz="1100" b="1">
              <a:solidFill>
                <a:srgbClr val="C00000"/>
              </a:solidFill>
            </a:rPr>
            <a:t>と、</a:t>
          </a:r>
          <a:endParaRPr lang="en-US" altLang="ja-JP" sz="1100" b="1">
            <a:solidFill>
              <a:srgbClr val="C00000"/>
            </a:solidFill>
          </a:endParaRPr>
        </a:p>
        <a:p>
          <a:r>
            <a:rPr lang="zh-CN" altLang="en-US" sz="1100" b="1">
              <a:solidFill>
                <a:srgbClr val="C00000"/>
              </a:solidFill>
            </a:rPr>
            <a:t>通過</a:t>
          </a:r>
          <a:r>
            <a:rPr lang="en-US" altLang="zh-CN" sz="1100" b="1">
              <a:solidFill>
                <a:srgbClr val="C00000"/>
              </a:solidFill>
            </a:rPr>
            <a:t>/</a:t>
          </a:r>
          <a:r>
            <a:rPr lang="zh-CN" altLang="en-US" sz="1100" b="1">
              <a:solidFill>
                <a:srgbClr val="C00000"/>
              </a:solidFill>
            </a:rPr>
            <a:t>停車駅、</a:t>
          </a:r>
          <a:r>
            <a:rPr lang="en-US" altLang="zh-CN" sz="1100" b="1">
              <a:solidFill>
                <a:srgbClr val="C00000"/>
              </a:solidFill>
            </a:rPr>
            <a:t>0</a:t>
          </a:r>
          <a:r>
            <a:rPr lang="zh-CN" altLang="en-US" sz="1100" b="1">
              <a:solidFill>
                <a:srgbClr val="C00000"/>
              </a:solidFill>
            </a:rPr>
            <a:t>分</a:t>
          </a:r>
          <a:r>
            <a:rPr lang="en-US" altLang="zh-CN" sz="1100" b="1">
              <a:solidFill>
                <a:srgbClr val="C00000"/>
              </a:solidFill>
            </a:rPr>
            <a:t>/0</a:t>
          </a:r>
          <a:r>
            <a:rPr lang="zh-CN" altLang="en-US" sz="1100" b="1">
              <a:solidFill>
                <a:srgbClr val="C00000"/>
              </a:solidFill>
            </a:rPr>
            <a:t>秒対応</a:t>
          </a:r>
          <a:r>
            <a:rPr lang="ja-JP" altLang="en-US" sz="1100" b="1">
              <a:solidFill>
                <a:srgbClr val="C00000"/>
              </a:solidFill>
            </a:rPr>
            <a:t>する</a:t>
          </a:r>
          <a:r>
            <a:rPr lang="zh-CN" altLang="en-US" sz="1100" b="1">
              <a:solidFill>
                <a:srgbClr val="C00000"/>
              </a:solidFill>
            </a:rPr>
            <a:t>画像番号、</a:t>
          </a:r>
          <a:r>
            <a:rPr lang="en-US" altLang="zh-CN" sz="1100" b="1">
              <a:solidFill>
                <a:srgbClr val="C00000"/>
              </a:solidFill>
            </a:rPr>
            <a:t>TIMS</a:t>
          </a:r>
          <a:r>
            <a:rPr lang="zh-CN" altLang="en-US" sz="1100" b="1">
              <a:solidFill>
                <a:srgbClr val="C00000"/>
              </a:solidFill>
            </a:rPr>
            <a:t>表示段目</a:t>
          </a:r>
        </a:p>
        <a:p>
          <a:endParaRPr lang="zh-CN" altLang="en-US" sz="1100"/>
        </a:p>
        <a:p>
          <a:r>
            <a:rPr lang="zh-CN" altLang="en-US" sz="1100"/>
            <a:t>着発</a:t>
          </a:r>
          <a:r>
            <a:rPr lang="en-US" altLang="zh-CN" sz="1100"/>
            <a:t>(</a:t>
          </a:r>
          <a:r>
            <a:rPr lang="zh-CN" altLang="en-US" sz="1100"/>
            <a:t>通</a:t>
          </a:r>
          <a:r>
            <a:rPr lang="en-US" altLang="zh-CN" sz="1100"/>
            <a:t>)</a:t>
          </a:r>
          <a:r>
            <a:rPr lang="zh-CN" altLang="en-US" sz="1100"/>
            <a:t>時刻</a:t>
          </a:r>
          <a:r>
            <a:rPr lang="ja-JP" altLang="en-US" sz="1100"/>
            <a:t>に</a:t>
          </a:r>
          <a:r>
            <a:rPr lang="zh-CN" altLang="en-US" sz="1100"/>
            <a:t>関連</a:t>
          </a:r>
          <a:r>
            <a:rPr lang="ja-JP" altLang="en-US" sz="1100"/>
            <a:t>する</a:t>
          </a:r>
          <a:r>
            <a:rPr lang="zh-CN" altLang="en-US" sz="1100"/>
            <a:t>部分</a:t>
          </a:r>
          <a:r>
            <a:rPr lang="ja-JP" altLang="en-US" sz="1100"/>
            <a:t>は</a:t>
          </a:r>
          <a:r>
            <a:rPr lang="en-US" sz="1100"/>
            <a:t>stationlist</a:t>
          </a:r>
          <a:r>
            <a:rPr lang="ja-JP" altLang="en-US" sz="1100"/>
            <a:t>から</a:t>
          </a:r>
          <a:r>
            <a:rPr lang="zh-CN" altLang="en-US" sz="1100"/>
            <a:t>直接</a:t>
          </a:r>
          <a:r>
            <a:rPr lang="ja-JP" altLang="en-US" sz="1100"/>
            <a:t>コピーできます</a:t>
          </a:r>
        </a:p>
        <a:p>
          <a:endParaRPr lang="ja-JP" altLang="en-US" sz="1100"/>
        </a:p>
        <a:p>
          <a:r>
            <a:rPr lang="zh-CN" altLang="en-US" sz="1100"/>
            <a:t>駅名</a:t>
          </a:r>
          <a:r>
            <a:rPr lang="ja-JP" altLang="en-US" sz="1100"/>
            <a:t>は</a:t>
          </a:r>
          <a:r>
            <a:rPr lang="zh-CN" altLang="en-US" sz="1100"/>
            <a:t>照合用</a:t>
          </a:r>
          <a:r>
            <a:rPr lang="ja-JP" altLang="en-US" sz="1100"/>
            <a:t>であり、</a:t>
          </a:r>
          <a:r>
            <a:rPr lang="zh-CN" altLang="en-US" sz="1100"/>
            <a:t>関連</a:t>
          </a:r>
          <a:r>
            <a:rPr lang="ja-JP" altLang="en-US" sz="1100"/>
            <a:t>するパラメータの</a:t>
          </a:r>
          <a:r>
            <a:rPr lang="zh-CN" altLang="en-US" sz="1100"/>
            <a:t>計算</a:t>
          </a:r>
          <a:r>
            <a:rPr lang="ja-JP" altLang="en-US" sz="1100"/>
            <a:t>には</a:t>
          </a:r>
          <a:r>
            <a:rPr lang="zh-CN" altLang="en-US" sz="1100"/>
            <a:t>影響</a:t>
          </a:r>
          <a:r>
            <a:rPr lang="ja-JP" altLang="en-US" sz="1100"/>
            <a:t>しません</a:t>
          </a:r>
          <a:endParaRPr 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104664-DD46-40B7-8CF4-476BBC70E918}">
  <dimension ref="A1:AE110"/>
  <sheetViews>
    <sheetView tabSelected="1" zoomScale="115" zoomScaleNormal="115" workbookViewId="0">
      <selection activeCell="J6" sqref="J6"/>
    </sheetView>
  </sheetViews>
  <sheetFormatPr defaultRowHeight="14.4"/>
  <cols>
    <col min="1" max="1" width="15.6640625" bestFit="1" customWidth="1"/>
    <col min="2" max="2" width="9.109375" bestFit="1" customWidth="1"/>
    <col min="3" max="3" width="15.6640625" bestFit="1" customWidth="1"/>
    <col min="4" max="4" width="8.21875" bestFit="1" customWidth="1"/>
    <col min="5" max="5" width="15.6640625" style="1" bestFit="1" customWidth="1"/>
    <col min="6" max="6" width="16.21875" style="1" bestFit="1" customWidth="1"/>
    <col min="7" max="7" width="13.5546875" bestFit="1" customWidth="1"/>
    <col min="8" max="8" width="11.109375" bestFit="1" customWidth="1"/>
    <col min="9" max="9" width="13.5546875" bestFit="1" customWidth="1"/>
    <col min="10" max="10" width="26.77734375" bestFit="1" customWidth="1"/>
    <col min="11" max="11" width="7.88671875" hidden="1" customWidth="1"/>
    <col min="12" max="12" width="5.109375" hidden="1" customWidth="1"/>
    <col min="13" max="13" width="6.33203125" hidden="1" customWidth="1"/>
    <col min="14" max="14" width="4.6640625" hidden="1" customWidth="1"/>
    <col min="15" max="15" width="11.21875" hidden="1" customWidth="1"/>
    <col min="16" max="16" width="12.44140625" hidden="1" customWidth="1"/>
    <col min="17" max="17" width="10.77734375" hidden="1" customWidth="1"/>
    <col min="18" max="18" width="7.21875" hidden="1" customWidth="1"/>
    <col min="19" max="19" width="8.21875" hidden="1" customWidth="1"/>
    <col min="20" max="20" width="6.109375" hidden="1" customWidth="1"/>
    <col min="21" max="21" width="4.77734375" hidden="1" customWidth="1"/>
    <col min="22" max="22" width="11.109375" hidden="1" customWidth="1"/>
    <col min="23" max="23" width="12.109375" hidden="1" customWidth="1"/>
    <col min="24" max="24" width="10.77734375" hidden="1" customWidth="1"/>
    <col min="25" max="25" width="7.21875" hidden="1" customWidth="1"/>
    <col min="26" max="26" width="11.109375" hidden="1" customWidth="1"/>
    <col min="27" max="27" width="15.109375" hidden="1" customWidth="1"/>
    <col min="28" max="28" width="18.33203125" hidden="1" customWidth="1"/>
    <col min="29" max="29" width="13.109375" hidden="1" customWidth="1"/>
    <col min="30" max="30" width="15.21875" hidden="1" customWidth="1"/>
    <col min="31" max="31" width="13.5546875" hidden="1" customWidth="1"/>
    <col min="33" max="33" width="9.77734375" customWidth="1"/>
  </cols>
  <sheetData>
    <row r="1" spans="1:31">
      <c r="A1" s="18" t="s">
        <v>63</v>
      </c>
      <c r="B1" s="6">
        <v>25</v>
      </c>
      <c r="C1" s="18" t="s">
        <v>64</v>
      </c>
      <c r="D1" s="6">
        <v>26</v>
      </c>
      <c r="E1" s="18" t="s">
        <v>65</v>
      </c>
      <c r="F1" s="6">
        <v>27</v>
      </c>
    </row>
    <row r="2" spans="1:31">
      <c r="A2" s="18" t="s">
        <v>67</v>
      </c>
      <c r="B2" s="6">
        <v>24</v>
      </c>
      <c r="C2" s="18" t="s">
        <v>66</v>
      </c>
      <c r="D2" s="6">
        <v>60</v>
      </c>
      <c r="E2" s="18" t="s">
        <v>68</v>
      </c>
      <c r="F2" s="6">
        <v>60</v>
      </c>
    </row>
    <row r="3" spans="1:31" ht="28.8">
      <c r="A3" s="7" t="s">
        <v>0</v>
      </c>
      <c r="B3" s="7" t="s">
        <v>1</v>
      </c>
      <c r="C3" s="16" t="s">
        <v>28</v>
      </c>
      <c r="D3" s="16" t="s">
        <v>29</v>
      </c>
      <c r="E3" s="17" t="s">
        <v>30</v>
      </c>
      <c r="F3" s="17" t="s">
        <v>31</v>
      </c>
      <c r="G3" s="7" t="s">
        <v>34</v>
      </c>
      <c r="H3" s="7" t="s">
        <v>35</v>
      </c>
      <c r="I3" s="7" t="s">
        <v>36</v>
      </c>
      <c r="J3" s="21" t="s">
        <v>81</v>
      </c>
      <c r="K3" s="7" t="s">
        <v>53</v>
      </c>
      <c r="L3" s="7" t="s">
        <v>39</v>
      </c>
      <c r="M3" s="7" t="s">
        <v>40</v>
      </c>
      <c r="N3" s="7" t="s">
        <v>41</v>
      </c>
      <c r="O3" s="7" t="s">
        <v>44</v>
      </c>
      <c r="P3" s="7" t="s">
        <v>42</v>
      </c>
      <c r="Q3" s="7" t="s">
        <v>43</v>
      </c>
      <c r="R3" s="7" t="s">
        <v>45</v>
      </c>
      <c r="S3" s="7" t="s">
        <v>46</v>
      </c>
      <c r="T3" s="7" t="s">
        <v>47</v>
      </c>
      <c r="U3" s="7" t="s">
        <v>48</v>
      </c>
      <c r="V3" s="7" t="s">
        <v>49</v>
      </c>
      <c r="W3" s="7" t="s">
        <v>50</v>
      </c>
      <c r="X3" s="7" t="s">
        <v>51</v>
      </c>
      <c r="Y3" s="7" t="s">
        <v>52</v>
      </c>
      <c r="Z3" s="7" t="s">
        <v>54</v>
      </c>
      <c r="AA3" s="9" t="s">
        <v>55</v>
      </c>
      <c r="AB3" s="9" t="s">
        <v>56</v>
      </c>
      <c r="AC3" s="7" t="s">
        <v>57</v>
      </c>
      <c r="AD3" s="7" t="s">
        <v>62</v>
      </c>
      <c r="AE3" s="8" t="s">
        <v>73</v>
      </c>
    </row>
    <row r="4" spans="1:31">
      <c r="A4" s="2">
        <v>1</v>
      </c>
      <c r="B4" s="5" t="s">
        <v>2</v>
      </c>
      <c r="C4" s="5">
        <v>3790</v>
      </c>
      <c r="D4" s="5">
        <v>50</v>
      </c>
      <c r="E4" s="10">
        <v>0.33055555555555555</v>
      </c>
      <c r="F4" s="10">
        <v>0.33194444444444443</v>
      </c>
      <c r="G4" s="5"/>
      <c r="H4" s="5"/>
      <c r="I4" s="5">
        <v>30</v>
      </c>
      <c r="J4" s="15">
        <f>F5-F4</f>
        <v>2.4305555555555469E-3</v>
      </c>
      <c r="K4" s="2" t="str">
        <f t="shared" ref="K4:K67" si="0">IF(E3="着(hh:mm:ss)","start",IF(E4="p","pass",IF(OR(F4="t",K3="terminal"),"terminal","stop")))</f>
        <v>start</v>
      </c>
      <c r="L4" s="2" t="str" cm="1">
        <f t="array" ref="L4">TEXT(_xlfn.SWITCH(TRUE,E4="P",$B$1,AND(E4="",K4&lt;&gt;"TERMINAL"),$D$1,TRUE,HOUR(E4)),"00")</f>
        <v>07</v>
      </c>
      <c r="M4" s="2" t="str" cm="1">
        <f t="array" ref="M4">TEXT(_xlfn.SWITCH(TRUE,E4="P","00",AND(E4="",K4&lt;&gt;"TERMINAL"),"00",TRUE,MINUTE(E4)),"00")</f>
        <v>56</v>
      </c>
      <c r="N4" s="2" t="str" cm="1">
        <f t="array" ref="N4">TEXT(_xlfn.SWITCH(TRUE,E4="P","00",AND(E4="",K4&lt;&gt;"TERMINAL"),"00",TRUE,SECOND(E4)),"00")</f>
        <v>00</v>
      </c>
      <c r="O4" s="2" t="str" cm="1">
        <f t="array" ref="O4">_xlfn.SWITCH(TRUE,AND(L4="00",K4&lt;&gt;"TERMINAL"),TEXT($B$2,"00"),L4=TEXT($B$1,"00"),TEXT($B$1,"00"),L4=TEXT($D$1,"00"),TEXT($D$1,"00"),TRUE,+L4)</f>
        <v>07</v>
      </c>
      <c r="P4" s="2" t="str" cm="1">
        <f t="array" ref="P4">_xlfn.SWITCH(TRUE,OR(L4=TEXT($B$1,"00"),L4=TEXT($D$1,"00")),"00",AND(M4="00",K4&lt;&gt;"TERMINAL"),TEXT($D$2,"00"),TRUE,M4)</f>
        <v>56</v>
      </c>
      <c r="Q4" s="2" t="str" cm="1">
        <f t="array" ref="Q4">_xlfn.SWITCH(TRUE,OR(L4=TEXT($B$1,"00"),L4=TEXT($D$1,"00")),"00",AND(N4="00",K4&lt;&gt;"TERMINAL"),TEXT($F$2,"00"),TRUE,N4)</f>
        <v>60</v>
      </c>
      <c r="R4" s="2" t="str">
        <f>IF(OR(L4="25",L4="26"),TEXT(MAX(VALUE(R3),VALUE(Y3)),"00"),L4)</f>
        <v>07</v>
      </c>
      <c r="S4" s="2" t="str" cm="1">
        <f t="array" ref="S4">_xlfn.SWITCH(TRUE,F4="T",TEXT($F$1,"00"),AND(F4="",K4&lt;&gt;"TERMINAL"),"00",TRUE,TEXT(HOUR(F4),"00"))</f>
        <v>07</v>
      </c>
      <c r="T4" s="2" t="str" cm="1">
        <f t="array" ref="T4">TEXT(_xlfn.SWITCH(TRUE,F4="T","00",AND(F4="",K4&lt;&gt;"TERMINAL"),"00",TRUE,MINUTE(F4)),"00")</f>
        <v>58</v>
      </c>
      <c r="U4" s="2" t="str" cm="1">
        <f t="array" ref="U4">TEXT(_xlfn.SWITCH(TRUE,F4="T","00",AND(F4="",K4&lt;&gt;"TERMINAL"),"00",TRUE,SECOND(F4)),"00")</f>
        <v>00</v>
      </c>
      <c r="V4" s="2" t="str" cm="1">
        <f t="array" ref="V4">_xlfn.SWITCH(TRUE,AND(S4="00",R4&lt;&gt;"TERMINAL"),TEXT($B$2,"00"),S4=TEXT($B$1,"00"),TEXT($B$1,"00"),S4=TEXT($D$1,"00"),TEXT($D$1,"00"),TRUE,+S4)</f>
        <v>07</v>
      </c>
      <c r="W4" s="2" t="str" cm="1">
        <f t="array" ref="W4">_xlfn.SWITCH(TRUE,OR(S4=TEXT($B$1,"00"),S4=TEXT($D$1,"00")),"00",AND(T4="00",K4&lt;&gt;"TERMINAL"),TEXT($D$2,"00"),TRUE,T4)</f>
        <v>58</v>
      </c>
      <c r="X4" s="2" t="str" cm="1">
        <f t="array" ref="X4">_xlfn.SWITCH(TRUE,OR(S4=TEXT($B$1,"00"),S4=TEXT($D$1,"00")),"00",AND(U4="00",K4&lt;&gt;"TERMINAL"),TEXT($F$2,"00"),TRUE,U4)</f>
        <v>60</v>
      </c>
      <c r="Y4" s="2" t="str">
        <f>IF(OR(S4="27"),S3,S4)</f>
        <v>07</v>
      </c>
      <c r="Z4" s="2" t="str">
        <f>TEXT(TRUE,)</f>
        <v>TRUE</v>
      </c>
      <c r="AA4" s="2" t="str">
        <f>IF(Z4="TRUE",O4&amp;P4&amp;Q4,IF(OR(L4="25",L4="26"),O4&amp;P4&amp;Q4,"00"&amp;P4&amp;Q4))</f>
        <v>075660</v>
      </c>
      <c r="AB4" s="2" t="str">
        <f>IF(Z4="TRUE",V4&amp;W4&amp;X4,IF(S4="27",V4&amp;W4&amp;X4,"00"&amp;W4&amp;X4))</f>
        <v>075860</v>
      </c>
      <c r="AC4" s="2" t="str" cm="1">
        <f t="array" ref="AC4">TEXT($D4,"000")&amp;TEXT(IFERROR(INDEX($D$5:$D$103,_xlfn.AGGREGATE(15,6,ROW($E$5:$E$103)/(($E$5:$E$103&lt;&gt;"p")*($E$5:$E$103&lt;&gt;"t")*(ROW($E$5:$E$103)&gt;ROW($E4))),1)-ROW($E$5)+1),$D4),"000")</f>
        <v>050053</v>
      </c>
      <c r="AD4" s="2" t="str" cm="1">
        <f t="array" ref="AD4">TEXT(_xlfn.XLOOKUP(TRUE, AA5:AA$103&lt;&gt;"250000", AA5:AA$103, "未找到"),"000000")</f>
        <v>000760</v>
      </c>
      <c r="AE4" s="2" t="str" cm="1">
        <f t="array" ref="AE4">_xlfn.SWITCH(TRUE,J4&lt;&gt;"",TEXT(J4,"MMSS"),TRUE,IFERROR(TEXT(E5-F4,"MMSS"),"0000"))</f>
        <v>0330</v>
      </c>
    </row>
    <row r="5" spans="1:31">
      <c r="A5" s="2">
        <v>2</v>
      </c>
      <c r="B5" s="5" t="s">
        <v>3</v>
      </c>
      <c r="C5" s="5">
        <v>6875</v>
      </c>
      <c r="D5" s="5">
        <v>51</v>
      </c>
      <c r="E5" s="11" t="s">
        <v>32</v>
      </c>
      <c r="F5" s="10">
        <v>0.33437499999999998</v>
      </c>
      <c r="G5" s="5"/>
      <c r="H5" s="5"/>
      <c r="I5" s="5">
        <v>60</v>
      </c>
      <c r="J5" s="15">
        <f>F6-F5</f>
        <v>8.6805555555558023E-4</v>
      </c>
      <c r="K5" s="2" t="str">
        <f t="shared" si="0"/>
        <v>pass</v>
      </c>
      <c r="L5" s="2" t="str" cm="1">
        <f t="array" ref="L5">TEXT(_xlfn.SWITCH(TRUE,E5="P",$B$1,AND(E5="",K5&lt;&gt;"TERMINAL"),$D$1,TRUE,HOUR(E5)),"00")</f>
        <v>25</v>
      </c>
      <c r="M5" s="2" t="str" cm="1">
        <f t="array" ref="M5">TEXT(_xlfn.SWITCH(TRUE,E5="P","00",AND(E5="",K5&lt;&gt;"TERMINAL"),"00",TRUE,MINUTE(E5)),"00")</f>
        <v>00</v>
      </c>
      <c r="N5" s="2" t="str" cm="1">
        <f t="array" ref="N5">TEXT(_xlfn.SWITCH(TRUE,E5="P","00",AND(E5="",K5&lt;&gt;"TERMINAL"),"00",TRUE,SECOND(E5)),"00")</f>
        <v>00</v>
      </c>
      <c r="O5" s="2" t="str" cm="1">
        <f t="array" ref="O5">_xlfn.SWITCH(TRUE,AND(L5="00",K5&lt;&gt;"TERMINAL"),TEXT($B$2,"00"),L5=TEXT($B$1,"00"),TEXT($B$1,"00"),L5=TEXT($D$1,"00"),TEXT($D$1,"00"),TRUE,+L5)</f>
        <v>25</v>
      </c>
      <c r="P5" s="2" t="str" cm="1">
        <f t="array" ref="P5">_xlfn.SWITCH(TRUE,OR(L5=TEXT($B$1,"00"),L5=TEXT($D$1,"00")),"00",AND(M5="00",K5&lt;&gt;"TERMINAL"),TEXT($D$2,"00"),TRUE,M5)</f>
        <v>00</v>
      </c>
      <c r="Q5" s="2" t="str" cm="1">
        <f t="array" ref="Q5">_xlfn.SWITCH(TRUE,OR(L5=TEXT($B$1,"00"),L5=TEXT($D$1,"00")),"00",AND(N5="00",K5&lt;&gt;"TERMINAL"),TEXT($F$2,"00"),TRUE,N5)</f>
        <v>00</v>
      </c>
      <c r="R5" s="2" t="str">
        <f t="shared" ref="R5:R68" si="1">IF(OR(L5="25",L5="26"),TEXT(MAX(VALUE(R4),VALUE(Y4)),"00"),L5)</f>
        <v>07</v>
      </c>
      <c r="S5" s="2" t="str" cm="1">
        <f t="array" ref="S5">_xlfn.SWITCH(TRUE,F5="T",TEXT($F$1,"00"),AND(F5="",K5&lt;&gt;"TERMINAL"),"00",TRUE,TEXT(HOUR(F5),"00"))</f>
        <v>08</v>
      </c>
      <c r="T5" s="2" t="str" cm="1">
        <f t="array" ref="T5">TEXT(_xlfn.SWITCH(TRUE,F5="T","00",AND(F5="",K5&lt;&gt;"TERMINAL"),"00",TRUE,MINUTE(F5)),"00")</f>
        <v>01</v>
      </c>
      <c r="U5" s="2" t="str" cm="1">
        <f t="array" ref="U5">TEXT(_xlfn.SWITCH(TRUE,F5="T","00",AND(F5="",K5&lt;&gt;"TERMINAL"),"00",TRUE,SECOND(F5)),"00")</f>
        <v>30</v>
      </c>
      <c r="V5" s="2" t="str">
        <f t="shared" ref="V5:V68" si="2">IF(AND(S5="00",F4&lt;&gt;"t",V4&lt;&gt;"00"),"24",S5)</f>
        <v>08</v>
      </c>
      <c r="W5" s="2" t="str" cm="1">
        <f t="array" ref="W5">_xlfn.SWITCH(TRUE,OR(S5=TEXT($B$1,"00"),S5=TEXT($D$1,"00")),"00",AND(T5="00",K5&lt;&gt;"TERMINAL"),TEXT($D$2,"00"),TRUE,T5)</f>
        <v>01</v>
      </c>
      <c r="X5" s="2" t="str" cm="1">
        <f t="array" ref="X5">_xlfn.SWITCH(TRUE,OR(S5=TEXT($B$1,"00"),S5=TEXT($D$1,"00")),"00",AND(U5="00",K5&lt;&gt;"TERMINAL"),TEXT($F$2,"00"),TRUE,U5)</f>
        <v>30</v>
      </c>
      <c r="Y5" s="2" t="str">
        <f t="shared" ref="Y5:Y68" si="3">IF(OR(S5="27"),S4,S5)</f>
        <v>08</v>
      </c>
      <c r="Z5" s="2" t="str">
        <f>IF(OR(Y5&gt;R5,R5&gt;Y4),"TRUE","FALSE")</f>
        <v>TRUE</v>
      </c>
      <c r="AA5" s="2" t="str">
        <f t="shared" ref="AA5:AA68" si="4">IF(Z5="TRUE",O5&amp;P5&amp;Q5,IF(OR(L5="25",L5="26"),O5&amp;P5&amp;Q5,"00"&amp;P5&amp;Q5))</f>
        <v>250000</v>
      </c>
      <c r="AB5" s="2" t="str">
        <f t="shared" ref="AB5:AB68" si="5">IF(Z5="TRUE",V5&amp;W5&amp;X5,IF(S5="27",V5&amp;W5&amp;X5,"00"&amp;W5&amp;X5))</f>
        <v>080130</v>
      </c>
      <c r="AC5" s="2" t="str" cm="1">
        <f t="array" ref="AC5">TEXT($D5,"000")&amp;TEXT(IFERROR(INDEX($D$5:$D$103,_xlfn.AGGREGATE(15,6,ROW($E$5:$E$103)/(($E$5:$E$103&lt;&gt;"p")*($E$5:$E$103&lt;&gt;"t")*(ROW($E$5:$E$103)&gt;ROW($E5))),1)-ROW($E$5)+1),$D5),"000")</f>
        <v>051053</v>
      </c>
      <c r="AD5" s="2" t="str" cm="1">
        <f t="array" ref="AD5">TEXT(_xlfn.XLOOKUP(TRUE, AA6:AA$103&lt;&gt;"250000", AA6:AA$103, "未找到"),"000000")</f>
        <v>000760</v>
      </c>
      <c r="AE5" s="2" t="str" cm="1">
        <f t="array" ref="AE5">_xlfn.SWITCH(TRUE,J5&lt;&gt;"",TEXT(J5,"MMSS"),TRUE,IFERROR(TEXT(E6-F5,"MMSS"),"0000"))</f>
        <v>0115</v>
      </c>
    </row>
    <row r="6" spans="1:31">
      <c r="A6" s="2">
        <v>3</v>
      </c>
      <c r="B6" s="5" t="s">
        <v>4</v>
      </c>
      <c r="C6" s="5">
        <v>8460</v>
      </c>
      <c r="D6" s="5">
        <v>52</v>
      </c>
      <c r="E6" s="11" t="s">
        <v>32</v>
      </c>
      <c r="F6" s="10">
        <v>0.33524305555555556</v>
      </c>
      <c r="G6" s="5"/>
      <c r="H6" s="5"/>
      <c r="I6" s="5"/>
      <c r="J6" s="15"/>
      <c r="K6" s="2" t="str">
        <f t="shared" si="0"/>
        <v>pass</v>
      </c>
      <c r="L6" s="2" t="str" cm="1">
        <f t="array" ref="L6">TEXT(_xlfn.SWITCH(TRUE,E6="P",$B$1,AND(E6="",K6&lt;&gt;"TERMINAL"),$D$1,TRUE,HOUR(E6)),"00")</f>
        <v>25</v>
      </c>
      <c r="M6" s="2" t="str" cm="1">
        <f t="array" ref="M6">TEXT(_xlfn.SWITCH(TRUE,E6="P","00",AND(E6="",K6&lt;&gt;"TERMINAL"),"00",TRUE,MINUTE(E6)),"00")</f>
        <v>00</v>
      </c>
      <c r="N6" s="2" t="str" cm="1">
        <f t="array" ref="N6">TEXT(_xlfn.SWITCH(TRUE,E6="P","00",AND(E6="",K6&lt;&gt;"TERMINAL"),"00",TRUE,SECOND(E6)),"00")</f>
        <v>00</v>
      </c>
      <c r="O6" s="2" t="str" cm="1">
        <f t="array" ref="O6">_xlfn.SWITCH(TRUE,AND(L6="00",K6&lt;&gt;"TERMINAL"),TEXT($B$2,"00"),L6=TEXT($B$1,"00"),TEXT($B$1,"00"),L6=TEXT($D$1,"00"),TEXT($D$1,"00"),TRUE,+L6)</f>
        <v>25</v>
      </c>
      <c r="P6" s="2" t="str" cm="1">
        <f t="array" ref="P6">_xlfn.SWITCH(TRUE,OR(L6=TEXT($B$1,"00"),L6=TEXT($D$1,"00")),"00",AND(M6="00",K6&lt;&gt;"TERMINAL"),TEXT($D$2,"00"),TRUE,M6)</f>
        <v>00</v>
      </c>
      <c r="Q6" s="2" t="str" cm="1">
        <f t="array" ref="Q6">_xlfn.SWITCH(TRUE,OR(L6=TEXT($B$1,"00"),L6=TEXT($D$1,"00")),"00",AND(N6="00",K6&lt;&gt;"TERMINAL"),TEXT($F$2,"00"),TRUE,N6)</f>
        <v>00</v>
      </c>
      <c r="R6" s="2" t="str">
        <f t="shared" si="1"/>
        <v>08</v>
      </c>
      <c r="S6" s="2" t="str" cm="1">
        <f t="array" ref="S6">_xlfn.SWITCH(TRUE,F6="T",TEXT($F$1,"00"),AND(F6="",K6&lt;&gt;"TERMINAL"),"00",TRUE,TEXT(HOUR(F6),"00"))</f>
        <v>08</v>
      </c>
      <c r="T6" s="2" t="str" cm="1">
        <f t="array" ref="T6">TEXT(_xlfn.SWITCH(TRUE,F6="T","00",AND(F6="",K6&lt;&gt;"TERMINAL"),"00",TRUE,MINUTE(F6)),"00")</f>
        <v>02</v>
      </c>
      <c r="U6" s="2" t="str" cm="1">
        <f t="array" ref="U6">TEXT(_xlfn.SWITCH(TRUE,F6="T","00",AND(F6="",K6&lt;&gt;"TERMINAL"),"00",TRUE,SECOND(F6)),"00")</f>
        <v>45</v>
      </c>
      <c r="V6" s="2" t="str">
        <f t="shared" si="2"/>
        <v>08</v>
      </c>
      <c r="W6" s="2" t="str" cm="1">
        <f t="array" ref="W6">_xlfn.SWITCH(TRUE,OR(S6=TEXT($B$1,"00"),S6=TEXT($D$1,"00")),"00",AND(T6="00",K6&lt;&gt;"TERMINAL"),TEXT($D$2,"00"),TRUE,T6)</f>
        <v>02</v>
      </c>
      <c r="X6" s="2" t="str" cm="1">
        <f t="array" ref="X6">_xlfn.SWITCH(TRUE,OR(S6=TEXT($B$1,"00"),S6=TEXT($D$1,"00")),"00",AND(U6="00",K6&lt;&gt;"TERMINAL"),TEXT($F$2,"00"),TRUE,U6)</f>
        <v>45</v>
      </c>
      <c r="Y6" s="2" t="str">
        <f t="shared" si="3"/>
        <v>08</v>
      </c>
      <c r="Z6" s="2" t="str">
        <f t="shared" ref="Z6:Z69" si="6">IF(OR(Y6&gt;R6,R6&gt;Y5),"TRUE","FALSE")</f>
        <v>FALSE</v>
      </c>
      <c r="AA6" s="2" t="str">
        <f t="shared" si="4"/>
        <v>250000</v>
      </c>
      <c r="AB6" s="2" t="str">
        <f t="shared" si="5"/>
        <v>000245</v>
      </c>
      <c r="AC6" s="2" t="str" cm="1">
        <f t="array" ref="AC6">TEXT($D6,"000")&amp;TEXT(IFERROR(INDEX($D$5:$D$103,_xlfn.AGGREGATE(15,6,ROW($E$5:$E$103)/(($E$5:$E$103&lt;&gt;"p")*($E$5:$E$103&lt;&gt;"t")*(ROW($E$5:$E$103)&gt;ROW($E6))),1)-ROW($E$5)+1),$D6),"000")</f>
        <v>052053</v>
      </c>
      <c r="AD6" s="2" t="str" cm="1">
        <f t="array" ref="AD6">TEXT(_xlfn.XLOOKUP(TRUE, AA7:AA$103&lt;&gt;"250000", AA7:AA$103, "未找到"),"000000")</f>
        <v>000760</v>
      </c>
      <c r="AE6" s="2" t="str" cm="1">
        <f t="array" ref="AE6">_xlfn.SWITCH(TRUE,J6&lt;&gt;"",TEXT(J6,"MMSS"),TRUE,IFERROR(TEXT(E7-F6,"MMSS"),"0000"))</f>
        <v>0415</v>
      </c>
    </row>
    <row r="7" spans="1:31">
      <c r="A7" s="2">
        <v>4</v>
      </c>
      <c r="B7" s="5" t="s">
        <v>5</v>
      </c>
      <c r="C7" s="5">
        <v>13240</v>
      </c>
      <c r="D7" s="5">
        <v>53</v>
      </c>
      <c r="E7" s="10">
        <v>0.33819444444444446</v>
      </c>
      <c r="F7" s="10">
        <v>0.33871527777777777</v>
      </c>
      <c r="G7" s="5"/>
      <c r="H7" s="5"/>
      <c r="I7" s="5"/>
      <c r="J7" s="15">
        <f t="shared" ref="J7:J26" si="7">F8-F7</f>
        <v>1.388888888888884E-3</v>
      </c>
      <c r="K7" s="2" t="str">
        <f t="shared" si="0"/>
        <v>stop</v>
      </c>
      <c r="L7" s="2" t="str" cm="1">
        <f t="array" ref="L7">TEXT(_xlfn.SWITCH(TRUE,E7="P",$B$1,AND(E7="",K7&lt;&gt;"TERMINAL"),$D$1,TRUE,HOUR(E7)),"00")</f>
        <v>08</v>
      </c>
      <c r="M7" s="2" t="str" cm="1">
        <f t="array" ref="M7">TEXT(_xlfn.SWITCH(TRUE,E7="P","00",AND(E7="",K7&lt;&gt;"TERMINAL"),"00",TRUE,MINUTE(E7)),"00")</f>
        <v>07</v>
      </c>
      <c r="N7" s="2" t="str" cm="1">
        <f t="array" ref="N7">TEXT(_xlfn.SWITCH(TRUE,E7="P","00",AND(E7="",K7&lt;&gt;"TERMINAL"),"00",TRUE,SECOND(E7)),"00")</f>
        <v>00</v>
      </c>
      <c r="O7" s="2" t="str" cm="1">
        <f t="array" ref="O7">_xlfn.SWITCH(TRUE,AND(L7="00",K7&lt;&gt;"TERMINAL"),TEXT($B$2,"00"),L7=TEXT($B$1,"00"),TEXT($B$1,"00"),L7=TEXT($D$1,"00"),TEXT($D$1,"00"),TRUE,+L7)</f>
        <v>08</v>
      </c>
      <c r="P7" s="2" t="str" cm="1">
        <f t="array" ref="P7">_xlfn.SWITCH(TRUE,OR(L7=TEXT($B$1,"00"),L7=TEXT($D$1,"00")),"00",AND(M7="00",K7&lt;&gt;"TERMINAL"),TEXT($D$2,"00"),TRUE,M7)</f>
        <v>07</v>
      </c>
      <c r="Q7" s="2" t="str" cm="1">
        <f t="array" ref="Q7">_xlfn.SWITCH(TRUE,OR(L7=TEXT($B$1,"00"),L7=TEXT($D$1,"00")),"00",AND(N7="00",K7&lt;&gt;"TERMINAL"),TEXT($F$2,"00"),TRUE,N7)</f>
        <v>60</v>
      </c>
      <c r="R7" s="2" t="str">
        <f t="shared" si="1"/>
        <v>08</v>
      </c>
      <c r="S7" s="2" t="str" cm="1">
        <f t="array" ref="S7">_xlfn.SWITCH(TRUE,F7="T",TEXT($F$1,"00"),AND(F7="",K7&lt;&gt;"TERMINAL"),"00",TRUE,TEXT(HOUR(F7),"00"))</f>
        <v>08</v>
      </c>
      <c r="T7" s="2" t="str" cm="1">
        <f t="array" ref="T7">TEXT(_xlfn.SWITCH(TRUE,F7="T","00",AND(F7="",K7&lt;&gt;"TERMINAL"),"00",TRUE,MINUTE(F7)),"00")</f>
        <v>07</v>
      </c>
      <c r="U7" s="2" t="str" cm="1">
        <f t="array" ref="U7">TEXT(_xlfn.SWITCH(TRUE,F7="T","00",AND(F7="",K7&lt;&gt;"TERMINAL"),"00",TRUE,SECOND(F7)),"00")</f>
        <v>45</v>
      </c>
      <c r="V7" s="2" t="str">
        <f t="shared" si="2"/>
        <v>08</v>
      </c>
      <c r="W7" s="2" t="str" cm="1">
        <f t="array" ref="W7">_xlfn.SWITCH(TRUE,OR(S7=TEXT($B$1,"00"),S7=TEXT($D$1,"00")),"00",AND(T7="00",K7&lt;&gt;"TERMINAL"),TEXT($D$2,"00"),TRUE,T7)</f>
        <v>07</v>
      </c>
      <c r="X7" s="2" t="str" cm="1">
        <f t="array" ref="X7">_xlfn.SWITCH(TRUE,OR(S7=TEXT($B$1,"00"),S7=TEXT($D$1,"00")),"00",AND(U7="00",K7&lt;&gt;"TERMINAL"),TEXT($F$2,"00"),TRUE,U7)</f>
        <v>45</v>
      </c>
      <c r="Y7" s="2" t="str">
        <f t="shared" si="3"/>
        <v>08</v>
      </c>
      <c r="Z7" s="2" t="str">
        <f t="shared" si="6"/>
        <v>FALSE</v>
      </c>
      <c r="AA7" s="2" t="str">
        <f t="shared" si="4"/>
        <v>000760</v>
      </c>
      <c r="AB7" s="2" t="str">
        <f t="shared" si="5"/>
        <v>000745</v>
      </c>
      <c r="AC7" s="2" t="str" cm="1">
        <f t="array" ref="AC7">TEXT($D7,"000")&amp;TEXT(IFERROR(INDEX($D$5:$D$103,_xlfn.AGGREGATE(15,6,ROW($E$5:$E$103)/(($E$5:$E$103&lt;&gt;"p")*($E$5:$E$103&lt;&gt;"t")*(ROW($E$5:$E$103)&gt;ROW($E7))),1)-ROW($E$5)+1),$D7),"000")</f>
        <v>053066</v>
      </c>
      <c r="AD7" s="2" t="str" cm="1">
        <f t="array" ref="AD7">TEXT(_xlfn.XLOOKUP(TRUE, AA8:AA$103&lt;&gt;"250000", AA8:AA$103, "未找到"),"000000")</f>
        <v>001660</v>
      </c>
      <c r="AE7" s="2" t="str" cm="1">
        <f t="array" ref="AE7">_xlfn.SWITCH(TRUE,J7&lt;&gt;"",TEXT(J7,"MMSS"),TRUE,IFERROR(TEXT(E8-F7,"MMSS"),"0000"))</f>
        <v>0200</v>
      </c>
    </row>
    <row r="8" spans="1:31">
      <c r="A8" s="2">
        <v>5</v>
      </c>
      <c r="B8" s="5" t="s">
        <v>6</v>
      </c>
      <c r="C8" s="5">
        <v>15880</v>
      </c>
      <c r="D8" s="5">
        <v>65</v>
      </c>
      <c r="E8" s="11" t="s">
        <v>32</v>
      </c>
      <c r="F8" s="10">
        <v>0.34010416666666665</v>
      </c>
      <c r="G8" s="5"/>
      <c r="H8" s="5"/>
      <c r="I8" s="5"/>
      <c r="J8" s="15"/>
      <c r="K8" s="2" t="str">
        <f t="shared" si="0"/>
        <v>pass</v>
      </c>
      <c r="L8" s="2" t="str" cm="1">
        <f t="array" ref="L8">TEXT(_xlfn.SWITCH(TRUE,E8="P",$B$1,AND(E8="",K8&lt;&gt;"TERMINAL"),$D$1,TRUE,HOUR(E8)),"00")</f>
        <v>25</v>
      </c>
      <c r="M8" s="2" t="str" cm="1">
        <f t="array" ref="M8">TEXT(_xlfn.SWITCH(TRUE,E8="P","00",AND(E8="",K8&lt;&gt;"TERMINAL"),"00",TRUE,MINUTE(E8)),"00")</f>
        <v>00</v>
      </c>
      <c r="N8" s="2" t="str" cm="1">
        <f t="array" ref="N8">TEXT(_xlfn.SWITCH(TRUE,E8="P","00",AND(E8="",K8&lt;&gt;"TERMINAL"),"00",TRUE,SECOND(E8)),"00")</f>
        <v>00</v>
      </c>
      <c r="O8" s="2" t="str" cm="1">
        <f t="array" ref="O8">_xlfn.SWITCH(TRUE,AND(L8="00",K8&lt;&gt;"TERMINAL"),TEXT($B$2,"00"),L8=TEXT($B$1,"00"),TEXT($B$1,"00"),L8=TEXT($D$1,"00"),TEXT($D$1,"00"),TRUE,+L8)</f>
        <v>25</v>
      </c>
      <c r="P8" s="2" t="str" cm="1">
        <f t="array" ref="P8">_xlfn.SWITCH(TRUE,OR(L8=TEXT($B$1,"00"),L8=TEXT($D$1,"00")),"00",AND(M8="00",K8&lt;&gt;"TERMINAL"),TEXT($D$2,"00"),TRUE,M8)</f>
        <v>00</v>
      </c>
      <c r="Q8" s="2" t="str" cm="1">
        <f t="array" ref="Q8">_xlfn.SWITCH(TRUE,OR(L8=TEXT($B$1,"00"),L8=TEXT($D$1,"00")),"00",AND(N8="00",K8&lt;&gt;"TERMINAL"),TEXT($F$2,"00"),TRUE,N8)</f>
        <v>00</v>
      </c>
      <c r="R8" s="2" t="str">
        <f t="shared" si="1"/>
        <v>08</v>
      </c>
      <c r="S8" s="2" t="str" cm="1">
        <f t="array" ref="S8">_xlfn.SWITCH(TRUE,F8="T",TEXT($F$1,"00"),AND(F8="",K8&lt;&gt;"TERMINAL"),"00",TRUE,TEXT(HOUR(F8),"00"))</f>
        <v>08</v>
      </c>
      <c r="T8" s="2" t="str" cm="1">
        <f t="array" ref="T8">TEXT(_xlfn.SWITCH(TRUE,F8="T","00",AND(F8="",K8&lt;&gt;"TERMINAL"),"00",TRUE,MINUTE(F8)),"00")</f>
        <v>09</v>
      </c>
      <c r="U8" s="2" t="str" cm="1">
        <f t="array" ref="U8">TEXT(_xlfn.SWITCH(TRUE,F8="T","00",AND(F8="",K8&lt;&gt;"TERMINAL"),"00",TRUE,SECOND(F8)),"00")</f>
        <v>45</v>
      </c>
      <c r="V8" s="2" t="str">
        <f t="shared" si="2"/>
        <v>08</v>
      </c>
      <c r="W8" s="2" t="str" cm="1">
        <f t="array" ref="W8">_xlfn.SWITCH(TRUE,OR(S8=TEXT($B$1,"00"),S8=TEXT($D$1,"00")),"00",AND(T8="00",K8&lt;&gt;"TERMINAL"),TEXT($D$2,"00"),TRUE,T8)</f>
        <v>09</v>
      </c>
      <c r="X8" s="2" t="str" cm="1">
        <f t="array" ref="X8">_xlfn.SWITCH(TRUE,OR(S8=TEXT($B$1,"00"),S8=TEXT($D$1,"00")),"00",AND(U8="00",K8&lt;&gt;"TERMINAL"),TEXT($F$2,"00"),TRUE,U8)</f>
        <v>45</v>
      </c>
      <c r="Y8" s="2" t="str">
        <f t="shared" si="3"/>
        <v>08</v>
      </c>
      <c r="Z8" s="2" t="str">
        <f t="shared" si="6"/>
        <v>FALSE</v>
      </c>
      <c r="AA8" s="2" t="str">
        <f t="shared" si="4"/>
        <v>250000</v>
      </c>
      <c r="AB8" s="2" t="str">
        <f t="shared" si="5"/>
        <v>000945</v>
      </c>
      <c r="AC8" s="2" t="str" cm="1">
        <f t="array" ref="AC8">TEXT($D8,"000")&amp;TEXT(IFERROR(INDEX($D$5:$D$103,_xlfn.AGGREGATE(15,6,ROW($E$5:$E$103)/(($E$5:$E$103&lt;&gt;"p")*($E$5:$E$103&lt;&gt;"t")*(ROW($E$5:$E$103)&gt;ROW($E8))),1)-ROW($E$5)+1),$D8),"000")</f>
        <v>065066</v>
      </c>
      <c r="AD8" s="2" t="str" cm="1">
        <f t="array" ref="AD8">TEXT(_xlfn.XLOOKUP(TRUE, AA9:AA$103&lt;&gt;"250000", AA9:AA$103, "未找到"),"000000")</f>
        <v>001660</v>
      </c>
      <c r="AE8" s="2" t="str" cm="1">
        <f t="array" ref="AE8">_xlfn.SWITCH(TRUE,J8&lt;&gt;"",TEXT(J8,"MMSS"),TRUE,IFERROR(TEXT(E9-F8,"MMSS"),"0000"))</f>
        <v>0615</v>
      </c>
    </row>
    <row r="9" spans="1:31">
      <c r="A9" s="2">
        <v>6</v>
      </c>
      <c r="B9" s="5" t="s">
        <v>7</v>
      </c>
      <c r="C9" s="5">
        <v>24240</v>
      </c>
      <c r="D9" s="5">
        <v>66</v>
      </c>
      <c r="E9" s="10">
        <v>0.34444444444444444</v>
      </c>
      <c r="F9" s="10">
        <v>0.34479166666666666</v>
      </c>
      <c r="G9" s="5"/>
      <c r="H9" s="5"/>
      <c r="I9" s="5"/>
      <c r="J9" s="15">
        <f t="shared" si="7"/>
        <v>2.2569444444444642E-3</v>
      </c>
      <c r="K9" s="2" t="str">
        <f t="shared" si="0"/>
        <v>stop</v>
      </c>
      <c r="L9" s="2" t="str" cm="1">
        <f t="array" ref="L9">TEXT(_xlfn.SWITCH(TRUE,E9="P",$B$1,AND(E9="",K9&lt;&gt;"TERMINAL"),$D$1,TRUE,HOUR(E9)),"00")</f>
        <v>08</v>
      </c>
      <c r="M9" s="2" t="str" cm="1">
        <f t="array" ref="M9">TEXT(_xlfn.SWITCH(TRUE,E9="P","00",AND(E9="",K9&lt;&gt;"TERMINAL"),"00",TRUE,MINUTE(E9)),"00")</f>
        <v>16</v>
      </c>
      <c r="N9" s="2" t="str" cm="1">
        <f t="array" ref="N9">TEXT(_xlfn.SWITCH(TRUE,E9="P","00",AND(E9="",K9&lt;&gt;"TERMINAL"),"00",TRUE,SECOND(E9)),"00")</f>
        <v>00</v>
      </c>
      <c r="O9" s="2" t="str" cm="1">
        <f t="array" ref="O9">_xlfn.SWITCH(TRUE,AND(L9="00",K9&lt;&gt;"TERMINAL"),TEXT($B$2,"00"),L9=TEXT($B$1,"00"),TEXT($B$1,"00"),L9=TEXT($D$1,"00"),TEXT($D$1,"00"),TRUE,+L9)</f>
        <v>08</v>
      </c>
      <c r="P9" s="2" t="str" cm="1">
        <f t="array" ref="P9">_xlfn.SWITCH(TRUE,OR(L9=TEXT($B$1,"00"),L9=TEXT($D$1,"00")),"00",AND(M9="00",K9&lt;&gt;"TERMINAL"),TEXT($D$2,"00"),TRUE,M9)</f>
        <v>16</v>
      </c>
      <c r="Q9" s="2" t="str" cm="1">
        <f t="array" ref="Q9">_xlfn.SWITCH(TRUE,OR(L9=TEXT($B$1,"00"),L9=TEXT($D$1,"00")),"00",AND(N9="00",K9&lt;&gt;"TERMINAL"),TEXT($F$2,"00"),TRUE,N9)</f>
        <v>60</v>
      </c>
      <c r="R9" s="2" t="str">
        <f t="shared" si="1"/>
        <v>08</v>
      </c>
      <c r="S9" s="2" t="str" cm="1">
        <f t="array" ref="S9">_xlfn.SWITCH(TRUE,F9="T",TEXT($F$1,"00"),AND(F9="",K9&lt;&gt;"TERMINAL"),"00",TRUE,TEXT(HOUR(F9),"00"))</f>
        <v>08</v>
      </c>
      <c r="T9" s="2" t="str" cm="1">
        <f t="array" ref="T9">TEXT(_xlfn.SWITCH(TRUE,F9="T","00",AND(F9="",K9&lt;&gt;"TERMINAL"),"00",TRUE,MINUTE(F9)),"00")</f>
        <v>16</v>
      </c>
      <c r="U9" s="2" t="str" cm="1">
        <f t="array" ref="U9">TEXT(_xlfn.SWITCH(TRUE,F9="T","00",AND(F9="",K9&lt;&gt;"TERMINAL"),"00",TRUE,SECOND(F9)),"00")</f>
        <v>30</v>
      </c>
      <c r="V9" s="2" t="str">
        <f t="shared" si="2"/>
        <v>08</v>
      </c>
      <c r="W9" s="2" t="str" cm="1">
        <f t="array" ref="W9">_xlfn.SWITCH(TRUE,OR(S9=TEXT($B$1,"00"),S9=TEXT($D$1,"00")),"00",AND(T9="00",K9&lt;&gt;"TERMINAL"),TEXT($D$2,"00"),TRUE,T9)</f>
        <v>16</v>
      </c>
      <c r="X9" s="2" t="str" cm="1">
        <f t="array" ref="X9">_xlfn.SWITCH(TRUE,OR(S9=TEXT($B$1,"00"),S9=TEXT($D$1,"00")),"00",AND(U9="00",K9&lt;&gt;"TERMINAL"),TEXT($F$2,"00"),TRUE,U9)</f>
        <v>30</v>
      </c>
      <c r="Y9" s="2" t="str">
        <f t="shared" si="3"/>
        <v>08</v>
      </c>
      <c r="Z9" s="2" t="str">
        <f t="shared" si="6"/>
        <v>FALSE</v>
      </c>
      <c r="AA9" s="2" t="str">
        <f t="shared" si="4"/>
        <v>001660</v>
      </c>
      <c r="AB9" s="2" t="str">
        <f t="shared" si="5"/>
        <v>001630</v>
      </c>
      <c r="AC9" s="2" t="str" cm="1">
        <f t="array" ref="AC9">TEXT($D9,"000")&amp;TEXT(IFERROR(INDEX($D$5:$D$103,_xlfn.AGGREGATE(15,6,ROW($E$5:$E$103)/(($E$5:$E$103&lt;&gt;"p")*($E$5:$E$103&lt;&gt;"t")*(ROW($E$5:$E$103)&gt;ROW($E9))),1)-ROW($E$5)+1),$D9),"000")</f>
        <v>066069</v>
      </c>
      <c r="AD9" s="2" t="str" cm="1">
        <f t="array" ref="AD9">TEXT(_xlfn.XLOOKUP(TRUE, AA10:AA$103&lt;&gt;"250000", AA10:AA$103, "未找到"),"000000")</f>
        <v>002260</v>
      </c>
      <c r="AE9" s="2" t="str" cm="1">
        <f t="array" ref="AE9">_xlfn.SWITCH(TRUE,J9&lt;&gt;"",TEXT(J9,"MMSS"),TRUE,IFERROR(TEXT(E10-F9,"MMSS"),"0000"))</f>
        <v>0315</v>
      </c>
    </row>
    <row r="10" spans="1:31">
      <c r="A10" s="2">
        <v>7</v>
      </c>
      <c r="B10" s="5" t="s">
        <v>8</v>
      </c>
      <c r="C10" s="5">
        <v>28915</v>
      </c>
      <c r="D10" s="5">
        <v>67</v>
      </c>
      <c r="E10" s="11" t="s">
        <v>32</v>
      </c>
      <c r="F10" s="10">
        <v>0.34704861111111113</v>
      </c>
      <c r="G10" s="5"/>
      <c r="H10" s="5"/>
      <c r="I10" s="5"/>
      <c r="J10" s="15"/>
      <c r="K10" s="2" t="str">
        <f t="shared" si="0"/>
        <v>pass</v>
      </c>
      <c r="L10" s="2" t="str" cm="1">
        <f t="array" ref="L10">TEXT(_xlfn.SWITCH(TRUE,E10="P",$B$1,AND(E10="",K10&lt;&gt;"TERMINAL"),$D$1,TRUE,HOUR(E10)),"00")</f>
        <v>25</v>
      </c>
      <c r="M10" s="2" t="str" cm="1">
        <f t="array" ref="M10">TEXT(_xlfn.SWITCH(TRUE,E10="P","00",AND(E10="",K10&lt;&gt;"TERMINAL"),"00",TRUE,MINUTE(E10)),"00")</f>
        <v>00</v>
      </c>
      <c r="N10" s="2" t="str" cm="1">
        <f t="array" ref="N10">TEXT(_xlfn.SWITCH(TRUE,E10="P","00",AND(E10="",K10&lt;&gt;"TERMINAL"),"00",TRUE,SECOND(E10)),"00")</f>
        <v>00</v>
      </c>
      <c r="O10" s="2" t="str" cm="1">
        <f t="array" ref="O10">_xlfn.SWITCH(TRUE,AND(L10="00",K10&lt;&gt;"TERMINAL"),TEXT($B$2,"00"),L10=TEXT($B$1,"00"),TEXT($B$1,"00"),L10=TEXT($D$1,"00"),TEXT($D$1,"00"),TRUE,+L10)</f>
        <v>25</v>
      </c>
      <c r="P10" s="2" t="str" cm="1">
        <f t="array" ref="P10">_xlfn.SWITCH(TRUE,OR(L10=TEXT($B$1,"00"),L10=TEXT($D$1,"00")),"00",AND(M10="00",K10&lt;&gt;"TERMINAL"),TEXT($D$2,"00"),TRUE,M10)</f>
        <v>00</v>
      </c>
      <c r="Q10" s="2" t="str" cm="1">
        <f t="array" ref="Q10">_xlfn.SWITCH(TRUE,OR(L10=TEXT($B$1,"00"),L10=TEXT($D$1,"00")),"00",AND(N10="00",K10&lt;&gt;"TERMINAL"),TEXT($F$2,"00"),TRUE,N10)</f>
        <v>00</v>
      </c>
      <c r="R10" s="2" t="str">
        <f t="shared" si="1"/>
        <v>08</v>
      </c>
      <c r="S10" s="2" t="str" cm="1">
        <f t="array" ref="S10">_xlfn.SWITCH(TRUE,F10="T",TEXT($F$1,"00"),AND(F10="",K10&lt;&gt;"TERMINAL"),"00",TRUE,TEXT(HOUR(F10),"00"))</f>
        <v>08</v>
      </c>
      <c r="T10" s="2" t="str" cm="1">
        <f t="array" ref="T10">TEXT(_xlfn.SWITCH(TRUE,F10="T","00",AND(F10="",K10&lt;&gt;"TERMINAL"),"00",TRUE,MINUTE(F10)),"00")</f>
        <v>19</v>
      </c>
      <c r="U10" s="2" t="str" cm="1">
        <f t="array" ref="U10">TEXT(_xlfn.SWITCH(TRUE,F10="T","00",AND(F10="",K10&lt;&gt;"TERMINAL"),"00",TRUE,SECOND(F10)),"00")</f>
        <v>45</v>
      </c>
      <c r="V10" s="2" t="str">
        <f t="shared" si="2"/>
        <v>08</v>
      </c>
      <c r="W10" s="2" t="str" cm="1">
        <f t="array" ref="W10">_xlfn.SWITCH(TRUE,OR(S10=TEXT($B$1,"00"),S10=TEXT($D$1,"00")),"00",AND(T10="00",K10&lt;&gt;"TERMINAL"),TEXT($D$2,"00"),TRUE,T10)</f>
        <v>19</v>
      </c>
      <c r="X10" s="2" t="str" cm="1">
        <f t="array" ref="X10">_xlfn.SWITCH(TRUE,OR(S10=TEXT($B$1,"00"),S10=TEXT($D$1,"00")),"00",AND(U10="00",K10&lt;&gt;"TERMINAL"),TEXT($F$2,"00"),TRUE,U10)</f>
        <v>45</v>
      </c>
      <c r="Y10" s="2" t="str">
        <f t="shared" si="3"/>
        <v>08</v>
      </c>
      <c r="Z10" s="2" t="str">
        <f t="shared" si="6"/>
        <v>FALSE</v>
      </c>
      <c r="AA10" s="2" t="str">
        <f t="shared" si="4"/>
        <v>250000</v>
      </c>
      <c r="AB10" s="2" t="str">
        <f t="shared" si="5"/>
        <v>001945</v>
      </c>
      <c r="AC10" s="2" t="str" cm="1">
        <f t="array" ref="AC10">TEXT($D10,"000")&amp;TEXT(IFERROR(INDEX($D$5:$D$103,_xlfn.AGGREGATE(15,6,ROW($E$5:$E$103)/(($E$5:$E$103&lt;&gt;"p")*($E$5:$E$103&lt;&gt;"t")*(ROW($E$5:$E$103)&gt;ROW($E10))),1)-ROW($E$5)+1),$D10),"000")</f>
        <v>067069</v>
      </c>
      <c r="AD10" s="2" t="str" cm="1">
        <f t="array" ref="AD10">TEXT(_xlfn.XLOOKUP(TRUE, AA11:AA$103&lt;&gt;"250000", AA11:AA$103, "未找到"),"000000")</f>
        <v>002260</v>
      </c>
      <c r="AE10" s="2" t="str" cm="1">
        <f t="array" ref="AE10">_xlfn.SWITCH(TRUE,J10&lt;&gt;"",TEXT(J10,"MMSS"),TRUE,IFERROR(TEXT(E11-F10,"MMSS"),"0000"))</f>
        <v>0215</v>
      </c>
    </row>
    <row r="11" spans="1:31">
      <c r="A11" s="2">
        <v>8</v>
      </c>
      <c r="B11" s="5" t="s">
        <v>9</v>
      </c>
      <c r="C11" s="5">
        <v>30560</v>
      </c>
      <c r="D11" s="5">
        <v>69</v>
      </c>
      <c r="E11" s="10">
        <v>0.34861111111111109</v>
      </c>
      <c r="F11" s="10">
        <v>0.34930555555555554</v>
      </c>
      <c r="G11" s="5"/>
      <c r="H11" s="5">
        <v>45</v>
      </c>
      <c r="I11" s="5"/>
      <c r="J11" s="15">
        <f t="shared" si="7"/>
        <v>1.9097222222222432E-3</v>
      </c>
      <c r="K11" s="2" t="str">
        <f t="shared" si="0"/>
        <v>stop</v>
      </c>
      <c r="L11" s="2" t="str" cm="1">
        <f t="array" ref="L11">TEXT(_xlfn.SWITCH(TRUE,E11="P",$B$1,AND(E11="",K11&lt;&gt;"TERMINAL"),$D$1,TRUE,HOUR(E11)),"00")</f>
        <v>08</v>
      </c>
      <c r="M11" s="2" t="str" cm="1">
        <f t="array" ref="M11">TEXT(_xlfn.SWITCH(TRUE,E11="P","00",AND(E11="",K11&lt;&gt;"TERMINAL"),"00",TRUE,MINUTE(E11)),"00")</f>
        <v>22</v>
      </c>
      <c r="N11" s="2" t="str" cm="1">
        <f t="array" ref="N11">TEXT(_xlfn.SWITCH(TRUE,E11="P","00",AND(E11="",K11&lt;&gt;"TERMINAL"),"00",TRUE,SECOND(E11)),"00")</f>
        <v>00</v>
      </c>
      <c r="O11" s="2" t="str" cm="1">
        <f t="array" ref="O11">_xlfn.SWITCH(TRUE,AND(L11="00",K11&lt;&gt;"TERMINAL"),TEXT($B$2,"00"),L11=TEXT($B$1,"00"),TEXT($B$1,"00"),L11=TEXT($D$1,"00"),TEXT($D$1,"00"),TRUE,+L11)</f>
        <v>08</v>
      </c>
      <c r="P11" s="2" t="str" cm="1">
        <f t="array" ref="P11">_xlfn.SWITCH(TRUE,OR(L11=TEXT($B$1,"00"),L11=TEXT($D$1,"00")),"00",AND(M11="00",K11&lt;&gt;"TERMINAL"),TEXT($D$2,"00"),TRUE,M11)</f>
        <v>22</v>
      </c>
      <c r="Q11" s="2" t="str" cm="1">
        <f t="array" ref="Q11">_xlfn.SWITCH(TRUE,OR(L11=TEXT($B$1,"00"),L11=TEXT($D$1,"00")),"00",AND(N11="00",K11&lt;&gt;"TERMINAL"),TEXT($F$2,"00"),TRUE,N11)</f>
        <v>60</v>
      </c>
      <c r="R11" s="2" t="str">
        <f t="shared" si="1"/>
        <v>08</v>
      </c>
      <c r="S11" s="2" t="str" cm="1">
        <f t="array" ref="S11">_xlfn.SWITCH(TRUE,F11="T",TEXT($F$1,"00"),AND(F11="",K11&lt;&gt;"TERMINAL"),"00",TRUE,TEXT(HOUR(F11),"00"))</f>
        <v>08</v>
      </c>
      <c r="T11" s="2" t="str" cm="1">
        <f t="array" ref="T11">TEXT(_xlfn.SWITCH(TRUE,F11="T","00",AND(F11="",K11&lt;&gt;"TERMINAL"),"00",TRUE,MINUTE(F11)),"00")</f>
        <v>23</v>
      </c>
      <c r="U11" s="2" t="str" cm="1">
        <f t="array" ref="U11">TEXT(_xlfn.SWITCH(TRUE,F11="T","00",AND(F11="",K11&lt;&gt;"TERMINAL"),"00",TRUE,SECOND(F11)),"00")</f>
        <v>00</v>
      </c>
      <c r="V11" s="2" t="str">
        <f t="shared" si="2"/>
        <v>08</v>
      </c>
      <c r="W11" s="2" t="str" cm="1">
        <f t="array" ref="W11">_xlfn.SWITCH(TRUE,OR(S11=TEXT($B$1,"00"),S11=TEXT($D$1,"00")),"00",AND(T11="00",K11&lt;&gt;"TERMINAL"),TEXT($D$2,"00"),TRUE,T11)</f>
        <v>23</v>
      </c>
      <c r="X11" s="2" t="str" cm="1">
        <f t="array" ref="X11">_xlfn.SWITCH(TRUE,OR(S11=TEXT($B$1,"00"),S11=TEXT($D$1,"00")),"00",AND(U11="00",K11&lt;&gt;"TERMINAL"),TEXT($F$2,"00"),TRUE,U11)</f>
        <v>60</v>
      </c>
      <c r="Y11" s="2" t="str">
        <f t="shared" si="3"/>
        <v>08</v>
      </c>
      <c r="Z11" s="2" t="str">
        <f t="shared" si="6"/>
        <v>FALSE</v>
      </c>
      <c r="AA11" s="2" t="str">
        <f t="shared" si="4"/>
        <v>002260</v>
      </c>
      <c r="AB11" s="2" t="str">
        <f t="shared" si="5"/>
        <v>002360</v>
      </c>
      <c r="AC11" s="2" t="str" cm="1">
        <f t="array" ref="AC11">TEXT($D11,"000")&amp;TEXT(IFERROR(INDEX($D$5:$D$103,_xlfn.AGGREGATE(15,6,ROW($E$5:$E$103)/(($E$5:$E$103&lt;&gt;"p")*($E$5:$E$103&lt;&gt;"t")*(ROW($E$5:$E$103)&gt;ROW($E11))),1)-ROW($E$5)+1),$D11),"000")</f>
        <v>069073</v>
      </c>
      <c r="AD11" s="2" t="str" cm="1">
        <f t="array" ref="AD11">TEXT(_xlfn.XLOOKUP(TRUE, AA12:AA$103&lt;&gt;"250000", AA12:AA$103, "未找到"),"000000")</f>
        <v>002945</v>
      </c>
      <c r="AE11" s="2" t="str" cm="1">
        <f t="array" ref="AE11">_xlfn.SWITCH(TRUE,J11&lt;&gt;"",TEXT(J11,"MMSS"),TRUE,IFERROR(TEXT(E12-F11,"MMSS"),"0000"))</f>
        <v>0245</v>
      </c>
    </row>
    <row r="12" spans="1:31">
      <c r="A12" s="2">
        <v>9</v>
      </c>
      <c r="B12" s="5" t="s">
        <v>10</v>
      </c>
      <c r="C12" s="5">
        <v>33570</v>
      </c>
      <c r="D12" s="5">
        <v>70</v>
      </c>
      <c r="E12" s="11" t="s">
        <v>32</v>
      </c>
      <c r="F12" s="10">
        <v>0.35121527777777778</v>
      </c>
      <c r="G12" s="5"/>
      <c r="H12" s="5"/>
      <c r="I12" s="5"/>
      <c r="J12" s="15">
        <f t="shared" si="7"/>
        <v>1.041666666666663E-3</v>
      </c>
      <c r="K12" s="2" t="str">
        <f t="shared" si="0"/>
        <v>pass</v>
      </c>
      <c r="L12" s="2" t="str" cm="1">
        <f t="array" ref="L12">TEXT(_xlfn.SWITCH(TRUE,E12="P",$B$1,AND(E12="",K12&lt;&gt;"TERMINAL"),$D$1,TRUE,HOUR(E12)),"00")</f>
        <v>25</v>
      </c>
      <c r="M12" s="2" t="str" cm="1">
        <f t="array" ref="M12">TEXT(_xlfn.SWITCH(TRUE,E12="P","00",AND(E12="",K12&lt;&gt;"TERMINAL"),"00",TRUE,MINUTE(E12)),"00")</f>
        <v>00</v>
      </c>
      <c r="N12" s="2" t="str" cm="1">
        <f t="array" ref="N12">TEXT(_xlfn.SWITCH(TRUE,E12="P","00",AND(E12="",K12&lt;&gt;"TERMINAL"),"00",TRUE,SECOND(E12)),"00")</f>
        <v>00</v>
      </c>
      <c r="O12" s="2" t="str" cm="1">
        <f t="array" ref="O12">_xlfn.SWITCH(TRUE,AND(L12="00",K12&lt;&gt;"TERMINAL"),TEXT($B$2,"00"),L12=TEXT($B$1,"00"),TEXT($B$1,"00"),L12=TEXT($D$1,"00"),TEXT($D$1,"00"),TRUE,+L12)</f>
        <v>25</v>
      </c>
      <c r="P12" s="2" t="str" cm="1">
        <f t="array" ref="P12">_xlfn.SWITCH(TRUE,OR(L12=TEXT($B$1,"00"),L12=TEXT($D$1,"00")),"00",AND(M12="00",K12&lt;&gt;"TERMINAL"),TEXT($D$2,"00"),TRUE,M12)</f>
        <v>00</v>
      </c>
      <c r="Q12" s="2" t="str" cm="1">
        <f t="array" ref="Q12">_xlfn.SWITCH(TRUE,OR(L12=TEXT($B$1,"00"),L12=TEXT($D$1,"00")),"00",AND(N12="00",K12&lt;&gt;"TERMINAL"),TEXT($F$2,"00"),TRUE,N12)</f>
        <v>00</v>
      </c>
      <c r="R12" s="2" t="str">
        <f t="shared" si="1"/>
        <v>08</v>
      </c>
      <c r="S12" s="2" t="str" cm="1">
        <f t="array" ref="S12">_xlfn.SWITCH(TRUE,F12="T",TEXT($F$1,"00"),AND(F12="",K12&lt;&gt;"TERMINAL"),"00",TRUE,TEXT(HOUR(F12),"00"))</f>
        <v>08</v>
      </c>
      <c r="T12" s="2" t="str" cm="1">
        <f t="array" ref="T12">TEXT(_xlfn.SWITCH(TRUE,F12="T","00",AND(F12="",K12&lt;&gt;"TERMINAL"),"00",TRUE,MINUTE(F12)),"00")</f>
        <v>25</v>
      </c>
      <c r="U12" s="2" t="str" cm="1">
        <f t="array" ref="U12">TEXT(_xlfn.SWITCH(TRUE,F12="T","00",AND(F12="",K12&lt;&gt;"TERMINAL"),"00",TRUE,SECOND(F12)),"00")</f>
        <v>45</v>
      </c>
      <c r="V12" s="2" t="str">
        <f t="shared" si="2"/>
        <v>08</v>
      </c>
      <c r="W12" s="2" t="str" cm="1">
        <f t="array" ref="W12">_xlfn.SWITCH(TRUE,OR(S12=TEXT($B$1,"00"),S12=TEXT($D$1,"00")),"00",AND(T12="00",K12&lt;&gt;"TERMINAL"),TEXT($D$2,"00"),TRUE,T12)</f>
        <v>25</v>
      </c>
      <c r="X12" s="2" t="str" cm="1">
        <f t="array" ref="X12">_xlfn.SWITCH(TRUE,OR(S12=TEXT($B$1,"00"),S12=TEXT($D$1,"00")),"00",AND(U12="00",K12&lt;&gt;"TERMINAL"),TEXT($F$2,"00"),TRUE,U12)</f>
        <v>45</v>
      </c>
      <c r="Y12" s="2" t="str">
        <f t="shared" si="3"/>
        <v>08</v>
      </c>
      <c r="Z12" s="2" t="str">
        <f t="shared" si="6"/>
        <v>FALSE</v>
      </c>
      <c r="AA12" s="2" t="str">
        <f t="shared" si="4"/>
        <v>250000</v>
      </c>
      <c r="AB12" s="2" t="str">
        <f t="shared" si="5"/>
        <v>002545</v>
      </c>
      <c r="AC12" s="2" t="str" cm="1">
        <f t="array" ref="AC12">TEXT($D12,"000")&amp;TEXT(IFERROR(INDEX($D$5:$D$103,_xlfn.AGGREGATE(15,6,ROW($E$5:$E$103)/(($E$5:$E$103&lt;&gt;"p")*($E$5:$E$103&lt;&gt;"t")*(ROW($E$5:$E$103)&gt;ROW($E12))),1)-ROW($E$5)+1),$D12),"000")</f>
        <v>070073</v>
      </c>
      <c r="AD12" s="2" t="str" cm="1">
        <f t="array" ref="AD12">TEXT(_xlfn.XLOOKUP(TRUE, AA13:AA$103&lt;&gt;"250000", AA13:AA$103, "未找到"),"000000")</f>
        <v>002945</v>
      </c>
      <c r="AE12" s="2" t="str" cm="1">
        <f t="array" ref="AE12">_xlfn.SWITCH(TRUE,J12&lt;&gt;"",TEXT(J12,"MMSS"),TRUE,IFERROR(TEXT(E13-F12,"MMSS"),"0000"))</f>
        <v>0130</v>
      </c>
    </row>
    <row r="13" spans="1:31">
      <c r="A13" s="2">
        <v>10</v>
      </c>
      <c r="B13" s="5" t="s">
        <v>11</v>
      </c>
      <c r="C13" s="5">
        <v>35668</v>
      </c>
      <c r="D13" s="5">
        <v>72</v>
      </c>
      <c r="E13" s="11" t="s">
        <v>32</v>
      </c>
      <c r="F13" s="10">
        <v>0.35225694444444444</v>
      </c>
      <c r="G13" s="5"/>
      <c r="H13" s="5"/>
      <c r="I13" s="5"/>
      <c r="J13" s="15"/>
      <c r="K13" s="2" t="str">
        <f t="shared" si="0"/>
        <v>pass</v>
      </c>
      <c r="L13" s="2" t="str" cm="1">
        <f t="array" ref="L13">TEXT(_xlfn.SWITCH(TRUE,E13="P",$B$1,AND(E13="",K13&lt;&gt;"TERMINAL"),$D$1,TRUE,HOUR(E13)),"00")</f>
        <v>25</v>
      </c>
      <c r="M13" s="2" t="str" cm="1">
        <f t="array" ref="M13">TEXT(_xlfn.SWITCH(TRUE,E13="P","00",AND(E13="",K13&lt;&gt;"TERMINAL"),"00",TRUE,MINUTE(E13)),"00")</f>
        <v>00</v>
      </c>
      <c r="N13" s="2" t="str" cm="1">
        <f t="array" ref="N13">TEXT(_xlfn.SWITCH(TRUE,E13="P","00",AND(E13="",K13&lt;&gt;"TERMINAL"),"00",TRUE,SECOND(E13)),"00")</f>
        <v>00</v>
      </c>
      <c r="O13" s="2" t="str" cm="1">
        <f t="array" ref="O13">_xlfn.SWITCH(TRUE,AND(L13="00",K13&lt;&gt;"TERMINAL"),TEXT($B$2,"00"),L13=TEXT($B$1,"00"),TEXT($B$1,"00"),L13=TEXT($D$1,"00"),TEXT($D$1,"00"),TRUE,+L13)</f>
        <v>25</v>
      </c>
      <c r="P13" s="2" t="str" cm="1">
        <f t="array" ref="P13">_xlfn.SWITCH(TRUE,OR(L13=TEXT($B$1,"00"),L13=TEXT($D$1,"00")),"00",AND(M13="00",K13&lt;&gt;"TERMINAL"),TEXT($D$2,"00"),TRUE,M13)</f>
        <v>00</v>
      </c>
      <c r="Q13" s="2" t="str" cm="1">
        <f t="array" ref="Q13">_xlfn.SWITCH(TRUE,OR(L13=TEXT($B$1,"00"),L13=TEXT($D$1,"00")),"00",AND(N13="00",K13&lt;&gt;"TERMINAL"),TEXT($F$2,"00"),TRUE,N13)</f>
        <v>00</v>
      </c>
      <c r="R13" s="2" t="str">
        <f t="shared" si="1"/>
        <v>08</v>
      </c>
      <c r="S13" s="2" t="str" cm="1">
        <f t="array" ref="S13">_xlfn.SWITCH(TRUE,F13="T",TEXT($F$1,"00"),AND(F13="",K13&lt;&gt;"TERMINAL"),"00",TRUE,TEXT(HOUR(F13),"00"))</f>
        <v>08</v>
      </c>
      <c r="T13" s="2" t="str" cm="1">
        <f t="array" ref="T13">TEXT(_xlfn.SWITCH(TRUE,F13="T","00",AND(F13="",K13&lt;&gt;"TERMINAL"),"00",TRUE,MINUTE(F13)),"00")</f>
        <v>27</v>
      </c>
      <c r="U13" s="2" t="str" cm="1">
        <f t="array" ref="U13">TEXT(_xlfn.SWITCH(TRUE,F13="T","00",AND(F13="",K13&lt;&gt;"TERMINAL"),"00",TRUE,SECOND(F13)),"00")</f>
        <v>15</v>
      </c>
      <c r="V13" s="2" t="str">
        <f t="shared" si="2"/>
        <v>08</v>
      </c>
      <c r="W13" s="2" t="str" cm="1">
        <f t="array" ref="W13">_xlfn.SWITCH(TRUE,OR(S13=TEXT($B$1,"00"),S13=TEXT($D$1,"00")),"00",AND(T13="00",K13&lt;&gt;"TERMINAL"),TEXT($D$2,"00"),TRUE,T13)</f>
        <v>27</v>
      </c>
      <c r="X13" s="2" t="str" cm="1">
        <f t="array" ref="X13">_xlfn.SWITCH(TRUE,OR(S13=TEXT($B$1,"00"),S13=TEXT($D$1,"00")),"00",AND(U13="00",K13&lt;&gt;"TERMINAL"),TEXT($F$2,"00"),TRUE,U13)</f>
        <v>15</v>
      </c>
      <c r="Y13" s="2" t="str">
        <f t="shared" si="3"/>
        <v>08</v>
      </c>
      <c r="Z13" s="2" t="str">
        <f t="shared" si="6"/>
        <v>FALSE</v>
      </c>
      <c r="AA13" s="2" t="str">
        <f t="shared" si="4"/>
        <v>250000</v>
      </c>
      <c r="AB13" s="2" t="str">
        <f t="shared" si="5"/>
        <v>002715</v>
      </c>
      <c r="AC13" s="2" t="str" cm="1">
        <f t="array" ref="AC13">TEXT($D13,"000")&amp;TEXT(IFERROR(INDEX($D$5:$D$103,_xlfn.AGGREGATE(15,6,ROW($E$5:$E$103)/(($E$5:$E$103&lt;&gt;"p")*($E$5:$E$103&lt;&gt;"t")*(ROW($E$5:$E$103)&gt;ROW($E13))),1)-ROW($E$5)+1),$D13),"000")</f>
        <v>072073</v>
      </c>
      <c r="AD13" s="2" t="str" cm="1">
        <f t="array" ref="AD13">TEXT(_xlfn.XLOOKUP(TRUE, AA14:AA$103&lt;&gt;"250000", AA14:AA$103, "未找到"),"000000")</f>
        <v>002945</v>
      </c>
      <c r="AE13" s="2" t="str" cm="1">
        <f t="array" ref="AE13">_xlfn.SWITCH(TRUE,J13&lt;&gt;"",TEXT(J13,"MMSS"),TRUE,IFERROR(TEXT(E14-F13,"MMSS"),"0000"))</f>
        <v>0230</v>
      </c>
    </row>
    <row r="14" spans="1:31">
      <c r="A14" s="2">
        <v>11</v>
      </c>
      <c r="B14" s="5" t="s">
        <v>12</v>
      </c>
      <c r="C14" s="5">
        <v>39538</v>
      </c>
      <c r="D14" s="5">
        <v>73</v>
      </c>
      <c r="E14" s="10">
        <v>0.35399305555555555</v>
      </c>
      <c r="F14" s="10">
        <v>0.35434027777777777</v>
      </c>
      <c r="G14" s="5"/>
      <c r="H14" s="5"/>
      <c r="I14" s="5"/>
      <c r="J14" s="15">
        <f t="shared" si="7"/>
        <v>2.0833333333333259E-3</v>
      </c>
      <c r="K14" s="2" t="str">
        <f t="shared" si="0"/>
        <v>stop</v>
      </c>
      <c r="L14" s="2" t="str" cm="1">
        <f t="array" ref="L14">TEXT(_xlfn.SWITCH(TRUE,E14="P",$B$1,AND(E14="",K14&lt;&gt;"TERMINAL"),$D$1,TRUE,HOUR(E14)),"00")</f>
        <v>08</v>
      </c>
      <c r="M14" s="2" t="str" cm="1">
        <f t="array" ref="M14">TEXT(_xlfn.SWITCH(TRUE,E14="P","00",AND(E14="",K14&lt;&gt;"TERMINAL"),"00",TRUE,MINUTE(E14)),"00")</f>
        <v>29</v>
      </c>
      <c r="N14" s="2" t="str" cm="1">
        <f t="array" ref="N14">TEXT(_xlfn.SWITCH(TRUE,E14="P","00",AND(E14="",K14&lt;&gt;"TERMINAL"),"00",TRUE,SECOND(E14)),"00")</f>
        <v>45</v>
      </c>
      <c r="O14" s="2" t="str" cm="1">
        <f t="array" ref="O14">_xlfn.SWITCH(TRUE,AND(L14="00",K14&lt;&gt;"TERMINAL"),TEXT($B$2,"00"),L14=TEXT($B$1,"00"),TEXT($B$1,"00"),L14=TEXT($D$1,"00"),TEXT($D$1,"00"),TRUE,+L14)</f>
        <v>08</v>
      </c>
      <c r="P14" s="2" t="str" cm="1">
        <f t="array" ref="P14">_xlfn.SWITCH(TRUE,OR(L14=TEXT($B$1,"00"),L14=TEXT($D$1,"00")),"00",AND(M14="00",K14&lt;&gt;"TERMINAL"),TEXT($D$2,"00"),TRUE,M14)</f>
        <v>29</v>
      </c>
      <c r="Q14" s="2" t="str" cm="1">
        <f t="array" ref="Q14">_xlfn.SWITCH(TRUE,OR(L14=TEXT($B$1,"00"),L14=TEXT($D$1,"00")),"00",AND(N14="00",K14&lt;&gt;"TERMINAL"),TEXT($F$2,"00"),TRUE,N14)</f>
        <v>45</v>
      </c>
      <c r="R14" s="2" t="str">
        <f t="shared" si="1"/>
        <v>08</v>
      </c>
      <c r="S14" s="2" t="str" cm="1">
        <f t="array" ref="S14">_xlfn.SWITCH(TRUE,F14="T",TEXT($F$1,"00"),AND(F14="",K14&lt;&gt;"TERMINAL"),"00",TRUE,TEXT(HOUR(F14),"00"))</f>
        <v>08</v>
      </c>
      <c r="T14" s="2" t="str" cm="1">
        <f t="array" ref="T14">TEXT(_xlfn.SWITCH(TRUE,F14="T","00",AND(F14="",K14&lt;&gt;"TERMINAL"),"00",TRUE,MINUTE(F14)),"00")</f>
        <v>30</v>
      </c>
      <c r="U14" s="2" t="str" cm="1">
        <f t="array" ref="U14">TEXT(_xlfn.SWITCH(TRUE,F14="T","00",AND(F14="",K14&lt;&gt;"TERMINAL"),"00",TRUE,SECOND(F14)),"00")</f>
        <v>15</v>
      </c>
      <c r="V14" s="2" t="str">
        <f t="shared" si="2"/>
        <v>08</v>
      </c>
      <c r="W14" s="2" t="str" cm="1">
        <f t="array" ref="W14">_xlfn.SWITCH(TRUE,OR(S14=TEXT($B$1,"00"),S14=TEXT($D$1,"00")),"00",AND(T14="00",K14&lt;&gt;"TERMINAL"),TEXT($D$2,"00"),TRUE,T14)</f>
        <v>30</v>
      </c>
      <c r="X14" s="2" t="str" cm="1">
        <f t="array" ref="X14">_xlfn.SWITCH(TRUE,OR(S14=TEXT($B$1,"00"),S14=TEXT($D$1,"00")),"00",AND(U14="00",K14&lt;&gt;"TERMINAL"),TEXT($F$2,"00"),TRUE,U14)</f>
        <v>15</v>
      </c>
      <c r="Y14" s="2" t="str">
        <f t="shared" si="3"/>
        <v>08</v>
      </c>
      <c r="Z14" s="2" t="str">
        <f t="shared" si="6"/>
        <v>FALSE</v>
      </c>
      <c r="AA14" s="2" t="str">
        <f t="shared" si="4"/>
        <v>002945</v>
      </c>
      <c r="AB14" s="2" t="str">
        <f t="shared" si="5"/>
        <v>003015</v>
      </c>
      <c r="AC14" s="2" t="str" cm="1">
        <f t="array" ref="AC14">TEXT($D14,"000")&amp;TEXT(IFERROR(INDEX($D$5:$D$103,_xlfn.AGGREGATE(15,6,ROW($E$5:$E$103)/(($E$5:$E$103&lt;&gt;"p")*($E$5:$E$103&lt;&gt;"t")*(ROW($E$5:$E$103)&gt;ROW($E14))),1)-ROW($E$5)+1),$D14),"000")</f>
        <v>073076</v>
      </c>
      <c r="AD14" s="2" t="str" cm="1">
        <f t="array" ref="AD14">TEXT(_xlfn.XLOOKUP(TRUE, AA15:AA$103&lt;&gt;"250000", AA15:AA$103, "未找到"),"000000")</f>
        <v>003760</v>
      </c>
      <c r="AE14" s="2" t="str" cm="1">
        <f t="array" ref="AE14">_xlfn.SWITCH(TRUE,J14&lt;&gt;"",TEXT(J14,"MMSS"),TRUE,IFERROR(TEXT(E15-F14,"MMSS"),"0000"))</f>
        <v>0300</v>
      </c>
    </row>
    <row r="15" spans="1:31">
      <c r="A15" s="2">
        <v>12</v>
      </c>
      <c r="B15" s="5" t="s">
        <v>13</v>
      </c>
      <c r="C15" s="5">
        <v>43818</v>
      </c>
      <c r="D15" s="5">
        <v>74</v>
      </c>
      <c r="E15" s="11" t="s">
        <v>32</v>
      </c>
      <c r="F15" s="10">
        <v>0.35642361111111109</v>
      </c>
      <c r="G15" s="5"/>
      <c r="H15" s="5"/>
      <c r="I15" s="5"/>
      <c r="J15" s="15">
        <f t="shared" si="7"/>
        <v>1.041666666666663E-3</v>
      </c>
      <c r="K15" s="2" t="str">
        <f t="shared" si="0"/>
        <v>pass</v>
      </c>
      <c r="L15" s="2" t="str" cm="1">
        <f t="array" ref="L15">TEXT(_xlfn.SWITCH(TRUE,E15="P",$B$1,AND(E15="",K15&lt;&gt;"TERMINAL"),$D$1,TRUE,HOUR(E15)),"00")</f>
        <v>25</v>
      </c>
      <c r="M15" s="2" t="str" cm="1">
        <f t="array" ref="M15">TEXT(_xlfn.SWITCH(TRUE,E15="P","00",AND(E15="",K15&lt;&gt;"TERMINAL"),"00",TRUE,MINUTE(E15)),"00")</f>
        <v>00</v>
      </c>
      <c r="N15" s="2" t="str" cm="1">
        <f t="array" ref="N15">TEXT(_xlfn.SWITCH(TRUE,E15="P","00",AND(E15="",K15&lt;&gt;"TERMINAL"),"00",TRUE,SECOND(E15)),"00")</f>
        <v>00</v>
      </c>
      <c r="O15" s="2" t="str" cm="1">
        <f t="array" ref="O15">_xlfn.SWITCH(TRUE,AND(L15="00",K15&lt;&gt;"TERMINAL"),TEXT($B$2,"00"),L15=TEXT($B$1,"00"),TEXT($B$1,"00"),L15=TEXT($D$1,"00"),TEXT($D$1,"00"),TRUE,+L15)</f>
        <v>25</v>
      </c>
      <c r="P15" s="2" t="str" cm="1">
        <f t="array" ref="P15">_xlfn.SWITCH(TRUE,OR(L15=TEXT($B$1,"00"),L15=TEXT($D$1,"00")),"00",AND(M15="00",K15&lt;&gt;"TERMINAL"),TEXT($D$2,"00"),TRUE,M15)</f>
        <v>00</v>
      </c>
      <c r="Q15" s="2" t="str" cm="1">
        <f t="array" ref="Q15">_xlfn.SWITCH(TRUE,OR(L15=TEXT($B$1,"00"),L15=TEXT($D$1,"00")),"00",AND(N15="00",K15&lt;&gt;"TERMINAL"),TEXT($F$2,"00"),TRUE,N15)</f>
        <v>00</v>
      </c>
      <c r="R15" s="2" t="str">
        <f t="shared" si="1"/>
        <v>08</v>
      </c>
      <c r="S15" s="2" t="str" cm="1">
        <f t="array" ref="S15">_xlfn.SWITCH(TRUE,F15="T",TEXT($F$1,"00"),AND(F15="",K15&lt;&gt;"TERMINAL"),"00",TRUE,TEXT(HOUR(F15),"00"))</f>
        <v>08</v>
      </c>
      <c r="T15" s="2" t="str" cm="1">
        <f t="array" ref="T15">TEXT(_xlfn.SWITCH(TRUE,F15="T","00",AND(F15="",K15&lt;&gt;"TERMINAL"),"00",TRUE,MINUTE(F15)),"00")</f>
        <v>33</v>
      </c>
      <c r="U15" s="2" t="str" cm="1">
        <f t="array" ref="U15">TEXT(_xlfn.SWITCH(TRUE,F15="T","00",AND(F15="",K15&lt;&gt;"TERMINAL"),"00",TRUE,SECOND(F15)),"00")</f>
        <v>15</v>
      </c>
      <c r="V15" s="2" t="str">
        <f t="shared" si="2"/>
        <v>08</v>
      </c>
      <c r="W15" s="2" t="str" cm="1">
        <f t="array" ref="W15">_xlfn.SWITCH(TRUE,OR(S15=TEXT($B$1,"00"),S15=TEXT($D$1,"00")),"00",AND(T15="00",K15&lt;&gt;"TERMINAL"),TEXT($D$2,"00"),TRUE,T15)</f>
        <v>33</v>
      </c>
      <c r="X15" s="2" t="str" cm="1">
        <f t="array" ref="X15">_xlfn.SWITCH(TRUE,OR(S15=TEXT($B$1,"00"),S15=TEXT($D$1,"00")),"00",AND(U15="00",K15&lt;&gt;"TERMINAL"),TEXT($F$2,"00"),TRUE,U15)</f>
        <v>15</v>
      </c>
      <c r="Y15" s="2" t="str">
        <f t="shared" si="3"/>
        <v>08</v>
      </c>
      <c r="Z15" s="2" t="str">
        <f t="shared" si="6"/>
        <v>FALSE</v>
      </c>
      <c r="AA15" s="2" t="str">
        <f t="shared" si="4"/>
        <v>250000</v>
      </c>
      <c r="AB15" s="2" t="str">
        <f t="shared" si="5"/>
        <v>003315</v>
      </c>
      <c r="AC15" s="2" t="str" cm="1">
        <f t="array" ref="AC15">TEXT($D15,"000")&amp;TEXT(IFERROR(INDEX($D$5:$D$103,_xlfn.AGGREGATE(15,6,ROW($E$5:$E$103)/(($E$5:$E$103&lt;&gt;"p")*($E$5:$E$103&lt;&gt;"t")*(ROW($E$5:$E$103)&gt;ROW($E15))),1)-ROW($E$5)+1),$D15),"000")</f>
        <v>074076</v>
      </c>
      <c r="AD15" s="2" t="str" cm="1">
        <f t="array" ref="AD15">TEXT(_xlfn.XLOOKUP(TRUE, AA16:AA$103&lt;&gt;"250000", AA16:AA$103, "未找到"),"000000")</f>
        <v>003760</v>
      </c>
      <c r="AE15" s="2" t="str" cm="1">
        <f t="array" ref="AE15">_xlfn.SWITCH(TRUE,J15&lt;&gt;"",TEXT(J15,"MMSS"),TRUE,IFERROR(TEXT(E16-F15,"MMSS"),"0000"))</f>
        <v>0130</v>
      </c>
    </row>
    <row r="16" spans="1:31">
      <c r="A16" s="2">
        <v>13</v>
      </c>
      <c r="B16" s="5" t="s">
        <v>14</v>
      </c>
      <c r="C16" s="5">
        <v>46196</v>
      </c>
      <c r="D16" s="5">
        <v>75</v>
      </c>
      <c r="E16" s="11" t="s">
        <v>32</v>
      </c>
      <c r="F16" s="10">
        <v>0.35746527777777776</v>
      </c>
      <c r="G16" s="5"/>
      <c r="H16" s="5"/>
      <c r="I16" s="5"/>
      <c r="J16" s="15"/>
      <c r="K16" s="2" t="str">
        <f t="shared" si="0"/>
        <v>pass</v>
      </c>
      <c r="L16" s="2" t="str" cm="1">
        <f t="array" ref="L16">TEXT(_xlfn.SWITCH(TRUE,E16="P",$B$1,AND(E16="",K16&lt;&gt;"TERMINAL"),$D$1,TRUE,HOUR(E16)),"00")</f>
        <v>25</v>
      </c>
      <c r="M16" s="2" t="str" cm="1">
        <f t="array" ref="M16">TEXT(_xlfn.SWITCH(TRUE,E16="P","00",AND(E16="",K16&lt;&gt;"TERMINAL"),"00",TRUE,MINUTE(E16)),"00")</f>
        <v>00</v>
      </c>
      <c r="N16" s="2" t="str" cm="1">
        <f t="array" ref="N16">TEXT(_xlfn.SWITCH(TRUE,E16="P","00",AND(E16="",K16&lt;&gt;"TERMINAL"),"00",TRUE,SECOND(E16)),"00")</f>
        <v>00</v>
      </c>
      <c r="O16" s="2" t="str" cm="1">
        <f t="array" ref="O16">_xlfn.SWITCH(TRUE,AND(L16="00",K16&lt;&gt;"TERMINAL"),TEXT($B$2,"00"),L16=TEXT($B$1,"00"),TEXT($B$1,"00"),L16=TEXT($D$1,"00"),TEXT($D$1,"00"),TRUE,+L16)</f>
        <v>25</v>
      </c>
      <c r="P16" s="2" t="str" cm="1">
        <f t="array" ref="P16">_xlfn.SWITCH(TRUE,OR(L16=TEXT($B$1,"00"),L16=TEXT($D$1,"00")),"00",AND(M16="00",K16&lt;&gt;"TERMINAL"),TEXT($D$2,"00"),TRUE,M16)</f>
        <v>00</v>
      </c>
      <c r="Q16" s="2" t="str" cm="1">
        <f t="array" ref="Q16">_xlfn.SWITCH(TRUE,OR(L16=TEXT($B$1,"00"),L16=TEXT($D$1,"00")),"00",AND(N16="00",K16&lt;&gt;"TERMINAL"),TEXT($F$2,"00"),TRUE,N16)</f>
        <v>00</v>
      </c>
      <c r="R16" s="2" t="str">
        <f t="shared" si="1"/>
        <v>08</v>
      </c>
      <c r="S16" s="2" t="str" cm="1">
        <f t="array" ref="S16">_xlfn.SWITCH(TRUE,F16="T",TEXT($F$1,"00"),AND(F16="",K16&lt;&gt;"TERMINAL"),"00",TRUE,TEXT(HOUR(F16),"00"))</f>
        <v>08</v>
      </c>
      <c r="T16" s="2" t="str" cm="1">
        <f t="array" ref="T16">TEXT(_xlfn.SWITCH(TRUE,F16="T","00",AND(F16="",K16&lt;&gt;"TERMINAL"),"00",TRUE,MINUTE(F16)),"00")</f>
        <v>34</v>
      </c>
      <c r="U16" s="2" t="str" cm="1">
        <f t="array" ref="U16">TEXT(_xlfn.SWITCH(TRUE,F16="T","00",AND(F16="",K16&lt;&gt;"TERMINAL"),"00",TRUE,SECOND(F16)),"00")</f>
        <v>45</v>
      </c>
      <c r="V16" s="2" t="str">
        <f t="shared" si="2"/>
        <v>08</v>
      </c>
      <c r="W16" s="2" t="str" cm="1">
        <f t="array" ref="W16">_xlfn.SWITCH(TRUE,OR(S16=TEXT($B$1,"00"),S16=TEXT($D$1,"00")),"00",AND(T16="00",K16&lt;&gt;"TERMINAL"),TEXT($D$2,"00"),TRUE,T16)</f>
        <v>34</v>
      </c>
      <c r="X16" s="2" t="str" cm="1">
        <f t="array" ref="X16">_xlfn.SWITCH(TRUE,OR(S16=TEXT($B$1,"00"),S16=TEXT($D$1,"00")),"00",AND(U16="00",K16&lt;&gt;"TERMINAL"),TEXT($F$2,"00"),TRUE,U16)</f>
        <v>45</v>
      </c>
      <c r="Y16" s="2" t="str">
        <f t="shared" si="3"/>
        <v>08</v>
      </c>
      <c r="Z16" s="2" t="str">
        <f t="shared" si="6"/>
        <v>FALSE</v>
      </c>
      <c r="AA16" s="2" t="str">
        <f t="shared" si="4"/>
        <v>250000</v>
      </c>
      <c r="AB16" s="2" t="str">
        <f t="shared" si="5"/>
        <v>003445</v>
      </c>
      <c r="AC16" s="2" t="str" cm="1">
        <f t="array" ref="AC16">TEXT($D16,"000")&amp;TEXT(IFERROR(INDEX($D$5:$D$103,_xlfn.AGGREGATE(15,6,ROW($E$5:$E$103)/(($E$5:$E$103&lt;&gt;"p")*($E$5:$E$103&lt;&gt;"t")*(ROW($E$5:$E$103)&gt;ROW($E16))),1)-ROW($E$5)+1),$D16),"000")</f>
        <v>075076</v>
      </c>
      <c r="AD16" s="2" t="str" cm="1">
        <f t="array" ref="AD16">TEXT(_xlfn.XLOOKUP(TRUE, AA17:AA$103&lt;&gt;"250000", AA17:AA$103, "未找到"),"000000")</f>
        <v>003760</v>
      </c>
      <c r="AE16" s="2" t="str" cm="1">
        <f t="array" ref="AE16">_xlfn.SWITCH(TRUE,J16&lt;&gt;"",TEXT(J16,"MMSS"),TRUE,IFERROR(TEXT(E17-F16,"MMSS"),"0000"))</f>
        <v>0215</v>
      </c>
    </row>
    <row r="17" spans="1:31">
      <c r="A17" s="2">
        <v>14</v>
      </c>
      <c r="B17" s="5" t="s">
        <v>15</v>
      </c>
      <c r="C17" s="5">
        <v>49193</v>
      </c>
      <c r="D17" s="5">
        <v>76</v>
      </c>
      <c r="E17" s="10">
        <v>0.35902777777777778</v>
      </c>
      <c r="F17" s="10">
        <v>0.359375</v>
      </c>
      <c r="G17" s="5"/>
      <c r="H17" s="5">
        <v>85</v>
      </c>
      <c r="I17" s="5">
        <v>85</v>
      </c>
      <c r="J17" s="15">
        <f t="shared" si="7"/>
        <v>1.7361111111111049E-3</v>
      </c>
      <c r="K17" s="2" t="str">
        <f t="shared" si="0"/>
        <v>stop</v>
      </c>
      <c r="L17" s="2" t="str" cm="1">
        <f t="array" ref="L17">TEXT(_xlfn.SWITCH(TRUE,E17="P",$B$1,AND(E17="",K17&lt;&gt;"TERMINAL"),$D$1,TRUE,HOUR(E17)),"00")</f>
        <v>08</v>
      </c>
      <c r="M17" s="2" t="str" cm="1">
        <f t="array" ref="M17">TEXT(_xlfn.SWITCH(TRUE,E17="P","00",AND(E17="",K17&lt;&gt;"TERMINAL"),"00",TRUE,MINUTE(E17)),"00")</f>
        <v>37</v>
      </c>
      <c r="N17" s="2" t="str" cm="1">
        <f t="array" ref="N17">TEXT(_xlfn.SWITCH(TRUE,E17="P","00",AND(E17="",K17&lt;&gt;"TERMINAL"),"00",TRUE,SECOND(E17)),"00")</f>
        <v>00</v>
      </c>
      <c r="O17" s="2" t="str" cm="1">
        <f t="array" ref="O17">_xlfn.SWITCH(TRUE,AND(L17="00",K17&lt;&gt;"TERMINAL"),TEXT($B$2,"00"),L17=TEXT($B$1,"00"),TEXT($B$1,"00"),L17=TEXT($D$1,"00"),TEXT($D$1,"00"),TRUE,+L17)</f>
        <v>08</v>
      </c>
      <c r="P17" s="2" t="str" cm="1">
        <f t="array" ref="P17">_xlfn.SWITCH(TRUE,OR(L17=TEXT($B$1,"00"),L17=TEXT($D$1,"00")),"00",AND(M17="00",K17&lt;&gt;"TERMINAL"),TEXT($D$2,"00"),TRUE,M17)</f>
        <v>37</v>
      </c>
      <c r="Q17" s="2" t="str" cm="1">
        <f t="array" ref="Q17">_xlfn.SWITCH(TRUE,OR(L17=TEXT($B$1,"00"),L17=TEXT($D$1,"00")),"00",AND(N17="00",K17&lt;&gt;"TERMINAL"),TEXT($F$2,"00"),TRUE,N17)</f>
        <v>60</v>
      </c>
      <c r="R17" s="2" t="str">
        <f t="shared" si="1"/>
        <v>08</v>
      </c>
      <c r="S17" s="2" t="str" cm="1">
        <f t="array" ref="S17">_xlfn.SWITCH(TRUE,F17="T",TEXT($F$1,"00"),AND(F17="",K17&lt;&gt;"TERMINAL"),"00",TRUE,TEXT(HOUR(F17),"00"))</f>
        <v>08</v>
      </c>
      <c r="T17" s="2" t="str" cm="1">
        <f t="array" ref="T17">TEXT(_xlfn.SWITCH(TRUE,F17="T","00",AND(F17="",K17&lt;&gt;"TERMINAL"),"00",TRUE,MINUTE(F17)),"00")</f>
        <v>37</v>
      </c>
      <c r="U17" s="2" t="str" cm="1">
        <f t="array" ref="U17">TEXT(_xlfn.SWITCH(TRUE,F17="T","00",AND(F17="",K17&lt;&gt;"TERMINAL"),"00",TRUE,SECOND(F17)),"00")</f>
        <v>30</v>
      </c>
      <c r="V17" s="2" t="str">
        <f t="shared" si="2"/>
        <v>08</v>
      </c>
      <c r="W17" s="2" t="str" cm="1">
        <f t="array" ref="W17">_xlfn.SWITCH(TRUE,OR(S17=TEXT($B$1,"00"),S17=TEXT($D$1,"00")),"00",AND(T17="00",K17&lt;&gt;"TERMINAL"),TEXT($D$2,"00"),TRUE,T17)</f>
        <v>37</v>
      </c>
      <c r="X17" s="2" t="str" cm="1">
        <f t="array" ref="X17">_xlfn.SWITCH(TRUE,OR(S17=TEXT($B$1,"00"),S17=TEXT($D$1,"00")),"00",AND(U17="00",K17&lt;&gt;"TERMINAL"),TEXT($F$2,"00"),TRUE,U17)</f>
        <v>30</v>
      </c>
      <c r="Y17" s="2" t="str">
        <f t="shared" si="3"/>
        <v>08</v>
      </c>
      <c r="Z17" s="2" t="str">
        <f t="shared" si="6"/>
        <v>FALSE</v>
      </c>
      <c r="AA17" s="2" t="str">
        <f t="shared" si="4"/>
        <v>003760</v>
      </c>
      <c r="AB17" s="2" t="str">
        <f t="shared" si="5"/>
        <v>003730</v>
      </c>
      <c r="AC17" s="2" t="str" cm="1">
        <f t="array" ref="AC17">TEXT($D17,"000")&amp;TEXT(IFERROR(INDEX($D$5:$D$103,_xlfn.AGGREGATE(15,6,ROW($E$5:$E$103)/(($E$5:$E$103&lt;&gt;"p")*($E$5:$E$103&lt;&gt;"t")*(ROW($E$5:$E$103)&gt;ROW($E17))),1)-ROW($E$5)+1),$D17),"000")</f>
        <v>076079</v>
      </c>
      <c r="AD17" s="2" t="str" cm="1">
        <f t="array" ref="AD17">TEXT(_xlfn.XLOOKUP(TRUE, AA18:AA$103&lt;&gt;"250000", AA18:AA$103, "未找到"),"000000")</f>
        <v>004960</v>
      </c>
      <c r="AE17" s="2" t="str" cm="1">
        <f t="array" ref="AE17">_xlfn.SWITCH(TRUE,J17&lt;&gt;"",TEXT(J17,"MMSS"),TRUE,IFERROR(TEXT(E18-F17,"MMSS"),"0000"))</f>
        <v>0230</v>
      </c>
    </row>
    <row r="18" spans="1:31">
      <c r="A18" s="2">
        <v>15</v>
      </c>
      <c r="B18" s="5" t="s">
        <v>16</v>
      </c>
      <c r="C18" s="5">
        <v>51971</v>
      </c>
      <c r="D18" s="5">
        <v>77</v>
      </c>
      <c r="E18" s="11" t="s">
        <v>32</v>
      </c>
      <c r="F18" s="10">
        <v>0.3611111111111111</v>
      </c>
      <c r="G18" s="5"/>
      <c r="H18" s="5"/>
      <c r="I18" s="5"/>
      <c r="J18" s="15">
        <f t="shared" si="7"/>
        <v>2.7777777777777679E-3</v>
      </c>
      <c r="K18" s="2" t="str">
        <f t="shared" si="0"/>
        <v>pass</v>
      </c>
      <c r="L18" s="2" t="str" cm="1">
        <f t="array" ref="L18">TEXT(_xlfn.SWITCH(TRUE,E18="P",$B$1,AND(E18="",K18&lt;&gt;"TERMINAL"),$D$1,TRUE,HOUR(E18)),"00")</f>
        <v>25</v>
      </c>
      <c r="M18" s="2" t="str" cm="1">
        <f t="array" ref="M18">TEXT(_xlfn.SWITCH(TRUE,E18="P","00",AND(E18="",K18&lt;&gt;"TERMINAL"),"00",TRUE,MINUTE(E18)),"00")</f>
        <v>00</v>
      </c>
      <c r="N18" s="2" t="str" cm="1">
        <f t="array" ref="N18">TEXT(_xlfn.SWITCH(TRUE,E18="P","00",AND(E18="",K18&lt;&gt;"TERMINAL"),"00",TRUE,SECOND(E18)),"00")</f>
        <v>00</v>
      </c>
      <c r="O18" s="2" t="str" cm="1">
        <f t="array" ref="O18">_xlfn.SWITCH(TRUE,AND(L18="00",K18&lt;&gt;"TERMINAL"),TEXT($B$2,"00"),L18=TEXT($B$1,"00"),TEXT($B$1,"00"),L18=TEXT($D$1,"00"),TEXT($D$1,"00"),TRUE,+L18)</f>
        <v>25</v>
      </c>
      <c r="P18" s="2" t="str" cm="1">
        <f t="array" ref="P18">_xlfn.SWITCH(TRUE,OR(L18=TEXT($B$1,"00"),L18=TEXT($D$1,"00")),"00",AND(M18="00",K18&lt;&gt;"TERMINAL"),TEXT($D$2,"00"),TRUE,M18)</f>
        <v>00</v>
      </c>
      <c r="Q18" s="2" t="str" cm="1">
        <f t="array" ref="Q18">_xlfn.SWITCH(TRUE,OR(L18=TEXT($B$1,"00"),L18=TEXT($D$1,"00")),"00",AND(N18="00",K18&lt;&gt;"TERMINAL"),TEXT($F$2,"00"),TRUE,N18)</f>
        <v>00</v>
      </c>
      <c r="R18" s="2" t="str">
        <f t="shared" si="1"/>
        <v>08</v>
      </c>
      <c r="S18" s="2" t="str" cm="1">
        <f t="array" ref="S18">_xlfn.SWITCH(TRUE,F18="T",TEXT($F$1,"00"),AND(F18="",K18&lt;&gt;"TERMINAL"),"00",TRUE,TEXT(HOUR(F18),"00"))</f>
        <v>08</v>
      </c>
      <c r="T18" s="2" t="str" cm="1">
        <f t="array" ref="T18">TEXT(_xlfn.SWITCH(TRUE,F18="T","00",AND(F18="",K18&lt;&gt;"TERMINAL"),"00",TRUE,MINUTE(F18)),"00")</f>
        <v>40</v>
      </c>
      <c r="U18" s="2" t="str" cm="1">
        <f t="array" ref="U18">TEXT(_xlfn.SWITCH(TRUE,F18="T","00",AND(F18="",K18&lt;&gt;"TERMINAL"),"00",TRUE,SECOND(F18)),"00")</f>
        <v>00</v>
      </c>
      <c r="V18" s="2" t="str">
        <f t="shared" si="2"/>
        <v>08</v>
      </c>
      <c r="W18" s="2" t="str" cm="1">
        <f t="array" ref="W18">_xlfn.SWITCH(TRUE,OR(S18=TEXT($B$1,"00"),S18=TEXT($D$1,"00")),"00",AND(T18="00",K18&lt;&gt;"TERMINAL"),TEXT($D$2,"00"),TRUE,T18)</f>
        <v>40</v>
      </c>
      <c r="X18" s="2" t="str" cm="1">
        <f t="array" ref="X18">_xlfn.SWITCH(TRUE,OR(S18=TEXT($B$1,"00"),S18=TEXT($D$1,"00")),"00",AND(U18="00",K18&lt;&gt;"TERMINAL"),TEXT($F$2,"00"),TRUE,U18)</f>
        <v>60</v>
      </c>
      <c r="Y18" s="2" t="str">
        <f t="shared" si="3"/>
        <v>08</v>
      </c>
      <c r="Z18" s="2" t="str">
        <f t="shared" si="6"/>
        <v>FALSE</v>
      </c>
      <c r="AA18" s="2" t="str">
        <f t="shared" si="4"/>
        <v>250000</v>
      </c>
      <c r="AB18" s="2" t="str">
        <f t="shared" si="5"/>
        <v>004060</v>
      </c>
      <c r="AC18" s="2" t="str" cm="1">
        <f t="array" ref="AC18">TEXT($D18,"000")&amp;TEXT(IFERROR(INDEX($D$5:$D$103,_xlfn.AGGREGATE(15,6,ROW($E$5:$E$103)/(($E$5:$E$103&lt;&gt;"p")*($E$5:$E$103&lt;&gt;"t")*(ROW($E$5:$E$103)&gt;ROW($E18))),1)-ROW($E$5)+1),$D18),"000")</f>
        <v>077079</v>
      </c>
      <c r="AD18" s="2" t="str" cm="1">
        <f t="array" ref="AD18">TEXT(_xlfn.XLOOKUP(TRUE, AA19:AA$103&lt;&gt;"250000", AA19:AA$103, "未找到"),"000000")</f>
        <v>004960</v>
      </c>
      <c r="AE18" s="2" t="str" cm="1">
        <f t="array" ref="AE18">_xlfn.SWITCH(TRUE,J18&lt;&gt;"",TEXT(J18,"MMSS"),TRUE,IFERROR(TEXT(E19-F18,"MMSS"),"0000"))</f>
        <v>0400</v>
      </c>
    </row>
    <row r="19" spans="1:31">
      <c r="A19" s="2">
        <v>16</v>
      </c>
      <c r="B19" s="5" t="s">
        <v>17</v>
      </c>
      <c r="C19" s="5">
        <v>57590</v>
      </c>
      <c r="D19" s="5">
        <v>78</v>
      </c>
      <c r="E19" s="11" t="s">
        <v>32</v>
      </c>
      <c r="F19" s="10">
        <v>0.36388888888888887</v>
      </c>
      <c r="G19" s="5"/>
      <c r="H19" s="5"/>
      <c r="I19" s="5"/>
      <c r="J19" s="15"/>
      <c r="K19" s="2" t="str">
        <f t="shared" si="0"/>
        <v>pass</v>
      </c>
      <c r="L19" s="2" t="str" cm="1">
        <f t="array" ref="L19">TEXT(_xlfn.SWITCH(TRUE,E19="P",$B$1,AND(E19="",K19&lt;&gt;"TERMINAL"),$D$1,TRUE,HOUR(E19)),"00")</f>
        <v>25</v>
      </c>
      <c r="M19" s="2" t="str" cm="1">
        <f t="array" ref="M19">TEXT(_xlfn.SWITCH(TRUE,E19="P","00",AND(E19="",K19&lt;&gt;"TERMINAL"),"00",TRUE,MINUTE(E19)),"00")</f>
        <v>00</v>
      </c>
      <c r="N19" s="2" t="str" cm="1">
        <f t="array" ref="N19">TEXT(_xlfn.SWITCH(TRUE,E19="P","00",AND(E19="",K19&lt;&gt;"TERMINAL"),"00",TRUE,SECOND(E19)),"00")</f>
        <v>00</v>
      </c>
      <c r="O19" s="2" t="str" cm="1">
        <f t="array" ref="O19">_xlfn.SWITCH(TRUE,AND(L19="00",K19&lt;&gt;"TERMINAL"),TEXT($B$2,"00"),L19=TEXT($B$1,"00"),TEXT($B$1,"00"),L19=TEXT($D$1,"00"),TEXT($D$1,"00"),TRUE,+L19)</f>
        <v>25</v>
      </c>
      <c r="P19" s="2" t="str" cm="1">
        <f t="array" ref="P19">_xlfn.SWITCH(TRUE,OR(L19=TEXT($B$1,"00"),L19=TEXT($D$1,"00")),"00",AND(M19="00",K19&lt;&gt;"TERMINAL"),TEXT($D$2,"00"),TRUE,M19)</f>
        <v>00</v>
      </c>
      <c r="Q19" s="2" t="str" cm="1">
        <f t="array" ref="Q19">_xlfn.SWITCH(TRUE,OR(L19=TEXT($B$1,"00"),L19=TEXT($D$1,"00")),"00",AND(N19="00",K19&lt;&gt;"TERMINAL"),TEXT($F$2,"00"),TRUE,N19)</f>
        <v>00</v>
      </c>
      <c r="R19" s="2" t="str">
        <f t="shared" si="1"/>
        <v>08</v>
      </c>
      <c r="S19" s="2" t="str" cm="1">
        <f t="array" ref="S19">_xlfn.SWITCH(TRUE,F19="T",TEXT($F$1,"00"),AND(F19="",K19&lt;&gt;"TERMINAL"),"00",TRUE,TEXT(HOUR(F19),"00"))</f>
        <v>08</v>
      </c>
      <c r="T19" s="2" t="str" cm="1">
        <f t="array" ref="T19">TEXT(_xlfn.SWITCH(TRUE,F19="T","00",AND(F19="",K19&lt;&gt;"TERMINAL"),"00",TRUE,MINUTE(F19)),"00")</f>
        <v>44</v>
      </c>
      <c r="U19" s="2" t="str" cm="1">
        <f t="array" ref="U19">TEXT(_xlfn.SWITCH(TRUE,F19="T","00",AND(F19="",K19&lt;&gt;"TERMINAL"),"00",TRUE,SECOND(F19)),"00")</f>
        <v>00</v>
      </c>
      <c r="V19" s="2" t="str">
        <f t="shared" si="2"/>
        <v>08</v>
      </c>
      <c r="W19" s="2" t="str" cm="1">
        <f t="array" ref="W19">_xlfn.SWITCH(TRUE,OR(S19=TEXT($B$1,"00"),S19=TEXT($D$1,"00")),"00",AND(T19="00",K19&lt;&gt;"TERMINAL"),TEXT($D$2,"00"),TRUE,T19)</f>
        <v>44</v>
      </c>
      <c r="X19" s="2" t="str" cm="1">
        <f t="array" ref="X19">_xlfn.SWITCH(TRUE,OR(S19=TEXT($B$1,"00"),S19=TEXT($D$1,"00")),"00",AND(U19="00",K19&lt;&gt;"TERMINAL"),TEXT($F$2,"00"),TRUE,U19)</f>
        <v>60</v>
      </c>
      <c r="Y19" s="2" t="str">
        <f t="shared" si="3"/>
        <v>08</v>
      </c>
      <c r="Z19" s="2" t="str">
        <f t="shared" si="6"/>
        <v>FALSE</v>
      </c>
      <c r="AA19" s="2" t="str">
        <f t="shared" si="4"/>
        <v>250000</v>
      </c>
      <c r="AB19" s="2" t="str">
        <f t="shared" si="5"/>
        <v>004460</v>
      </c>
      <c r="AC19" s="2" t="str" cm="1">
        <f t="array" ref="AC19">TEXT($D19,"000")&amp;TEXT(IFERROR(INDEX($D$5:$D$103,_xlfn.AGGREGATE(15,6,ROW($E$5:$E$103)/(($E$5:$E$103&lt;&gt;"p")*($E$5:$E$103&lt;&gt;"t")*(ROW($E$5:$E$103)&gt;ROW($E19))),1)-ROW($E$5)+1),$D19),"000")</f>
        <v>078079</v>
      </c>
      <c r="AD19" s="2" t="str" cm="1">
        <f t="array" ref="AD19">TEXT(_xlfn.XLOOKUP(TRUE, AA20:AA$103&lt;&gt;"250000", AA20:AA$103, "未找到"),"000000")</f>
        <v>004960</v>
      </c>
      <c r="AE19" s="2" t="str" cm="1">
        <f t="array" ref="AE19">_xlfn.SWITCH(TRUE,J19&lt;&gt;"",TEXT(J19,"MMSS"),TRUE,IFERROR(TEXT(E20-F19,"MMSS"),"0000"))</f>
        <v>0500</v>
      </c>
    </row>
    <row r="20" spans="1:31">
      <c r="A20" s="2">
        <v>17</v>
      </c>
      <c r="B20" s="5" t="s">
        <v>18</v>
      </c>
      <c r="C20" s="5">
        <v>65015</v>
      </c>
      <c r="D20" s="5">
        <v>79</v>
      </c>
      <c r="E20" s="10">
        <v>0.36736111111111114</v>
      </c>
      <c r="F20" s="10">
        <v>0.36770833333333336</v>
      </c>
      <c r="G20" s="5"/>
      <c r="H20" s="5"/>
      <c r="I20" s="5"/>
      <c r="J20" s="15">
        <f t="shared" si="7"/>
        <v>2.2569444444444087E-3</v>
      </c>
      <c r="K20" s="2" t="str">
        <f t="shared" si="0"/>
        <v>stop</v>
      </c>
      <c r="L20" s="2" t="str" cm="1">
        <f t="array" ref="L20">TEXT(_xlfn.SWITCH(TRUE,E20="P",$B$1,AND(E20="",K20&lt;&gt;"TERMINAL"),$D$1,TRUE,HOUR(E20)),"00")</f>
        <v>08</v>
      </c>
      <c r="M20" s="2" t="str" cm="1">
        <f t="array" ref="M20">TEXT(_xlfn.SWITCH(TRUE,E20="P","00",AND(E20="",K20&lt;&gt;"TERMINAL"),"00",TRUE,MINUTE(E20)),"00")</f>
        <v>49</v>
      </c>
      <c r="N20" s="2" t="str" cm="1">
        <f t="array" ref="N20">TEXT(_xlfn.SWITCH(TRUE,E20="P","00",AND(E20="",K20&lt;&gt;"TERMINAL"),"00",TRUE,SECOND(E20)),"00")</f>
        <v>00</v>
      </c>
      <c r="O20" s="2" t="str" cm="1">
        <f t="array" ref="O20">_xlfn.SWITCH(TRUE,AND(L20="00",K20&lt;&gt;"TERMINAL"),TEXT($B$2,"00"),L20=TEXT($B$1,"00"),TEXT($B$1,"00"),L20=TEXT($D$1,"00"),TEXT($D$1,"00"),TRUE,+L20)</f>
        <v>08</v>
      </c>
      <c r="P20" s="2" t="str" cm="1">
        <f t="array" ref="P20">_xlfn.SWITCH(TRUE,OR(L20=TEXT($B$1,"00"),L20=TEXT($D$1,"00")),"00",AND(M20="00",K20&lt;&gt;"TERMINAL"),TEXT($D$2,"00"),TRUE,M20)</f>
        <v>49</v>
      </c>
      <c r="Q20" s="2" t="str" cm="1">
        <f t="array" ref="Q20">_xlfn.SWITCH(TRUE,OR(L20=TEXT($B$1,"00"),L20=TEXT($D$1,"00")),"00",AND(N20="00",K20&lt;&gt;"TERMINAL"),TEXT($F$2,"00"),TRUE,N20)</f>
        <v>60</v>
      </c>
      <c r="R20" s="2" t="str">
        <f t="shared" si="1"/>
        <v>08</v>
      </c>
      <c r="S20" s="2" t="str" cm="1">
        <f t="array" ref="S20">_xlfn.SWITCH(TRUE,F20="T",TEXT($F$1,"00"),AND(F20="",K20&lt;&gt;"TERMINAL"),"00",TRUE,TEXT(HOUR(F20),"00"))</f>
        <v>08</v>
      </c>
      <c r="T20" s="2" t="str" cm="1">
        <f t="array" ref="T20">TEXT(_xlfn.SWITCH(TRUE,F20="T","00",AND(F20="",K20&lt;&gt;"TERMINAL"),"00",TRUE,MINUTE(F20)),"00")</f>
        <v>49</v>
      </c>
      <c r="U20" s="2" t="str" cm="1">
        <f t="array" ref="U20">TEXT(_xlfn.SWITCH(TRUE,F20="T","00",AND(F20="",K20&lt;&gt;"TERMINAL"),"00",TRUE,SECOND(F20)),"00")</f>
        <v>30</v>
      </c>
      <c r="V20" s="2" t="str">
        <f t="shared" si="2"/>
        <v>08</v>
      </c>
      <c r="W20" s="2" t="str" cm="1">
        <f t="array" ref="W20">_xlfn.SWITCH(TRUE,OR(S20=TEXT($B$1,"00"),S20=TEXT($D$1,"00")),"00",AND(T20="00",K20&lt;&gt;"TERMINAL"),TEXT($D$2,"00"),TRUE,T20)</f>
        <v>49</v>
      </c>
      <c r="X20" s="2" t="str" cm="1">
        <f t="array" ref="X20">_xlfn.SWITCH(TRUE,OR(S20=TEXT($B$1,"00"),S20=TEXT($D$1,"00")),"00",AND(U20="00",K20&lt;&gt;"TERMINAL"),TEXT($F$2,"00"),TRUE,U20)</f>
        <v>30</v>
      </c>
      <c r="Y20" s="2" t="str">
        <f t="shared" si="3"/>
        <v>08</v>
      </c>
      <c r="Z20" s="2" t="str">
        <f t="shared" si="6"/>
        <v>FALSE</v>
      </c>
      <c r="AA20" s="2" t="str">
        <f t="shared" si="4"/>
        <v>004960</v>
      </c>
      <c r="AB20" s="2" t="str">
        <f t="shared" si="5"/>
        <v>004930</v>
      </c>
      <c r="AC20" s="2" t="str" cm="1">
        <f t="array" ref="AC20">TEXT($D20,"000")&amp;TEXT(IFERROR(INDEX($D$5:$D$103,_xlfn.AGGREGATE(15,6,ROW($E$5:$E$103)/(($E$5:$E$103&lt;&gt;"p")*($E$5:$E$103&lt;&gt;"t")*(ROW($E$5:$E$103)&gt;ROW($E20))),1)-ROW($E$5)+1),$D20),"000")</f>
        <v>079082</v>
      </c>
      <c r="AD20" s="2" t="str" cm="1">
        <f t="array" ref="AD20">TEXT(_xlfn.XLOOKUP(TRUE, AA21:AA$103&lt;&gt;"250000", AA21:AA$103, "未找到"),"000000")</f>
        <v>096015</v>
      </c>
      <c r="AE20" s="2" t="str" cm="1">
        <f t="array" ref="AE20">_xlfn.SWITCH(TRUE,J20&lt;&gt;"",TEXT(J20,"MMSS"),TRUE,IFERROR(TEXT(E21-F20,"MMSS"),"0000"))</f>
        <v>0315</v>
      </c>
    </row>
    <row r="21" spans="1:31">
      <c r="A21" s="2">
        <v>18</v>
      </c>
      <c r="B21" s="5" t="s">
        <v>19</v>
      </c>
      <c r="C21" s="5">
        <v>69762</v>
      </c>
      <c r="D21" s="5">
        <v>80</v>
      </c>
      <c r="E21" s="11" t="s">
        <v>32</v>
      </c>
      <c r="F21" s="10">
        <v>0.36996527777777777</v>
      </c>
      <c r="G21" s="5"/>
      <c r="H21" s="5"/>
      <c r="I21" s="5"/>
      <c r="J21" s="15">
        <f t="shared" si="7"/>
        <v>1.5625000000000222E-3</v>
      </c>
      <c r="K21" s="2" t="str">
        <f t="shared" si="0"/>
        <v>pass</v>
      </c>
      <c r="L21" s="2" t="str" cm="1">
        <f t="array" ref="L21">TEXT(_xlfn.SWITCH(TRUE,E21="P",$B$1,AND(E21="",K21&lt;&gt;"TERMINAL"),$D$1,TRUE,HOUR(E21)),"00")</f>
        <v>25</v>
      </c>
      <c r="M21" s="2" t="str" cm="1">
        <f t="array" ref="M21">TEXT(_xlfn.SWITCH(TRUE,E21="P","00",AND(E21="",K21&lt;&gt;"TERMINAL"),"00",TRUE,MINUTE(E21)),"00")</f>
        <v>00</v>
      </c>
      <c r="N21" s="2" t="str" cm="1">
        <f t="array" ref="N21">TEXT(_xlfn.SWITCH(TRUE,E21="P","00",AND(E21="",K21&lt;&gt;"TERMINAL"),"00",TRUE,SECOND(E21)),"00")</f>
        <v>00</v>
      </c>
      <c r="O21" s="2" t="str" cm="1">
        <f t="array" ref="O21">_xlfn.SWITCH(TRUE,AND(L21="00",K21&lt;&gt;"TERMINAL"),TEXT($B$2,"00"),L21=TEXT($B$1,"00"),TEXT($B$1,"00"),L21=TEXT($D$1,"00"),TEXT($D$1,"00"),TRUE,+L21)</f>
        <v>25</v>
      </c>
      <c r="P21" s="2" t="str" cm="1">
        <f t="array" ref="P21">_xlfn.SWITCH(TRUE,OR(L21=TEXT($B$1,"00"),L21=TEXT($D$1,"00")),"00",AND(M21="00",K21&lt;&gt;"TERMINAL"),TEXT($D$2,"00"),TRUE,M21)</f>
        <v>00</v>
      </c>
      <c r="Q21" s="2" t="str" cm="1">
        <f t="array" ref="Q21">_xlfn.SWITCH(TRUE,OR(L21=TEXT($B$1,"00"),L21=TEXT($D$1,"00")),"00",AND(N21="00",K21&lt;&gt;"TERMINAL"),TEXT($F$2,"00"),TRUE,N21)</f>
        <v>00</v>
      </c>
      <c r="R21" s="2" t="str">
        <f t="shared" si="1"/>
        <v>08</v>
      </c>
      <c r="S21" s="2" t="str" cm="1">
        <f t="array" ref="S21">_xlfn.SWITCH(TRUE,F21="T",TEXT($F$1,"00"),AND(F21="",K21&lt;&gt;"TERMINAL"),"00",TRUE,TEXT(HOUR(F21),"00"))</f>
        <v>08</v>
      </c>
      <c r="T21" s="2" t="str" cm="1">
        <f t="array" ref="T21">TEXT(_xlfn.SWITCH(TRUE,F21="T","00",AND(F21="",K21&lt;&gt;"TERMINAL"),"00",TRUE,MINUTE(F21)),"00")</f>
        <v>52</v>
      </c>
      <c r="U21" s="2" t="str" cm="1">
        <f t="array" ref="U21">TEXT(_xlfn.SWITCH(TRUE,F21="T","00",AND(F21="",K21&lt;&gt;"TERMINAL"),"00",TRUE,SECOND(F21)),"00")</f>
        <v>45</v>
      </c>
      <c r="V21" s="2" t="str">
        <f t="shared" si="2"/>
        <v>08</v>
      </c>
      <c r="W21" s="2" t="str" cm="1">
        <f t="array" ref="W21">_xlfn.SWITCH(TRUE,OR(S21=TEXT($B$1,"00"),S21=TEXT($D$1,"00")),"00",AND(T21="00",K21&lt;&gt;"TERMINAL"),TEXT($D$2,"00"),TRUE,T21)</f>
        <v>52</v>
      </c>
      <c r="X21" s="2" t="str" cm="1">
        <f t="array" ref="X21">_xlfn.SWITCH(TRUE,OR(S21=TEXT($B$1,"00"),S21=TEXT($D$1,"00")),"00",AND(U21="00",K21&lt;&gt;"TERMINAL"),TEXT($F$2,"00"),TRUE,U21)</f>
        <v>45</v>
      </c>
      <c r="Y21" s="2" t="str">
        <f t="shared" si="3"/>
        <v>08</v>
      </c>
      <c r="Z21" s="2" t="str">
        <f t="shared" si="6"/>
        <v>FALSE</v>
      </c>
      <c r="AA21" s="2" t="str">
        <f t="shared" si="4"/>
        <v>250000</v>
      </c>
      <c r="AB21" s="2" t="str">
        <f t="shared" si="5"/>
        <v>005245</v>
      </c>
      <c r="AC21" s="2" t="str" cm="1">
        <f t="array" ref="AC21">TEXT($D21,"000")&amp;TEXT(IFERROR(INDEX($D$5:$D$103,_xlfn.AGGREGATE(15,6,ROW($E$5:$E$103)/(($E$5:$E$103&lt;&gt;"p")*($E$5:$E$103&lt;&gt;"t")*(ROW($E$5:$E$103)&gt;ROW($E21))),1)-ROW($E$5)+1),$D21),"000")</f>
        <v>080082</v>
      </c>
      <c r="AD21" s="2" t="str" cm="1">
        <f t="array" ref="AD21">TEXT(_xlfn.XLOOKUP(TRUE, AA22:AA$103&lt;&gt;"250000", AA22:AA$103, "未找到"),"000000")</f>
        <v>096015</v>
      </c>
      <c r="AE21" s="2" t="str" cm="1">
        <f t="array" ref="AE21">_xlfn.SWITCH(TRUE,J21&lt;&gt;"",TEXT(J21,"MMSS"),TRUE,IFERROR(TEXT(E22-F21,"MMSS"),"0000"))</f>
        <v>0215</v>
      </c>
    </row>
    <row r="22" spans="1:31">
      <c r="A22" s="2">
        <v>19</v>
      </c>
      <c r="B22" s="5" t="s">
        <v>20</v>
      </c>
      <c r="C22" s="5">
        <v>73595</v>
      </c>
      <c r="D22" s="5">
        <v>81</v>
      </c>
      <c r="E22" s="11" t="s">
        <v>32</v>
      </c>
      <c r="F22" s="10">
        <v>0.37152777777777779</v>
      </c>
      <c r="G22" s="5"/>
      <c r="H22" s="5"/>
      <c r="I22" s="5"/>
      <c r="J22" s="15"/>
      <c r="K22" s="2" t="str">
        <f t="shared" si="0"/>
        <v>pass</v>
      </c>
      <c r="L22" s="2" t="str" cm="1">
        <f t="array" ref="L22">TEXT(_xlfn.SWITCH(TRUE,E22="P",$B$1,AND(E22="",K22&lt;&gt;"TERMINAL"),$D$1,TRUE,HOUR(E22)),"00")</f>
        <v>25</v>
      </c>
      <c r="M22" s="2" t="str" cm="1">
        <f t="array" ref="M22">TEXT(_xlfn.SWITCH(TRUE,E22="P","00",AND(E22="",K22&lt;&gt;"TERMINAL"),"00",TRUE,MINUTE(E22)),"00")</f>
        <v>00</v>
      </c>
      <c r="N22" s="2" t="str" cm="1">
        <f t="array" ref="N22">TEXT(_xlfn.SWITCH(TRUE,E22="P","00",AND(E22="",K22&lt;&gt;"TERMINAL"),"00",TRUE,SECOND(E22)),"00")</f>
        <v>00</v>
      </c>
      <c r="O22" s="2" t="str" cm="1">
        <f t="array" ref="O22">_xlfn.SWITCH(TRUE,AND(L22="00",K22&lt;&gt;"TERMINAL"),TEXT($B$2,"00"),L22=TEXT($B$1,"00"),TEXT($B$1,"00"),L22=TEXT($D$1,"00"),TEXT($D$1,"00"),TRUE,+L22)</f>
        <v>25</v>
      </c>
      <c r="P22" s="2" t="str" cm="1">
        <f t="array" ref="P22">_xlfn.SWITCH(TRUE,OR(L22=TEXT($B$1,"00"),L22=TEXT($D$1,"00")),"00",AND(M22="00",K22&lt;&gt;"TERMINAL"),TEXT($D$2,"00"),TRUE,M22)</f>
        <v>00</v>
      </c>
      <c r="Q22" s="2" t="str" cm="1">
        <f t="array" ref="Q22">_xlfn.SWITCH(TRUE,OR(L22=TEXT($B$1,"00"),L22=TEXT($D$1,"00")),"00",AND(N22="00",K22&lt;&gt;"TERMINAL"),TEXT($F$2,"00"),TRUE,N22)</f>
        <v>00</v>
      </c>
      <c r="R22" s="2" t="str">
        <f t="shared" si="1"/>
        <v>08</v>
      </c>
      <c r="S22" s="2" t="str" cm="1">
        <f t="array" ref="S22">_xlfn.SWITCH(TRUE,F22="T",TEXT($F$1,"00"),AND(F22="",K22&lt;&gt;"TERMINAL"),"00",TRUE,TEXT(HOUR(F22),"00"))</f>
        <v>08</v>
      </c>
      <c r="T22" s="2" t="str" cm="1">
        <f t="array" ref="T22">TEXT(_xlfn.SWITCH(TRUE,F22="T","00",AND(F22="",K22&lt;&gt;"TERMINAL"),"00",TRUE,MINUTE(F22)),"00")</f>
        <v>55</v>
      </c>
      <c r="U22" s="2" t="str" cm="1">
        <f t="array" ref="U22">TEXT(_xlfn.SWITCH(TRUE,F22="T","00",AND(F22="",K22&lt;&gt;"TERMINAL"),"00",TRUE,SECOND(F22)),"00")</f>
        <v>00</v>
      </c>
      <c r="V22" s="2" t="str">
        <f t="shared" si="2"/>
        <v>08</v>
      </c>
      <c r="W22" s="2" t="str" cm="1">
        <f t="array" ref="W22">_xlfn.SWITCH(TRUE,OR(S22=TEXT($B$1,"00"),S22=TEXT($D$1,"00")),"00",AND(T22="00",K22&lt;&gt;"TERMINAL"),TEXT($D$2,"00"),TRUE,T22)</f>
        <v>55</v>
      </c>
      <c r="X22" s="2" t="str" cm="1">
        <f t="array" ref="X22">_xlfn.SWITCH(TRUE,OR(S22=TEXT($B$1,"00"),S22=TEXT($D$1,"00")),"00",AND(U22="00",K22&lt;&gt;"TERMINAL"),TEXT($F$2,"00"),TRUE,U22)</f>
        <v>60</v>
      </c>
      <c r="Y22" s="2" t="str">
        <f t="shared" si="3"/>
        <v>08</v>
      </c>
      <c r="Z22" s="2" t="str">
        <f t="shared" si="6"/>
        <v>FALSE</v>
      </c>
      <c r="AA22" s="2" t="str">
        <f t="shared" si="4"/>
        <v>250000</v>
      </c>
      <c r="AB22" s="2" t="str">
        <f t="shared" si="5"/>
        <v>005560</v>
      </c>
      <c r="AC22" s="2" t="str" cm="1">
        <f t="array" ref="AC22">TEXT($D22,"000")&amp;TEXT(IFERROR(INDEX($D$5:$D$103,_xlfn.AGGREGATE(15,6,ROW($E$5:$E$103)/(($E$5:$E$103&lt;&gt;"p")*($E$5:$E$103&lt;&gt;"t")*(ROW($E$5:$E$103)&gt;ROW($E22))),1)-ROW($E$5)+1),$D22),"000")</f>
        <v>081082</v>
      </c>
      <c r="AD22" s="2" t="str" cm="1">
        <f t="array" ref="AD22">TEXT(_xlfn.XLOOKUP(TRUE, AA23:AA$103&lt;&gt;"250000", AA23:AA$103, "未找到"),"000000")</f>
        <v>096015</v>
      </c>
      <c r="AE22" s="2" t="str" cm="1">
        <f t="array" ref="AE22">_xlfn.SWITCH(TRUE,J22&lt;&gt;"",TEXT(J22,"MMSS"),TRUE,IFERROR(TEXT(E23-F22,"MMSS"),"0000"))</f>
        <v>0515</v>
      </c>
    </row>
    <row r="23" spans="1:31">
      <c r="A23" s="2">
        <v>20</v>
      </c>
      <c r="B23" s="5" t="s">
        <v>21</v>
      </c>
      <c r="C23" s="5">
        <v>80960</v>
      </c>
      <c r="D23" s="5">
        <v>82</v>
      </c>
      <c r="E23" s="10">
        <v>0.37517361111111114</v>
      </c>
      <c r="F23" s="10">
        <v>0.37552083333333336</v>
      </c>
      <c r="G23" s="5"/>
      <c r="H23" s="5"/>
      <c r="I23" s="5"/>
      <c r="J23" s="15">
        <f t="shared" si="7"/>
        <v>4.3402777777777346E-3</v>
      </c>
      <c r="K23" s="2" t="str">
        <f t="shared" si="0"/>
        <v>stop</v>
      </c>
      <c r="L23" s="2" t="str" cm="1">
        <f t="array" ref="L23">TEXT(_xlfn.SWITCH(TRUE,E23="P",$B$1,AND(E23="",K23&lt;&gt;"TERMINAL"),$D$1,TRUE,HOUR(E23)),"00")</f>
        <v>09</v>
      </c>
      <c r="M23" s="2" t="str" cm="1">
        <f t="array" ref="M23">TEXT(_xlfn.SWITCH(TRUE,E23="P","00",AND(E23="",K23&lt;&gt;"TERMINAL"),"00",TRUE,MINUTE(E23)),"00")</f>
        <v>00</v>
      </c>
      <c r="N23" s="2" t="str" cm="1">
        <f t="array" ref="N23">TEXT(_xlfn.SWITCH(TRUE,E23="P","00",AND(E23="",K23&lt;&gt;"TERMINAL"),"00",TRUE,SECOND(E23)),"00")</f>
        <v>15</v>
      </c>
      <c r="O23" s="2" t="str" cm="1">
        <f t="array" ref="O23">_xlfn.SWITCH(TRUE,AND(L23="00",K23&lt;&gt;"TERMINAL"),TEXT($B$2,"00"),L23=TEXT($B$1,"00"),TEXT($B$1,"00"),L23=TEXT($D$1,"00"),TEXT($D$1,"00"),TRUE,+L23)</f>
        <v>09</v>
      </c>
      <c r="P23" s="2" t="str" cm="1">
        <f t="array" ref="P23">_xlfn.SWITCH(TRUE,OR(L23=TEXT($B$1,"00"),L23=TEXT($D$1,"00")),"00",AND(M23="00",K23&lt;&gt;"TERMINAL"),TEXT($D$2,"00"),TRUE,M23)</f>
        <v>60</v>
      </c>
      <c r="Q23" s="2" t="str" cm="1">
        <f t="array" ref="Q23">_xlfn.SWITCH(TRUE,OR(L23=TEXT($B$1,"00"),L23=TEXT($D$1,"00")),"00",AND(N23="00",K23&lt;&gt;"TERMINAL"),TEXT($F$2,"00"),TRUE,N23)</f>
        <v>15</v>
      </c>
      <c r="R23" s="2" t="str">
        <f t="shared" si="1"/>
        <v>09</v>
      </c>
      <c r="S23" s="2" t="str" cm="1">
        <f t="array" ref="S23">_xlfn.SWITCH(TRUE,F23="T",TEXT($F$1,"00"),AND(F23="",K23&lt;&gt;"TERMINAL"),"00",TRUE,TEXT(HOUR(F23),"00"))</f>
        <v>09</v>
      </c>
      <c r="T23" s="2" t="str" cm="1">
        <f t="array" ref="T23">TEXT(_xlfn.SWITCH(TRUE,F23="T","00",AND(F23="",K23&lt;&gt;"TERMINAL"),"00",TRUE,MINUTE(F23)),"00")</f>
        <v>00</v>
      </c>
      <c r="U23" s="2" t="str" cm="1">
        <f t="array" ref="U23">TEXT(_xlfn.SWITCH(TRUE,F23="T","00",AND(F23="",K23&lt;&gt;"TERMINAL"),"00",TRUE,SECOND(F23)),"00")</f>
        <v>45</v>
      </c>
      <c r="V23" s="2" t="str">
        <f t="shared" si="2"/>
        <v>09</v>
      </c>
      <c r="W23" s="2" t="str" cm="1">
        <f t="array" ref="W23">_xlfn.SWITCH(TRUE,OR(S23=TEXT($B$1,"00"),S23=TEXT($D$1,"00")),"00",AND(T23="00",K23&lt;&gt;"TERMINAL"),TEXT($D$2,"00"),TRUE,T23)</f>
        <v>60</v>
      </c>
      <c r="X23" s="2" t="str" cm="1">
        <f t="array" ref="X23">_xlfn.SWITCH(TRUE,OR(S23=TEXT($B$1,"00"),S23=TEXT($D$1,"00")),"00",AND(U23="00",K23&lt;&gt;"TERMINAL"),TEXT($F$2,"00"),TRUE,U23)</f>
        <v>45</v>
      </c>
      <c r="Y23" s="2" t="str">
        <f t="shared" si="3"/>
        <v>09</v>
      </c>
      <c r="Z23" s="2" t="str">
        <f t="shared" si="6"/>
        <v>TRUE</v>
      </c>
      <c r="AA23" s="2" t="str">
        <f t="shared" si="4"/>
        <v>096015</v>
      </c>
      <c r="AB23" s="2" t="str">
        <f t="shared" si="5"/>
        <v>096045</v>
      </c>
      <c r="AC23" s="2" t="str" cm="1">
        <f t="array" ref="AC23">TEXT($D23,"000")&amp;TEXT(IFERROR(INDEX($D$5:$D$103,_xlfn.AGGREGATE(15,6,ROW($E$5:$E$103)/(($E$5:$E$103&lt;&gt;"p")*($E$5:$E$103&lt;&gt;"t")*(ROW($E$5:$E$103)&gt;ROW($E23))),1)-ROW($E$5)+1),$D23),"000")</f>
        <v>082083</v>
      </c>
      <c r="AD23" s="2" t="str" cm="1">
        <f t="array" ref="AD23">TEXT(_xlfn.XLOOKUP(TRUE, AA24:AA$103&lt;&gt;"250000", AA24:AA$103, "未找到"),"000000")</f>
        <v>000630</v>
      </c>
      <c r="AE23" s="2" t="str" cm="1">
        <f t="array" ref="AE23">_xlfn.SWITCH(TRUE,J23&lt;&gt;"",TEXT(J23,"MMSS"),TRUE,IFERROR(TEXT(E24-F23,"MMSS"),"0000"))</f>
        <v>0615</v>
      </c>
    </row>
    <row r="24" spans="1:31">
      <c r="A24" s="2">
        <v>21</v>
      </c>
      <c r="B24" s="5" t="s">
        <v>22</v>
      </c>
      <c r="C24" s="5">
        <v>88412</v>
      </c>
      <c r="D24" s="5">
        <v>83</v>
      </c>
      <c r="E24" s="10">
        <v>0.37951388888888887</v>
      </c>
      <c r="F24" s="10">
        <v>0.37986111111111109</v>
      </c>
      <c r="G24" s="5"/>
      <c r="H24" s="5"/>
      <c r="I24" s="5"/>
      <c r="J24" s="15">
        <f t="shared" si="7"/>
        <v>1.9097222222222432E-3</v>
      </c>
      <c r="K24" s="2" t="str">
        <f t="shared" si="0"/>
        <v>stop</v>
      </c>
      <c r="L24" s="2" t="str" cm="1">
        <f t="array" ref="L24">TEXT(_xlfn.SWITCH(TRUE,E24="P",$B$1,AND(E24="",K24&lt;&gt;"TERMINAL"),$D$1,TRUE,HOUR(E24)),"00")</f>
        <v>09</v>
      </c>
      <c r="M24" s="2" t="str" cm="1">
        <f t="array" ref="M24">TEXT(_xlfn.SWITCH(TRUE,E24="P","00",AND(E24="",K24&lt;&gt;"TERMINAL"),"00",TRUE,MINUTE(E24)),"00")</f>
        <v>06</v>
      </c>
      <c r="N24" s="2" t="str" cm="1">
        <f t="array" ref="N24">TEXT(_xlfn.SWITCH(TRUE,E24="P","00",AND(E24="",K24&lt;&gt;"TERMINAL"),"00",TRUE,SECOND(E24)),"00")</f>
        <v>30</v>
      </c>
      <c r="O24" s="2" t="str" cm="1">
        <f t="array" ref="O24">_xlfn.SWITCH(TRUE,AND(L24="00",K24&lt;&gt;"TERMINAL"),TEXT($B$2,"00"),L24=TEXT($B$1,"00"),TEXT($B$1,"00"),L24=TEXT($D$1,"00"),TEXT($D$1,"00"),TRUE,+L24)</f>
        <v>09</v>
      </c>
      <c r="P24" s="2" t="str" cm="1">
        <f t="array" ref="P24">_xlfn.SWITCH(TRUE,OR(L24=TEXT($B$1,"00"),L24=TEXT($D$1,"00")),"00",AND(M24="00",K24&lt;&gt;"TERMINAL"),TEXT($D$2,"00"),TRUE,M24)</f>
        <v>06</v>
      </c>
      <c r="Q24" s="2" t="str" cm="1">
        <f t="array" ref="Q24">_xlfn.SWITCH(TRUE,OR(L24=TEXT($B$1,"00"),L24=TEXT($D$1,"00")),"00",AND(N24="00",K24&lt;&gt;"TERMINAL"),TEXT($F$2,"00"),TRUE,N24)</f>
        <v>30</v>
      </c>
      <c r="R24" s="2" t="str">
        <f t="shared" si="1"/>
        <v>09</v>
      </c>
      <c r="S24" s="2" t="str" cm="1">
        <f t="array" ref="S24">_xlfn.SWITCH(TRUE,F24="T",TEXT($F$1,"00"),AND(F24="",K24&lt;&gt;"TERMINAL"),"00",TRUE,TEXT(HOUR(F24),"00"))</f>
        <v>09</v>
      </c>
      <c r="T24" s="2" t="str" cm="1">
        <f t="array" ref="T24">TEXT(_xlfn.SWITCH(TRUE,F24="T","00",AND(F24="",K24&lt;&gt;"TERMINAL"),"00",TRUE,MINUTE(F24)),"00")</f>
        <v>07</v>
      </c>
      <c r="U24" s="2" t="str" cm="1">
        <f t="array" ref="U24">TEXT(_xlfn.SWITCH(TRUE,F24="T","00",AND(F24="",K24&lt;&gt;"TERMINAL"),"00",TRUE,SECOND(F24)),"00")</f>
        <v>00</v>
      </c>
      <c r="V24" s="2" t="str">
        <f t="shared" si="2"/>
        <v>09</v>
      </c>
      <c r="W24" s="2" t="str" cm="1">
        <f t="array" ref="W24">_xlfn.SWITCH(TRUE,OR(S24=TEXT($B$1,"00"),S24=TEXT($D$1,"00")),"00",AND(T24="00",K24&lt;&gt;"TERMINAL"),TEXT($D$2,"00"),TRUE,T24)</f>
        <v>07</v>
      </c>
      <c r="X24" s="2" t="str" cm="1">
        <f t="array" ref="X24">_xlfn.SWITCH(TRUE,OR(S24=TEXT($B$1,"00"),S24=TEXT($D$1,"00")),"00",AND(U24="00",K24&lt;&gt;"TERMINAL"),TEXT($F$2,"00"),TRUE,U24)</f>
        <v>60</v>
      </c>
      <c r="Y24" s="2" t="str">
        <f t="shared" si="3"/>
        <v>09</v>
      </c>
      <c r="Z24" s="2" t="str">
        <f t="shared" si="6"/>
        <v>FALSE</v>
      </c>
      <c r="AA24" s="2" t="str">
        <f t="shared" si="4"/>
        <v>000630</v>
      </c>
      <c r="AB24" s="2" t="str">
        <f t="shared" si="5"/>
        <v>000760</v>
      </c>
      <c r="AC24" s="2" t="str" cm="1">
        <f t="array" ref="AC24">TEXT($D24,"000")&amp;TEXT(IFERROR(INDEX($D$5:$D$103,_xlfn.AGGREGATE(15,6,ROW($E$5:$E$103)/(($E$5:$E$103&lt;&gt;"p")*($E$5:$E$103&lt;&gt;"t")*(ROW($E$5:$E$103)&gt;ROW($E24))),1)-ROW($E$5)+1),$D24),"000")</f>
        <v>083084</v>
      </c>
      <c r="AD24" s="2" t="str" cm="1">
        <f t="array" ref="AD24">TEXT(_xlfn.XLOOKUP(TRUE, AA25:AA$103&lt;&gt;"250000", AA25:AA$103, "未找到"),"000000")</f>
        <v>000915</v>
      </c>
      <c r="AE24" s="2" t="str" cm="1">
        <f t="array" ref="AE24">_xlfn.SWITCH(TRUE,J24&lt;&gt;"",TEXT(J24,"MMSS"),TRUE,IFERROR(TEXT(E25-F24,"MMSS"),"0000"))</f>
        <v>0245</v>
      </c>
    </row>
    <row r="25" spans="1:31">
      <c r="A25" s="2">
        <v>22</v>
      </c>
      <c r="B25" s="5" t="s">
        <v>23</v>
      </c>
      <c r="C25" s="5">
        <v>91012</v>
      </c>
      <c r="D25" s="5">
        <v>84</v>
      </c>
      <c r="E25" s="10">
        <v>0.38142361111111112</v>
      </c>
      <c r="F25" s="10">
        <v>0.38177083333333334</v>
      </c>
      <c r="G25" s="5"/>
      <c r="H25" s="5"/>
      <c r="I25" s="5"/>
      <c r="J25" s="15">
        <f t="shared" si="7"/>
        <v>3.6458333333333481E-3</v>
      </c>
      <c r="K25" s="2" t="str">
        <f t="shared" si="0"/>
        <v>stop</v>
      </c>
      <c r="L25" s="2" t="str" cm="1">
        <f t="array" ref="L25">TEXT(_xlfn.SWITCH(TRUE,E25="P",$B$1,AND(E25="",K25&lt;&gt;"TERMINAL"),$D$1,TRUE,HOUR(E25)),"00")</f>
        <v>09</v>
      </c>
      <c r="M25" s="2" t="str" cm="1">
        <f t="array" ref="M25">TEXT(_xlfn.SWITCH(TRUE,E25="P","00",AND(E25="",K25&lt;&gt;"TERMINAL"),"00",TRUE,MINUTE(E25)),"00")</f>
        <v>09</v>
      </c>
      <c r="N25" s="2" t="str" cm="1">
        <f t="array" ref="N25">TEXT(_xlfn.SWITCH(TRUE,E25="P","00",AND(E25="",K25&lt;&gt;"TERMINAL"),"00",TRUE,SECOND(E25)),"00")</f>
        <v>15</v>
      </c>
      <c r="O25" s="2" t="str" cm="1">
        <f t="array" ref="O25">_xlfn.SWITCH(TRUE,AND(L25="00",K25&lt;&gt;"TERMINAL"),TEXT($B$2,"00"),L25=TEXT($B$1,"00"),TEXT($B$1,"00"),L25=TEXT($D$1,"00"),TEXT($D$1,"00"),TRUE,+L25)</f>
        <v>09</v>
      </c>
      <c r="P25" s="2" t="str" cm="1">
        <f t="array" ref="P25">_xlfn.SWITCH(TRUE,OR(L25=TEXT($B$1,"00"),L25=TEXT($D$1,"00")),"00",AND(M25="00",K25&lt;&gt;"TERMINAL"),TEXT($D$2,"00"),TRUE,M25)</f>
        <v>09</v>
      </c>
      <c r="Q25" s="2" t="str" cm="1">
        <f t="array" ref="Q25">_xlfn.SWITCH(TRUE,OR(L25=TEXT($B$1,"00"),L25=TEXT($D$1,"00")),"00",AND(N25="00",K25&lt;&gt;"TERMINAL"),TEXT($F$2,"00"),TRUE,N25)</f>
        <v>15</v>
      </c>
      <c r="R25" s="2" t="str">
        <f t="shared" si="1"/>
        <v>09</v>
      </c>
      <c r="S25" s="2" t="str" cm="1">
        <f t="array" ref="S25">_xlfn.SWITCH(TRUE,F25="T",TEXT($F$1,"00"),AND(F25="",K25&lt;&gt;"TERMINAL"),"00",TRUE,TEXT(HOUR(F25),"00"))</f>
        <v>09</v>
      </c>
      <c r="T25" s="2" t="str" cm="1">
        <f t="array" ref="T25">TEXT(_xlfn.SWITCH(TRUE,F25="T","00",AND(F25="",K25&lt;&gt;"TERMINAL"),"00",TRUE,MINUTE(F25)),"00")</f>
        <v>09</v>
      </c>
      <c r="U25" s="2" t="str" cm="1">
        <f t="array" ref="U25">TEXT(_xlfn.SWITCH(TRUE,F25="T","00",AND(F25="",K25&lt;&gt;"TERMINAL"),"00",TRUE,SECOND(F25)),"00")</f>
        <v>45</v>
      </c>
      <c r="V25" s="2" t="str">
        <f t="shared" si="2"/>
        <v>09</v>
      </c>
      <c r="W25" s="2" t="str" cm="1">
        <f t="array" ref="W25">_xlfn.SWITCH(TRUE,OR(S25=TEXT($B$1,"00"),S25=TEXT($D$1,"00")),"00",AND(T25="00",K25&lt;&gt;"TERMINAL"),TEXT($D$2,"00"),TRUE,T25)</f>
        <v>09</v>
      </c>
      <c r="X25" s="2" t="str" cm="1">
        <f t="array" ref="X25">_xlfn.SWITCH(TRUE,OR(S25=TEXT($B$1,"00"),S25=TEXT($D$1,"00")),"00",AND(U25="00",K25&lt;&gt;"TERMINAL"),TEXT($F$2,"00"),TRUE,U25)</f>
        <v>45</v>
      </c>
      <c r="Y25" s="2" t="str">
        <f t="shared" si="3"/>
        <v>09</v>
      </c>
      <c r="Z25" s="2" t="str">
        <f t="shared" si="6"/>
        <v>FALSE</v>
      </c>
      <c r="AA25" s="2" t="str">
        <f t="shared" si="4"/>
        <v>000915</v>
      </c>
      <c r="AB25" s="2" t="str">
        <f t="shared" si="5"/>
        <v>000945</v>
      </c>
      <c r="AC25" s="2" t="str" cm="1">
        <f t="array" ref="AC25">TEXT($D25,"000")&amp;TEXT(IFERROR(INDEX($D$5:$D$103,_xlfn.AGGREGATE(15,6,ROW($E$5:$E$103)/(($E$5:$E$103&lt;&gt;"p")*($E$5:$E$103&lt;&gt;"t")*(ROW($E$5:$E$103)&gt;ROW($E25))),1)-ROW($E$5)+1),$D25),"000")</f>
        <v>084085</v>
      </c>
      <c r="AD25" s="2" t="str" cm="1">
        <f t="array" ref="AD25">TEXT(_xlfn.XLOOKUP(TRUE, AA26:AA$103&lt;&gt;"250000", AA26:AA$103, "未找到"),"000000")</f>
        <v>001430</v>
      </c>
      <c r="AE25" s="2" t="str" cm="1">
        <f t="array" ref="AE25">_xlfn.SWITCH(TRUE,J25&lt;&gt;"",TEXT(J25,"MMSS"),TRUE,IFERROR(TEXT(E26-F25,"MMSS"),"0000"))</f>
        <v>0515</v>
      </c>
    </row>
    <row r="26" spans="1:31">
      <c r="A26" s="2">
        <v>23</v>
      </c>
      <c r="B26" s="5" t="s">
        <v>24</v>
      </c>
      <c r="C26" s="5">
        <v>95735</v>
      </c>
      <c r="D26" s="5">
        <v>85</v>
      </c>
      <c r="E26" s="10">
        <v>0.38506944444444446</v>
      </c>
      <c r="F26" s="10">
        <v>0.38541666666666669</v>
      </c>
      <c r="G26" s="5"/>
      <c r="H26" s="5"/>
      <c r="I26" s="5"/>
      <c r="J26" s="15">
        <f t="shared" si="7"/>
        <v>1.9097222222221877E-3</v>
      </c>
      <c r="K26" s="2" t="str">
        <f t="shared" si="0"/>
        <v>stop</v>
      </c>
      <c r="L26" s="2" t="str" cm="1">
        <f t="array" ref="L26">TEXT(_xlfn.SWITCH(TRUE,E26="P",$B$1,AND(E26="",K26&lt;&gt;"TERMINAL"),$D$1,TRUE,HOUR(E26)),"00")</f>
        <v>09</v>
      </c>
      <c r="M26" s="2" t="str" cm="1">
        <f t="array" ref="M26">TEXT(_xlfn.SWITCH(TRUE,E26="P","00",AND(E26="",K26&lt;&gt;"TERMINAL"),"00",TRUE,MINUTE(E26)),"00")</f>
        <v>14</v>
      </c>
      <c r="N26" s="2" t="str" cm="1">
        <f t="array" ref="N26">TEXT(_xlfn.SWITCH(TRUE,E26="P","00",AND(E26="",K26&lt;&gt;"TERMINAL"),"00",TRUE,SECOND(E26)),"00")</f>
        <v>30</v>
      </c>
      <c r="O26" s="2" t="str" cm="1">
        <f t="array" ref="O26">_xlfn.SWITCH(TRUE,AND(L26="00",K26&lt;&gt;"TERMINAL"),TEXT($B$2,"00"),L26=TEXT($B$1,"00"),TEXT($B$1,"00"),L26=TEXT($D$1,"00"),TEXT($D$1,"00"),TRUE,+L26)</f>
        <v>09</v>
      </c>
      <c r="P26" s="2" t="str" cm="1">
        <f t="array" ref="P26">_xlfn.SWITCH(TRUE,OR(L26=TEXT($B$1,"00"),L26=TEXT($D$1,"00")),"00",AND(M26="00",K26&lt;&gt;"TERMINAL"),TEXT($D$2,"00"),TRUE,M26)</f>
        <v>14</v>
      </c>
      <c r="Q26" s="2" t="str" cm="1">
        <f t="array" ref="Q26">_xlfn.SWITCH(TRUE,OR(L26=TEXT($B$1,"00"),L26=TEXT($D$1,"00")),"00",AND(N26="00",K26&lt;&gt;"TERMINAL"),TEXT($F$2,"00"),TRUE,N26)</f>
        <v>30</v>
      </c>
      <c r="R26" s="2" t="str">
        <f t="shared" si="1"/>
        <v>09</v>
      </c>
      <c r="S26" s="2" t="str" cm="1">
        <f t="array" ref="S26">_xlfn.SWITCH(TRUE,F26="T",TEXT($F$1,"00"),AND(F26="",K26&lt;&gt;"TERMINAL"),"00",TRUE,TEXT(HOUR(F26),"00"))</f>
        <v>09</v>
      </c>
      <c r="T26" s="2" t="str" cm="1">
        <f t="array" ref="T26">TEXT(_xlfn.SWITCH(TRUE,F26="T","00",AND(F26="",K26&lt;&gt;"TERMINAL"),"00",TRUE,MINUTE(F26)),"00")</f>
        <v>15</v>
      </c>
      <c r="U26" s="2" t="str" cm="1">
        <f t="array" ref="U26">TEXT(_xlfn.SWITCH(TRUE,F26="T","00",AND(F26="",K26&lt;&gt;"TERMINAL"),"00",TRUE,SECOND(F26)),"00")</f>
        <v>00</v>
      </c>
      <c r="V26" s="2" t="str">
        <f t="shared" si="2"/>
        <v>09</v>
      </c>
      <c r="W26" s="2" t="str" cm="1">
        <f t="array" ref="W26">_xlfn.SWITCH(TRUE,OR(S26=TEXT($B$1,"00"),S26=TEXT($D$1,"00")),"00",AND(T26="00",K26&lt;&gt;"TERMINAL"),TEXT($D$2,"00"),TRUE,T26)</f>
        <v>15</v>
      </c>
      <c r="X26" s="2" t="str" cm="1">
        <f t="array" ref="X26">_xlfn.SWITCH(TRUE,OR(S26=TEXT($B$1,"00"),S26=TEXT($D$1,"00")),"00",AND(U26="00",K26&lt;&gt;"TERMINAL"),TEXT($F$2,"00"),TRUE,U26)</f>
        <v>60</v>
      </c>
      <c r="Y26" s="2" t="str">
        <f t="shared" si="3"/>
        <v>09</v>
      </c>
      <c r="Z26" s="2" t="str">
        <f t="shared" si="6"/>
        <v>FALSE</v>
      </c>
      <c r="AA26" s="2" t="str">
        <f t="shared" si="4"/>
        <v>001430</v>
      </c>
      <c r="AB26" s="2" t="str">
        <f t="shared" si="5"/>
        <v>001560</v>
      </c>
      <c r="AC26" s="2" t="str" cm="1">
        <f t="array" ref="AC26">TEXT($D26,"000")&amp;TEXT(IFERROR(INDEX($D$5:$D$103,_xlfn.AGGREGATE(15,6,ROW($E$5:$E$103)/(($E$5:$E$103&lt;&gt;"p")*($E$5:$E$103&lt;&gt;"t")*(ROW($E$5:$E$103)&gt;ROW($E26))),1)-ROW($E$5)+1),$D26),"000")</f>
        <v>085087</v>
      </c>
      <c r="AD26" s="2" t="str" cm="1">
        <f t="array" ref="AD26">TEXT(_xlfn.XLOOKUP(TRUE, AA27:AA$103&lt;&gt;"250000", AA27:AA$103, "未找到"),"000000")</f>
        <v>002060</v>
      </c>
      <c r="AE26" s="2" t="str" cm="1">
        <f t="array" ref="AE26">_xlfn.SWITCH(TRUE,J26&lt;&gt;"",TEXT(J26,"MMSS"),TRUE,IFERROR(TEXT(E27-F26,"MMSS"),"0000"))</f>
        <v>0245</v>
      </c>
    </row>
    <row r="27" spans="1:31">
      <c r="A27" s="2">
        <v>24</v>
      </c>
      <c r="B27" s="5" t="s">
        <v>25</v>
      </c>
      <c r="C27" s="5">
        <v>98975</v>
      </c>
      <c r="D27" s="5">
        <v>86</v>
      </c>
      <c r="E27" s="11" t="s">
        <v>32</v>
      </c>
      <c r="F27" s="10">
        <v>0.38732638888888887</v>
      </c>
      <c r="G27" s="5"/>
      <c r="H27" s="5"/>
      <c r="I27" s="5"/>
      <c r="J27" s="15"/>
      <c r="K27" s="2" t="str">
        <f t="shared" si="0"/>
        <v>pass</v>
      </c>
      <c r="L27" s="2" t="str" cm="1">
        <f t="array" ref="L27">TEXT(_xlfn.SWITCH(TRUE,E27="P",$B$1,AND(E27="",K27&lt;&gt;"TERMINAL"),$D$1,TRUE,HOUR(E27)),"00")</f>
        <v>25</v>
      </c>
      <c r="M27" s="2" t="str" cm="1">
        <f t="array" ref="M27">TEXT(_xlfn.SWITCH(TRUE,E27="P","00",AND(E27="",K27&lt;&gt;"TERMINAL"),"00",TRUE,MINUTE(E27)),"00")</f>
        <v>00</v>
      </c>
      <c r="N27" s="2" t="str" cm="1">
        <f t="array" ref="N27">TEXT(_xlfn.SWITCH(TRUE,E27="P","00",AND(E27="",K27&lt;&gt;"TERMINAL"),"00",TRUE,SECOND(E27)),"00")</f>
        <v>00</v>
      </c>
      <c r="O27" s="2" t="str" cm="1">
        <f t="array" ref="O27">_xlfn.SWITCH(TRUE,AND(L27="00",K27&lt;&gt;"TERMINAL"),TEXT($B$2,"00"),L27=TEXT($B$1,"00"),TEXT($B$1,"00"),L27=TEXT($D$1,"00"),TEXT($D$1,"00"),TRUE,+L27)</f>
        <v>25</v>
      </c>
      <c r="P27" s="2" t="str" cm="1">
        <f t="array" ref="P27">_xlfn.SWITCH(TRUE,OR(L27=TEXT($B$1,"00"),L27=TEXT($D$1,"00")),"00",AND(M27="00",K27&lt;&gt;"TERMINAL"),TEXT($D$2,"00"),TRUE,M27)</f>
        <v>00</v>
      </c>
      <c r="Q27" s="2" t="str" cm="1">
        <f t="array" ref="Q27">_xlfn.SWITCH(TRUE,OR(L27=TEXT($B$1,"00"),L27=TEXT($D$1,"00")),"00",AND(N27="00",K27&lt;&gt;"TERMINAL"),TEXT($F$2,"00"),TRUE,N27)</f>
        <v>00</v>
      </c>
      <c r="R27" s="2" t="str">
        <f t="shared" si="1"/>
        <v>09</v>
      </c>
      <c r="S27" s="2" t="str" cm="1">
        <f t="array" ref="S27">_xlfn.SWITCH(TRUE,F27="T",TEXT($F$1,"00"),AND(F27="",K27&lt;&gt;"TERMINAL"),"00",TRUE,TEXT(HOUR(F27),"00"))</f>
        <v>09</v>
      </c>
      <c r="T27" s="2" t="str" cm="1">
        <f t="array" ref="T27">TEXT(_xlfn.SWITCH(TRUE,F27="T","00",AND(F27="",K27&lt;&gt;"TERMINAL"),"00",TRUE,MINUTE(F27)),"00")</f>
        <v>17</v>
      </c>
      <c r="U27" s="2" t="str" cm="1">
        <f t="array" ref="U27">TEXT(_xlfn.SWITCH(TRUE,F27="T","00",AND(F27="",K27&lt;&gt;"TERMINAL"),"00",TRUE,SECOND(F27)),"00")</f>
        <v>45</v>
      </c>
      <c r="V27" s="2" t="str">
        <f t="shared" si="2"/>
        <v>09</v>
      </c>
      <c r="W27" s="2" t="str" cm="1">
        <f t="array" ref="W27">_xlfn.SWITCH(TRUE,OR(S27=TEXT($B$1,"00"),S27=TEXT($D$1,"00")),"00",AND(T27="00",K27&lt;&gt;"TERMINAL"),TEXT($D$2,"00"),TRUE,T27)</f>
        <v>17</v>
      </c>
      <c r="X27" s="2" t="str" cm="1">
        <f t="array" ref="X27">_xlfn.SWITCH(TRUE,OR(S27=TEXT($B$1,"00"),S27=TEXT($D$1,"00")),"00",AND(U27="00",K27&lt;&gt;"TERMINAL"),TEXT($F$2,"00"),TRUE,U27)</f>
        <v>45</v>
      </c>
      <c r="Y27" s="2" t="str">
        <f t="shared" si="3"/>
        <v>09</v>
      </c>
      <c r="Z27" s="2" t="str">
        <f t="shared" si="6"/>
        <v>FALSE</v>
      </c>
      <c r="AA27" s="2" t="str">
        <f t="shared" si="4"/>
        <v>250000</v>
      </c>
      <c r="AB27" s="2" t="str">
        <f t="shared" si="5"/>
        <v>001745</v>
      </c>
      <c r="AC27" s="2" t="str" cm="1">
        <f t="array" ref="AC27">TEXT($D27,"000")&amp;TEXT(IFERROR(INDEX($D$5:$D$103,_xlfn.AGGREGATE(15,6,ROW($E$5:$E$103)/(($E$5:$E$103&lt;&gt;"p")*($E$5:$E$103&lt;&gt;"t")*(ROW($E$5:$E$103)&gt;ROW($E27))),1)-ROW($E$5)+1),$D27),"000")</f>
        <v>086087</v>
      </c>
      <c r="AD27" s="2" t="str" cm="1">
        <f t="array" ref="AD27">TEXT(_xlfn.XLOOKUP(TRUE, AA28:AA$103&lt;&gt;"250000", AA28:AA$103, "未找到"),"000000")</f>
        <v>002060</v>
      </c>
      <c r="AE27" s="2" t="str" cm="1">
        <f t="array" ref="AE27">_xlfn.SWITCH(TRUE,J27&lt;&gt;"",TEXT(J27,"MMSS"),TRUE,IFERROR(TEXT(E28-F27,"MMSS"),"0000"))</f>
        <v>0215</v>
      </c>
    </row>
    <row r="28" spans="1:31">
      <c r="A28" s="2">
        <v>25</v>
      </c>
      <c r="B28" s="5" t="s">
        <v>26</v>
      </c>
      <c r="C28" s="5">
        <v>102162</v>
      </c>
      <c r="D28" s="5">
        <v>87</v>
      </c>
      <c r="E28" s="10">
        <v>0.3888888888888889</v>
      </c>
      <c r="F28" s="10">
        <v>0.38923611111111112</v>
      </c>
      <c r="G28" s="5"/>
      <c r="H28" s="5"/>
      <c r="I28" s="5"/>
      <c r="J28" s="15"/>
      <c r="K28" s="2" t="str">
        <f t="shared" si="0"/>
        <v>stop</v>
      </c>
      <c r="L28" s="2" t="str" cm="1">
        <f t="array" ref="L28">TEXT(_xlfn.SWITCH(TRUE,E28="P",$B$1,AND(E28="",K28&lt;&gt;"TERMINAL"),$D$1,TRUE,HOUR(E28)),"00")</f>
        <v>09</v>
      </c>
      <c r="M28" s="2" t="str" cm="1">
        <f t="array" ref="M28">TEXT(_xlfn.SWITCH(TRUE,E28="P","00",AND(E28="",K28&lt;&gt;"TERMINAL"),"00",TRUE,MINUTE(E28)),"00")</f>
        <v>20</v>
      </c>
      <c r="N28" s="2" t="str" cm="1">
        <f t="array" ref="N28">TEXT(_xlfn.SWITCH(TRUE,E28="P","00",AND(E28="",K28&lt;&gt;"TERMINAL"),"00",TRUE,SECOND(E28)),"00")</f>
        <v>00</v>
      </c>
      <c r="O28" s="2" t="str" cm="1">
        <f t="array" ref="O28">_xlfn.SWITCH(TRUE,AND(L28="00",K28&lt;&gt;"TERMINAL"),TEXT($B$2,"00"),L28=TEXT($B$1,"00"),TEXT($B$1,"00"),L28=TEXT($D$1,"00"),TEXT($D$1,"00"),TRUE,+L28)</f>
        <v>09</v>
      </c>
      <c r="P28" s="2" t="str" cm="1">
        <f t="array" ref="P28">_xlfn.SWITCH(TRUE,OR(L28=TEXT($B$1,"00"),L28=TEXT($D$1,"00")),"00",AND(M28="00",K28&lt;&gt;"TERMINAL"),TEXT($D$2,"00"),TRUE,M28)</f>
        <v>20</v>
      </c>
      <c r="Q28" s="2" t="str" cm="1">
        <f t="array" ref="Q28">_xlfn.SWITCH(TRUE,OR(L28=TEXT($B$1,"00"),L28=TEXT($D$1,"00")),"00",AND(N28="00",K28&lt;&gt;"TERMINAL"),TEXT($F$2,"00"),TRUE,N28)</f>
        <v>60</v>
      </c>
      <c r="R28" s="2" t="str">
        <f t="shared" si="1"/>
        <v>09</v>
      </c>
      <c r="S28" s="2" t="str" cm="1">
        <f t="array" ref="S28">_xlfn.SWITCH(TRUE,F28="T",TEXT($F$1,"00"),AND(F28="",K28&lt;&gt;"TERMINAL"),"00",TRUE,TEXT(HOUR(F28),"00"))</f>
        <v>09</v>
      </c>
      <c r="T28" s="2" t="str" cm="1">
        <f t="array" ref="T28">TEXT(_xlfn.SWITCH(TRUE,F28="T","00",AND(F28="",K28&lt;&gt;"TERMINAL"),"00",TRUE,MINUTE(F28)),"00")</f>
        <v>20</v>
      </c>
      <c r="U28" s="2" t="str" cm="1">
        <f t="array" ref="U28">TEXT(_xlfn.SWITCH(TRUE,F28="T","00",AND(F28="",K28&lt;&gt;"TERMINAL"),"00",TRUE,SECOND(F28)),"00")</f>
        <v>30</v>
      </c>
      <c r="V28" s="2" t="str">
        <f t="shared" si="2"/>
        <v>09</v>
      </c>
      <c r="W28" s="2" t="str" cm="1">
        <f t="array" ref="W28">_xlfn.SWITCH(TRUE,OR(S28=TEXT($B$1,"00"),S28=TEXT($D$1,"00")),"00",AND(T28="00",K28&lt;&gt;"TERMINAL"),TEXT($D$2,"00"),TRUE,T28)</f>
        <v>20</v>
      </c>
      <c r="X28" s="2" t="str" cm="1">
        <f t="array" ref="X28">_xlfn.SWITCH(TRUE,OR(S28=TEXT($B$1,"00"),S28=TEXT($D$1,"00")),"00",AND(U28="00",K28&lt;&gt;"TERMINAL"),TEXT($F$2,"00"),TRUE,U28)</f>
        <v>30</v>
      </c>
      <c r="Y28" s="2" t="str">
        <f t="shared" si="3"/>
        <v>09</v>
      </c>
      <c r="Z28" s="2" t="str">
        <f t="shared" si="6"/>
        <v>FALSE</v>
      </c>
      <c r="AA28" s="2" t="str">
        <f t="shared" si="4"/>
        <v>002060</v>
      </c>
      <c r="AB28" s="2" t="str">
        <f t="shared" si="5"/>
        <v>002030</v>
      </c>
      <c r="AC28" s="2" t="str" cm="1">
        <f t="array" ref="AC28">TEXT($D28,"000")&amp;TEXT(IFERROR(INDEX($D$5:$D$103,_xlfn.AGGREGATE(15,6,ROW($E$5:$E$103)/(($E$5:$E$103&lt;&gt;"p")*($E$5:$E$103&lt;&gt;"t")*(ROW($E$5:$E$103)&gt;ROW($E28))),1)-ROW($E$5)+1),$D28),"000")</f>
        <v>087088</v>
      </c>
      <c r="AD28" s="2" t="str" cm="1">
        <f t="array" ref="AD28">TEXT(_xlfn.XLOOKUP(TRUE, AA29:AA$103&lt;&gt;"250000", AA29:AA$103, "未找到"),"000000")</f>
        <v>002700</v>
      </c>
      <c r="AE28" s="2" t="str" cm="1">
        <f t="array" ref="AE28">_xlfn.SWITCH(TRUE,J28&lt;&gt;"",TEXT(J28,"MMSS"),TRUE,IFERROR(TEXT(E29-F28,"MMSS"),"0000"))</f>
        <v>0630</v>
      </c>
    </row>
    <row r="29" spans="1:31">
      <c r="A29" s="2">
        <v>26</v>
      </c>
      <c r="B29" s="5" t="s">
        <v>27</v>
      </c>
      <c r="C29" s="5">
        <v>109904</v>
      </c>
      <c r="D29" s="5">
        <v>88</v>
      </c>
      <c r="E29" s="10">
        <v>0.39374999999999999</v>
      </c>
      <c r="F29" s="11" t="s">
        <v>33</v>
      </c>
      <c r="G29" s="5"/>
      <c r="H29" s="5">
        <v>45</v>
      </c>
      <c r="I29" s="5"/>
      <c r="J29" s="15"/>
      <c r="K29" s="2" t="str">
        <f t="shared" si="0"/>
        <v>terminal</v>
      </c>
      <c r="L29" s="2" t="str" cm="1">
        <f t="array" ref="L29">TEXT(_xlfn.SWITCH(TRUE,E29="P",$B$1,AND(E29="",K29&lt;&gt;"TERMINAL"),$D$1,TRUE,HOUR(E29)),"00")</f>
        <v>09</v>
      </c>
      <c r="M29" s="2" t="str" cm="1">
        <f t="array" ref="M29">TEXT(_xlfn.SWITCH(TRUE,E29="P","00",AND(E29="",K29&lt;&gt;"TERMINAL"),"00",TRUE,MINUTE(E29)),"00")</f>
        <v>27</v>
      </c>
      <c r="N29" s="2" t="str" cm="1">
        <f t="array" ref="N29">TEXT(_xlfn.SWITCH(TRUE,E29="P","00",AND(E29="",K29&lt;&gt;"TERMINAL"),"00",TRUE,SECOND(E29)),"00")</f>
        <v>00</v>
      </c>
      <c r="O29" s="2" t="str" cm="1">
        <f t="array" ref="O29">_xlfn.SWITCH(TRUE,AND(L29="00",K29&lt;&gt;"TERMINAL"),TEXT($B$2,"00"),L29=TEXT($B$1,"00"),TEXT($B$1,"00"),L29=TEXT($D$1,"00"),TEXT($D$1,"00"),TRUE,+L29)</f>
        <v>09</v>
      </c>
      <c r="P29" s="2" t="str" cm="1">
        <f t="array" ref="P29">_xlfn.SWITCH(TRUE,OR(L29=TEXT($B$1,"00"),L29=TEXT($D$1,"00")),"00",AND(M29="00",K29&lt;&gt;"TERMINAL"),TEXT($D$2,"00"),TRUE,M29)</f>
        <v>27</v>
      </c>
      <c r="Q29" s="2" t="str" cm="1">
        <f t="array" ref="Q29">_xlfn.SWITCH(TRUE,OR(L29=TEXT($B$1,"00"),L29=TEXT($D$1,"00")),"00",AND(N29="00",K29&lt;&gt;"TERMINAL"),TEXT($F$2,"00"),TRUE,N29)</f>
        <v>00</v>
      </c>
      <c r="R29" s="2" t="str">
        <f t="shared" si="1"/>
        <v>09</v>
      </c>
      <c r="S29" s="2" t="str" cm="1">
        <f t="array" ref="S29">_xlfn.SWITCH(TRUE,F29="T",TEXT($F$1,"00"),AND(F29="",K29&lt;&gt;"TERMINAL"),"00",TRUE,TEXT(HOUR(F29),"00"))</f>
        <v>27</v>
      </c>
      <c r="T29" s="2" t="str" cm="1">
        <f t="array" ref="T29">TEXT(_xlfn.SWITCH(TRUE,F29="T","00",AND(F29="",K29&lt;&gt;"TERMINAL"),"00",TRUE,MINUTE(F29)),"00")</f>
        <v>00</v>
      </c>
      <c r="U29" s="2" t="str" cm="1">
        <f t="array" ref="U29">TEXT(_xlfn.SWITCH(TRUE,F29="T","00",AND(F29="",K29&lt;&gt;"TERMINAL"),"00",TRUE,SECOND(F29)),"00")</f>
        <v>00</v>
      </c>
      <c r="V29" s="2" t="str">
        <f t="shared" si="2"/>
        <v>27</v>
      </c>
      <c r="W29" s="2" t="str" cm="1">
        <f t="array" ref="W29">_xlfn.SWITCH(TRUE,OR(S29=TEXT($B$1,"00"),S29=TEXT($D$1,"00")),"00",AND(T29="00",K29&lt;&gt;"TERMINAL"),TEXT($D$2,"00"),TRUE,T29)</f>
        <v>00</v>
      </c>
      <c r="X29" s="2" t="str" cm="1">
        <f t="array" ref="X29">_xlfn.SWITCH(TRUE,OR(S29=TEXT($B$1,"00"),S29=TEXT($D$1,"00")),"00",AND(U29="00",K29&lt;&gt;"TERMINAL"),TEXT($F$2,"00"),TRUE,U29)</f>
        <v>00</v>
      </c>
      <c r="Y29" s="2" t="str">
        <f t="shared" si="3"/>
        <v>09</v>
      </c>
      <c r="Z29" s="2" t="str">
        <f t="shared" si="6"/>
        <v>FALSE</v>
      </c>
      <c r="AA29" s="2" t="str">
        <f t="shared" si="4"/>
        <v>002700</v>
      </c>
      <c r="AB29" s="2" t="str">
        <f t="shared" si="5"/>
        <v>270000</v>
      </c>
      <c r="AC29" s="2" t="str" cm="1">
        <f t="array" ref="AC29">TEXT($D29,"000")&amp;TEXT(IFERROR(INDEX($D$5:$D$103,_xlfn.AGGREGATE(15,6,ROW($E$5:$E$103)/(($E$5:$E$103&lt;&gt;"p")*($E$5:$E$103&lt;&gt;"t")*(ROW($E$5:$E$103)&gt;ROW($E29))),1)-ROW($E$5)+1),$D29),"000")</f>
        <v>088000</v>
      </c>
      <c r="AD29" s="2" t="str" cm="1">
        <f t="array" ref="AD29">TEXT(_xlfn.XLOOKUP(TRUE, AA30:AA$103&lt;&gt;"250000", AA30:AA$103, "未找到"),"000000")</f>
        <v>000000</v>
      </c>
      <c r="AE29" s="2" t="str" cm="1">
        <f t="array" ref="AE29">_xlfn.SWITCH(TRUE,J29&lt;&gt;"",TEXT(J29,"MMSS"),TRUE,IFERROR(TEXT(E30-F29,"MMSS"),"0000"))</f>
        <v>0000</v>
      </c>
    </row>
    <row r="30" spans="1:31">
      <c r="A30" s="2">
        <v>27</v>
      </c>
      <c r="B30" s="5"/>
      <c r="C30" s="5"/>
      <c r="D30" s="5"/>
      <c r="E30" s="5"/>
      <c r="F30" s="5"/>
      <c r="G30" s="5"/>
      <c r="H30" s="5"/>
      <c r="I30" s="5"/>
      <c r="J30" s="5"/>
      <c r="K30" s="2" t="str">
        <f t="shared" si="0"/>
        <v>terminal</v>
      </c>
      <c r="L30" s="2" t="str" cm="1">
        <f t="array" ref="L30">TEXT(_xlfn.SWITCH(TRUE,E30="P",$B$1,AND(E30="",K30&lt;&gt;"TERMINAL"),$D$1,TRUE,HOUR(E30)),"00")</f>
        <v>00</v>
      </c>
      <c r="M30" s="2" t="str" cm="1">
        <f t="array" ref="M30">TEXT(_xlfn.SWITCH(TRUE,E30="P","00",AND(E30="",K30&lt;&gt;"TERMINAL"),"00",TRUE,MINUTE(E30)),"00")</f>
        <v>00</v>
      </c>
      <c r="N30" s="2" t="str" cm="1">
        <f t="array" ref="N30">TEXT(_xlfn.SWITCH(TRUE,E30="P","00",AND(E30="",K30&lt;&gt;"TERMINAL"),"00",TRUE,SECOND(E30)),"00")</f>
        <v>00</v>
      </c>
      <c r="O30" s="2" t="str" cm="1">
        <f t="array" ref="O30">_xlfn.SWITCH(TRUE,AND(L30="00",K30&lt;&gt;"TERMINAL"),TEXT($B$2,"00"),L30=TEXT($B$1,"00"),TEXT($B$1,"00"),L30=TEXT($D$1,"00"),TEXT($D$1,"00"),TRUE,+L30)</f>
        <v>00</v>
      </c>
      <c r="P30" s="2" t="str" cm="1">
        <f t="array" ref="P30">_xlfn.SWITCH(TRUE,OR(L30=TEXT($B$1,"00"),L30=TEXT($D$1,"00")),"00",AND(M30="00",K30&lt;&gt;"TERMINAL"),TEXT($D$2,"00"),TRUE,M30)</f>
        <v>00</v>
      </c>
      <c r="Q30" s="2" t="str" cm="1">
        <f t="array" ref="Q30">_xlfn.SWITCH(TRUE,OR(L30=TEXT($B$1,"00"),L30=TEXT($D$1,"00")),"00",AND(N30="00",K30&lt;&gt;"TERMINAL"),TEXT($F$2,"00"),TRUE,N30)</f>
        <v>00</v>
      </c>
      <c r="R30" s="2" t="str">
        <f t="shared" si="1"/>
        <v>00</v>
      </c>
      <c r="S30" s="2" t="str" cm="1">
        <f t="array" ref="S30">_xlfn.SWITCH(TRUE,F30="T",TEXT($F$1,"00"),AND(F30="",K30&lt;&gt;"TERMINAL"),"00",TRUE,TEXT(HOUR(F30),"00"))</f>
        <v>00</v>
      </c>
      <c r="T30" s="2" t="str" cm="1">
        <f t="array" ref="T30">TEXT(_xlfn.SWITCH(TRUE,F30="T","00",AND(F30="",K30&lt;&gt;"TERMINAL"),"00",TRUE,MINUTE(F30)),"00")</f>
        <v>00</v>
      </c>
      <c r="U30" s="2" t="str" cm="1">
        <f t="array" ref="U30">TEXT(_xlfn.SWITCH(TRUE,F30="T","00",AND(F30="",K30&lt;&gt;"TERMINAL"),"00",TRUE,SECOND(F30)),"00")</f>
        <v>00</v>
      </c>
      <c r="V30" s="2" t="str">
        <f t="shared" si="2"/>
        <v>00</v>
      </c>
      <c r="W30" s="2" t="str" cm="1">
        <f t="array" ref="W30">_xlfn.SWITCH(TRUE,OR(S30=TEXT($B$1,"00"),S30=TEXT($D$1,"00")),"00",AND(T30="00",K30&lt;&gt;"TERMINAL"),TEXT($D$2,"00"),TRUE,T30)</f>
        <v>00</v>
      </c>
      <c r="X30" s="2" t="str" cm="1">
        <f t="array" ref="X30">_xlfn.SWITCH(TRUE,OR(S30=TEXT($B$1,"00"),S30=TEXT($D$1,"00")),"00",AND(U30="00",K30&lt;&gt;"TERMINAL"),TEXT($F$2,"00"),TRUE,U30)</f>
        <v>00</v>
      </c>
      <c r="Y30" s="2" t="str">
        <f t="shared" si="3"/>
        <v>00</v>
      </c>
      <c r="Z30" s="2" t="str">
        <f t="shared" si="6"/>
        <v>FALSE</v>
      </c>
      <c r="AA30" s="2" t="str">
        <f t="shared" si="4"/>
        <v>000000</v>
      </c>
      <c r="AB30" s="2" t="str">
        <f t="shared" si="5"/>
        <v>000000</v>
      </c>
      <c r="AC30" s="2" t="str" cm="1">
        <f t="array" ref="AC30">TEXT($D30,"000")&amp;TEXT(IFERROR(INDEX($D$5:$D$103,_xlfn.AGGREGATE(15,6,ROW($E$5:$E$103)/(($E$5:$E$103&lt;&gt;"p")*($E$5:$E$103&lt;&gt;"t")*(ROW($E$5:$E$103)&gt;ROW($E30))),1)-ROW($E$5)+1),$D30),"000")</f>
        <v>000000</v>
      </c>
      <c r="AD30" s="2" t="str" cm="1">
        <f t="array" ref="AD30">TEXT(_xlfn.XLOOKUP(TRUE, AA31:AA$103&lt;&gt;"250000", AA31:AA$103, "未找到"),"000000")</f>
        <v>000000</v>
      </c>
      <c r="AE30" s="2" t="str" cm="1">
        <f t="array" ref="AE30">_xlfn.SWITCH(TRUE,J30&lt;&gt;"",TEXT(J30,"MMSS"),TRUE,IFERROR(TEXT(E31-F30,"MMSS"),"0000"))</f>
        <v>0000</v>
      </c>
    </row>
    <row r="31" spans="1:31">
      <c r="A31" s="2">
        <v>28</v>
      </c>
      <c r="B31" s="5"/>
      <c r="C31" s="5"/>
      <c r="D31" s="5"/>
      <c r="E31" s="5"/>
      <c r="F31" s="5"/>
      <c r="G31" s="5"/>
      <c r="H31" s="5"/>
      <c r="I31" s="5"/>
      <c r="J31" s="5"/>
      <c r="K31" s="2" t="str">
        <f t="shared" si="0"/>
        <v>terminal</v>
      </c>
      <c r="L31" s="2" t="str" cm="1">
        <f t="array" ref="L31">TEXT(_xlfn.SWITCH(TRUE,E31="P",$B$1,AND(E31="",K31&lt;&gt;"TERMINAL"),$D$1,TRUE,HOUR(E31)),"00")</f>
        <v>00</v>
      </c>
      <c r="M31" s="2" t="str" cm="1">
        <f t="array" ref="M31">TEXT(_xlfn.SWITCH(TRUE,E31="P","00",AND(E31="",K31&lt;&gt;"TERMINAL"),"00",TRUE,MINUTE(E31)),"00")</f>
        <v>00</v>
      </c>
      <c r="N31" s="2" t="str" cm="1">
        <f t="array" ref="N31">TEXT(_xlfn.SWITCH(TRUE,E31="P","00",AND(E31="",K31&lt;&gt;"TERMINAL"),"00",TRUE,SECOND(E31)),"00")</f>
        <v>00</v>
      </c>
      <c r="O31" s="2" t="str" cm="1">
        <f t="array" ref="O31">_xlfn.SWITCH(TRUE,AND(L31="00",K31&lt;&gt;"TERMINAL"),TEXT($B$2,"00"),L31=TEXT($B$1,"00"),TEXT($B$1,"00"),L31=TEXT($D$1,"00"),TEXT($D$1,"00"),TRUE,+L31)</f>
        <v>00</v>
      </c>
      <c r="P31" s="2" t="str" cm="1">
        <f t="array" ref="P31">_xlfn.SWITCH(TRUE,OR(L31=TEXT($B$1,"00"),L31=TEXT($D$1,"00")),"00",AND(M31="00",K31&lt;&gt;"TERMINAL"),TEXT($D$2,"00"),TRUE,M31)</f>
        <v>00</v>
      </c>
      <c r="Q31" s="2" t="str" cm="1">
        <f t="array" ref="Q31">_xlfn.SWITCH(TRUE,OR(L31=TEXT($B$1,"00"),L31=TEXT($D$1,"00")),"00",AND(N31="00",K31&lt;&gt;"TERMINAL"),TEXT($F$2,"00"),TRUE,N31)</f>
        <v>00</v>
      </c>
      <c r="R31" s="2" t="str">
        <f t="shared" si="1"/>
        <v>00</v>
      </c>
      <c r="S31" s="2" t="str" cm="1">
        <f t="array" ref="S31">_xlfn.SWITCH(TRUE,F31="T",TEXT($F$1,"00"),AND(F31="",K31&lt;&gt;"TERMINAL"),"00",TRUE,TEXT(HOUR(F31),"00"))</f>
        <v>00</v>
      </c>
      <c r="T31" s="2" t="str" cm="1">
        <f t="array" ref="T31">TEXT(_xlfn.SWITCH(TRUE,F31="T","00",AND(F31="",K31&lt;&gt;"TERMINAL"),"00",TRUE,MINUTE(F31)),"00")</f>
        <v>00</v>
      </c>
      <c r="U31" s="2" t="str" cm="1">
        <f t="array" ref="U31">TEXT(_xlfn.SWITCH(TRUE,F31="T","00",AND(F31="",K31&lt;&gt;"TERMINAL"),"00",TRUE,SECOND(F31)),"00")</f>
        <v>00</v>
      </c>
      <c r="V31" s="2" t="str">
        <f t="shared" si="2"/>
        <v>00</v>
      </c>
      <c r="W31" s="2" t="str" cm="1">
        <f t="array" ref="W31">_xlfn.SWITCH(TRUE,OR(S31=TEXT($B$1,"00"),S31=TEXT($D$1,"00")),"00",AND(T31="00",K31&lt;&gt;"TERMINAL"),TEXT($D$2,"00"),TRUE,T31)</f>
        <v>00</v>
      </c>
      <c r="X31" s="2" t="str" cm="1">
        <f t="array" ref="X31">_xlfn.SWITCH(TRUE,OR(S31=TEXT($B$1,"00"),S31=TEXT($D$1,"00")),"00",AND(U31="00",K31&lt;&gt;"TERMINAL"),TEXT($F$2,"00"),TRUE,U31)</f>
        <v>00</v>
      </c>
      <c r="Y31" s="2" t="str">
        <f t="shared" si="3"/>
        <v>00</v>
      </c>
      <c r="Z31" s="2" t="str">
        <f t="shared" si="6"/>
        <v>FALSE</v>
      </c>
      <c r="AA31" s="2" t="str">
        <f t="shared" si="4"/>
        <v>000000</v>
      </c>
      <c r="AB31" s="2" t="str">
        <f t="shared" si="5"/>
        <v>000000</v>
      </c>
      <c r="AC31" s="2" t="str" cm="1">
        <f t="array" ref="AC31">TEXT($D31,"000")&amp;TEXT(IFERROR(INDEX($D$5:$D$103,_xlfn.AGGREGATE(15,6,ROW($E$5:$E$103)/(($E$5:$E$103&lt;&gt;"p")*($E$5:$E$103&lt;&gt;"t")*(ROW($E$5:$E$103)&gt;ROW($E31))),1)-ROW($E$5)+1),$D31),"000")</f>
        <v>000000</v>
      </c>
      <c r="AD31" s="2" t="str" cm="1">
        <f t="array" ref="AD31">TEXT(_xlfn.XLOOKUP(TRUE, AA32:AA$103&lt;&gt;"250000", AA32:AA$103, "未找到"),"000000")</f>
        <v>000000</v>
      </c>
      <c r="AE31" s="2" t="str" cm="1">
        <f t="array" ref="AE31">_xlfn.SWITCH(TRUE,J31&lt;&gt;"",TEXT(J31,"MMSS"),TRUE,IFERROR(TEXT(E32-F31,"MMSS"),"0000"))</f>
        <v>0000</v>
      </c>
    </row>
    <row r="32" spans="1:31">
      <c r="A32" s="2">
        <v>29</v>
      </c>
      <c r="B32" s="5"/>
      <c r="C32" s="5"/>
      <c r="D32" s="5"/>
      <c r="E32" s="5"/>
      <c r="F32" s="5"/>
      <c r="G32" s="5"/>
      <c r="H32" s="5"/>
      <c r="I32" s="5"/>
      <c r="J32" s="5"/>
      <c r="K32" s="2" t="str">
        <f t="shared" si="0"/>
        <v>terminal</v>
      </c>
      <c r="L32" s="2" t="str" cm="1">
        <f t="array" ref="L32">TEXT(_xlfn.SWITCH(TRUE,E32="P",$B$1,AND(E32="",K32&lt;&gt;"TERMINAL"),$D$1,TRUE,HOUR(E32)),"00")</f>
        <v>00</v>
      </c>
      <c r="M32" s="2" t="str" cm="1">
        <f t="array" ref="M32">TEXT(_xlfn.SWITCH(TRUE,E32="P","00",AND(E32="",K32&lt;&gt;"TERMINAL"),"00",TRUE,MINUTE(E32)),"00")</f>
        <v>00</v>
      </c>
      <c r="N32" s="2" t="str" cm="1">
        <f t="array" ref="N32">TEXT(_xlfn.SWITCH(TRUE,E32="P","00",AND(E32="",K32&lt;&gt;"TERMINAL"),"00",TRUE,SECOND(E32)),"00")</f>
        <v>00</v>
      </c>
      <c r="O32" s="2" t="str" cm="1">
        <f t="array" ref="O32">_xlfn.SWITCH(TRUE,AND(L32="00",K32&lt;&gt;"TERMINAL"),TEXT($B$2,"00"),L32=TEXT($B$1,"00"),TEXT($B$1,"00"),L32=TEXT($D$1,"00"),TEXT($D$1,"00"),TRUE,+L32)</f>
        <v>00</v>
      </c>
      <c r="P32" s="2" t="str" cm="1">
        <f t="array" ref="P32">_xlfn.SWITCH(TRUE,OR(L32=TEXT($B$1,"00"),L32=TEXT($D$1,"00")),"00",AND(M32="00",K32&lt;&gt;"TERMINAL"),TEXT($D$2,"00"),TRUE,M32)</f>
        <v>00</v>
      </c>
      <c r="Q32" s="2" t="str" cm="1">
        <f t="array" ref="Q32">_xlfn.SWITCH(TRUE,OR(L32=TEXT($B$1,"00"),L32=TEXT($D$1,"00")),"00",AND(N32="00",K32&lt;&gt;"TERMINAL"),TEXT($F$2,"00"),TRUE,N32)</f>
        <v>00</v>
      </c>
      <c r="R32" s="2" t="str">
        <f t="shared" si="1"/>
        <v>00</v>
      </c>
      <c r="S32" s="2" t="str" cm="1">
        <f t="array" ref="S32">_xlfn.SWITCH(TRUE,F32="T",TEXT($F$1,"00"),AND(F32="",K32&lt;&gt;"TERMINAL"),"00",TRUE,TEXT(HOUR(F32),"00"))</f>
        <v>00</v>
      </c>
      <c r="T32" s="2" t="str" cm="1">
        <f t="array" ref="T32">TEXT(_xlfn.SWITCH(TRUE,F32="T","00",AND(F32="",K32&lt;&gt;"TERMINAL"),"00",TRUE,MINUTE(F32)),"00")</f>
        <v>00</v>
      </c>
      <c r="U32" s="2" t="str" cm="1">
        <f t="array" ref="U32">TEXT(_xlfn.SWITCH(TRUE,F32="T","00",AND(F32="",K32&lt;&gt;"TERMINAL"),"00",TRUE,SECOND(F32)),"00")</f>
        <v>00</v>
      </c>
      <c r="V32" s="2" t="str">
        <f t="shared" si="2"/>
        <v>00</v>
      </c>
      <c r="W32" s="2" t="str" cm="1">
        <f t="array" ref="W32">_xlfn.SWITCH(TRUE,OR(S32=TEXT($B$1,"00"),S32=TEXT($D$1,"00")),"00",AND(T32="00",K32&lt;&gt;"TERMINAL"),TEXT($D$2,"00"),TRUE,T32)</f>
        <v>00</v>
      </c>
      <c r="X32" s="2" t="str" cm="1">
        <f t="array" ref="X32">_xlfn.SWITCH(TRUE,OR(S32=TEXT($B$1,"00"),S32=TEXT($D$1,"00")),"00",AND(U32="00",K32&lt;&gt;"TERMINAL"),TEXT($F$2,"00"),TRUE,U32)</f>
        <v>00</v>
      </c>
      <c r="Y32" s="2" t="str">
        <f t="shared" si="3"/>
        <v>00</v>
      </c>
      <c r="Z32" s="2" t="str">
        <f t="shared" si="6"/>
        <v>FALSE</v>
      </c>
      <c r="AA32" s="2" t="str">
        <f t="shared" si="4"/>
        <v>000000</v>
      </c>
      <c r="AB32" s="2" t="str">
        <f t="shared" si="5"/>
        <v>000000</v>
      </c>
      <c r="AC32" s="2" t="str" cm="1">
        <f t="array" ref="AC32">TEXT($D32,"000")&amp;TEXT(IFERROR(INDEX($D$5:$D$103,_xlfn.AGGREGATE(15,6,ROW($E$5:$E$103)/(($E$5:$E$103&lt;&gt;"p")*($E$5:$E$103&lt;&gt;"t")*(ROW($E$5:$E$103)&gt;ROW($E32))),1)-ROW($E$5)+1),$D32),"000")</f>
        <v>000000</v>
      </c>
      <c r="AD32" s="2" t="str" cm="1">
        <f t="array" ref="AD32">TEXT(_xlfn.XLOOKUP(TRUE, AA33:AA$103&lt;&gt;"250000", AA33:AA$103, "未找到"),"000000")</f>
        <v>000000</v>
      </c>
      <c r="AE32" s="2" t="str" cm="1">
        <f t="array" ref="AE32">_xlfn.SWITCH(TRUE,J32&lt;&gt;"",TEXT(J32,"MMSS"),TRUE,IFERROR(TEXT(E33-F32,"MMSS"),"0000"))</f>
        <v>0000</v>
      </c>
    </row>
    <row r="33" spans="1:31">
      <c r="A33" s="2">
        <v>30</v>
      </c>
      <c r="B33" s="5"/>
      <c r="C33" s="5"/>
      <c r="D33" s="5"/>
      <c r="E33" s="5"/>
      <c r="F33" s="5"/>
      <c r="G33" s="5"/>
      <c r="H33" s="5"/>
      <c r="I33" s="5"/>
      <c r="J33" s="5"/>
      <c r="K33" s="2" t="str">
        <f t="shared" si="0"/>
        <v>terminal</v>
      </c>
      <c r="L33" s="2" t="str" cm="1">
        <f t="array" ref="L33">TEXT(_xlfn.SWITCH(TRUE,E33="P",$B$1,AND(E33="",K33&lt;&gt;"TERMINAL"),$D$1,TRUE,HOUR(E33)),"00")</f>
        <v>00</v>
      </c>
      <c r="M33" s="2" t="str" cm="1">
        <f t="array" ref="M33">TEXT(_xlfn.SWITCH(TRUE,E33="P","00",AND(E33="",K33&lt;&gt;"TERMINAL"),"00",TRUE,MINUTE(E33)),"00")</f>
        <v>00</v>
      </c>
      <c r="N33" s="2" t="str" cm="1">
        <f t="array" ref="N33">TEXT(_xlfn.SWITCH(TRUE,E33="P","00",AND(E33="",K33&lt;&gt;"TERMINAL"),"00",TRUE,SECOND(E33)),"00")</f>
        <v>00</v>
      </c>
      <c r="O33" s="2" t="str" cm="1">
        <f t="array" ref="O33">_xlfn.SWITCH(TRUE,AND(L33="00",K33&lt;&gt;"TERMINAL"),TEXT($B$2,"00"),L33=TEXT($B$1,"00"),TEXT($B$1,"00"),L33=TEXT($D$1,"00"),TEXT($D$1,"00"),TRUE,+L33)</f>
        <v>00</v>
      </c>
      <c r="P33" s="2" t="str" cm="1">
        <f t="array" ref="P33">_xlfn.SWITCH(TRUE,OR(L33=TEXT($B$1,"00"),L33=TEXT($D$1,"00")),"00",AND(M33="00",K33&lt;&gt;"TERMINAL"),TEXT($D$2,"00"),TRUE,M33)</f>
        <v>00</v>
      </c>
      <c r="Q33" s="2" t="str" cm="1">
        <f t="array" ref="Q33">_xlfn.SWITCH(TRUE,OR(L33=TEXT($B$1,"00"),L33=TEXT($D$1,"00")),"00",AND(N33="00",K33&lt;&gt;"TERMINAL"),TEXT($F$2,"00"),TRUE,N33)</f>
        <v>00</v>
      </c>
      <c r="R33" s="2" t="str">
        <f t="shared" si="1"/>
        <v>00</v>
      </c>
      <c r="S33" s="2" t="str" cm="1">
        <f t="array" ref="S33">_xlfn.SWITCH(TRUE,F33="T",TEXT($F$1,"00"),AND(F33="",K33&lt;&gt;"TERMINAL"),"00",TRUE,TEXT(HOUR(F33),"00"))</f>
        <v>00</v>
      </c>
      <c r="T33" s="2" t="str" cm="1">
        <f t="array" ref="T33">TEXT(_xlfn.SWITCH(TRUE,F33="T","00",AND(F33="",K33&lt;&gt;"TERMINAL"),"00",TRUE,MINUTE(F33)),"00")</f>
        <v>00</v>
      </c>
      <c r="U33" s="2" t="str" cm="1">
        <f t="array" ref="U33">TEXT(_xlfn.SWITCH(TRUE,F33="T","00",AND(F33="",K33&lt;&gt;"TERMINAL"),"00",TRUE,SECOND(F33)),"00")</f>
        <v>00</v>
      </c>
      <c r="V33" s="2" t="str">
        <f t="shared" si="2"/>
        <v>00</v>
      </c>
      <c r="W33" s="2" t="str" cm="1">
        <f t="array" ref="W33">_xlfn.SWITCH(TRUE,OR(S33=TEXT($B$1,"00"),S33=TEXT($D$1,"00")),"00",AND(T33="00",K33&lt;&gt;"TERMINAL"),TEXT($D$2,"00"),TRUE,T33)</f>
        <v>00</v>
      </c>
      <c r="X33" s="2" t="str" cm="1">
        <f t="array" ref="X33">_xlfn.SWITCH(TRUE,OR(S33=TEXT($B$1,"00"),S33=TEXT($D$1,"00")),"00",AND(U33="00",K33&lt;&gt;"TERMINAL"),TEXT($F$2,"00"),TRUE,U33)</f>
        <v>00</v>
      </c>
      <c r="Y33" s="2" t="str">
        <f t="shared" si="3"/>
        <v>00</v>
      </c>
      <c r="Z33" s="2" t="str">
        <f t="shared" si="6"/>
        <v>FALSE</v>
      </c>
      <c r="AA33" s="2" t="str">
        <f t="shared" si="4"/>
        <v>000000</v>
      </c>
      <c r="AB33" s="2" t="str">
        <f t="shared" si="5"/>
        <v>000000</v>
      </c>
      <c r="AC33" s="2" t="str" cm="1">
        <f t="array" ref="AC33">TEXT($D33,"000")&amp;TEXT(IFERROR(INDEX($D$5:$D$103,_xlfn.AGGREGATE(15,6,ROW($E$5:$E$103)/(($E$5:$E$103&lt;&gt;"p")*($E$5:$E$103&lt;&gt;"t")*(ROW($E$5:$E$103)&gt;ROW($E33))),1)-ROW($E$5)+1),$D33),"000")</f>
        <v>000000</v>
      </c>
      <c r="AD33" s="2" t="str" cm="1">
        <f t="array" ref="AD33">TEXT(_xlfn.XLOOKUP(TRUE, AA34:AA$103&lt;&gt;"250000", AA34:AA$103, "未找到"),"000000")</f>
        <v>000000</v>
      </c>
      <c r="AE33" s="2" t="str" cm="1">
        <f t="array" ref="AE33">_xlfn.SWITCH(TRUE,J33&lt;&gt;"",TEXT(J33,"MMSS"),TRUE,IFERROR(TEXT(E34-F33,"MMSS"),"0000"))</f>
        <v>0000</v>
      </c>
    </row>
    <row r="34" spans="1:31">
      <c r="A34" s="2">
        <v>31</v>
      </c>
      <c r="B34" s="5"/>
      <c r="C34" s="5"/>
      <c r="D34" s="5"/>
      <c r="E34" s="5"/>
      <c r="F34" s="5"/>
      <c r="G34" s="5"/>
      <c r="H34" s="5"/>
      <c r="I34" s="5"/>
      <c r="J34" s="5"/>
      <c r="K34" s="2" t="str">
        <f t="shared" si="0"/>
        <v>terminal</v>
      </c>
      <c r="L34" s="2" t="str" cm="1">
        <f t="array" ref="L34">TEXT(_xlfn.SWITCH(TRUE,E34="P",$B$1,AND(E34="",K34&lt;&gt;"TERMINAL"),$D$1,TRUE,HOUR(E34)),"00")</f>
        <v>00</v>
      </c>
      <c r="M34" s="2" t="str" cm="1">
        <f t="array" ref="M34">TEXT(_xlfn.SWITCH(TRUE,E34="P","00",AND(E34="",K34&lt;&gt;"TERMINAL"),"00",TRUE,MINUTE(E34)),"00")</f>
        <v>00</v>
      </c>
      <c r="N34" s="2" t="str" cm="1">
        <f t="array" ref="N34">TEXT(_xlfn.SWITCH(TRUE,E34="P","00",AND(E34="",K34&lt;&gt;"TERMINAL"),"00",TRUE,SECOND(E34)),"00")</f>
        <v>00</v>
      </c>
      <c r="O34" s="2" t="str" cm="1">
        <f t="array" ref="O34">_xlfn.SWITCH(TRUE,AND(L34="00",K34&lt;&gt;"TERMINAL"),TEXT($B$2,"00"),L34=TEXT($B$1,"00"),TEXT($B$1,"00"),L34=TEXT($D$1,"00"),TEXT($D$1,"00"),TRUE,+L34)</f>
        <v>00</v>
      </c>
      <c r="P34" s="2" t="str" cm="1">
        <f t="array" ref="P34">_xlfn.SWITCH(TRUE,OR(L34=TEXT($B$1,"00"),L34=TEXT($D$1,"00")),"00",AND(M34="00",K34&lt;&gt;"TERMINAL"),TEXT($D$2,"00"),TRUE,M34)</f>
        <v>00</v>
      </c>
      <c r="Q34" s="2" t="str" cm="1">
        <f t="array" ref="Q34">_xlfn.SWITCH(TRUE,OR(L34=TEXT($B$1,"00"),L34=TEXT($D$1,"00")),"00",AND(N34="00",K34&lt;&gt;"TERMINAL"),TEXT($F$2,"00"),TRUE,N34)</f>
        <v>00</v>
      </c>
      <c r="R34" s="2" t="str">
        <f t="shared" si="1"/>
        <v>00</v>
      </c>
      <c r="S34" s="2" t="str" cm="1">
        <f t="array" ref="S34">_xlfn.SWITCH(TRUE,F34="T",TEXT($F$1,"00"),AND(F34="",K34&lt;&gt;"TERMINAL"),"00",TRUE,TEXT(HOUR(F34),"00"))</f>
        <v>00</v>
      </c>
      <c r="T34" s="2" t="str" cm="1">
        <f t="array" ref="T34">TEXT(_xlfn.SWITCH(TRUE,F34="T","00",AND(F34="",K34&lt;&gt;"TERMINAL"),"00",TRUE,MINUTE(F34)),"00")</f>
        <v>00</v>
      </c>
      <c r="U34" s="2" t="str" cm="1">
        <f t="array" ref="U34">TEXT(_xlfn.SWITCH(TRUE,F34="T","00",AND(F34="",K34&lt;&gt;"TERMINAL"),"00",TRUE,SECOND(F34)),"00")</f>
        <v>00</v>
      </c>
      <c r="V34" s="2" t="str">
        <f t="shared" si="2"/>
        <v>00</v>
      </c>
      <c r="W34" s="2" t="str" cm="1">
        <f t="array" ref="W34">_xlfn.SWITCH(TRUE,OR(S34=TEXT($B$1,"00"),S34=TEXT($D$1,"00")),"00",AND(T34="00",K34&lt;&gt;"TERMINAL"),TEXT($D$2,"00"),TRUE,T34)</f>
        <v>00</v>
      </c>
      <c r="X34" s="2" t="str" cm="1">
        <f t="array" ref="X34">_xlfn.SWITCH(TRUE,OR(S34=TEXT($B$1,"00"),S34=TEXT($D$1,"00")),"00",AND(U34="00",K34&lt;&gt;"TERMINAL"),TEXT($F$2,"00"),TRUE,U34)</f>
        <v>00</v>
      </c>
      <c r="Y34" s="2" t="str">
        <f t="shared" si="3"/>
        <v>00</v>
      </c>
      <c r="Z34" s="2" t="str">
        <f t="shared" si="6"/>
        <v>FALSE</v>
      </c>
      <c r="AA34" s="2" t="str">
        <f t="shared" si="4"/>
        <v>000000</v>
      </c>
      <c r="AB34" s="2" t="str">
        <f t="shared" si="5"/>
        <v>000000</v>
      </c>
      <c r="AC34" s="2" t="str" cm="1">
        <f t="array" ref="AC34">TEXT($D34,"000")&amp;TEXT(IFERROR(INDEX($D$5:$D$103,_xlfn.AGGREGATE(15,6,ROW($E$5:$E$103)/(($E$5:$E$103&lt;&gt;"p")*($E$5:$E$103&lt;&gt;"t")*(ROW($E$5:$E$103)&gt;ROW($E34))),1)-ROW($E$5)+1),$D34),"000")</f>
        <v>000000</v>
      </c>
      <c r="AD34" s="2" t="str" cm="1">
        <f t="array" ref="AD34">TEXT(_xlfn.XLOOKUP(TRUE, AA35:AA$103&lt;&gt;"250000", AA35:AA$103, "未找到"),"000000")</f>
        <v>000000</v>
      </c>
      <c r="AE34" s="2" t="str" cm="1">
        <f t="array" ref="AE34">_xlfn.SWITCH(TRUE,J34&lt;&gt;"",TEXT(J34,"MMSS"),TRUE,IFERROR(TEXT(E35-F34,"MMSS"),"0000"))</f>
        <v>0000</v>
      </c>
    </row>
    <row r="35" spans="1:31">
      <c r="A35" s="2">
        <v>32</v>
      </c>
      <c r="B35" s="5"/>
      <c r="C35" s="5"/>
      <c r="D35" s="5"/>
      <c r="E35" s="5"/>
      <c r="F35" s="5"/>
      <c r="G35" s="5"/>
      <c r="H35" s="5"/>
      <c r="I35" s="5"/>
      <c r="J35" s="5"/>
      <c r="K35" s="2" t="str">
        <f t="shared" si="0"/>
        <v>terminal</v>
      </c>
      <c r="L35" s="2" t="str" cm="1">
        <f t="array" ref="L35">TEXT(_xlfn.SWITCH(TRUE,E35="P",$B$1,AND(E35="",K35&lt;&gt;"TERMINAL"),$D$1,TRUE,HOUR(E35)),"00")</f>
        <v>00</v>
      </c>
      <c r="M35" s="2" t="str" cm="1">
        <f t="array" ref="M35">TEXT(_xlfn.SWITCH(TRUE,E35="P","00",AND(E35="",K35&lt;&gt;"TERMINAL"),"00",TRUE,MINUTE(E35)),"00")</f>
        <v>00</v>
      </c>
      <c r="N35" s="2" t="str" cm="1">
        <f t="array" ref="N35">TEXT(_xlfn.SWITCH(TRUE,E35="P","00",AND(E35="",K35&lt;&gt;"TERMINAL"),"00",TRUE,SECOND(E35)),"00")</f>
        <v>00</v>
      </c>
      <c r="O35" s="2" t="str" cm="1">
        <f t="array" ref="O35">_xlfn.SWITCH(TRUE,AND(L35="00",K35&lt;&gt;"TERMINAL"),TEXT($B$2,"00"),L35=TEXT($B$1,"00"),TEXT($B$1,"00"),L35=TEXT($D$1,"00"),TEXT($D$1,"00"),TRUE,+L35)</f>
        <v>00</v>
      </c>
      <c r="P35" s="2" t="str" cm="1">
        <f t="array" ref="P35">_xlfn.SWITCH(TRUE,OR(L35=TEXT($B$1,"00"),L35=TEXT($D$1,"00")),"00",AND(M35="00",K35&lt;&gt;"TERMINAL"),TEXT($D$2,"00"),TRUE,M35)</f>
        <v>00</v>
      </c>
      <c r="Q35" s="2" t="str" cm="1">
        <f t="array" ref="Q35">_xlfn.SWITCH(TRUE,OR(L35=TEXT($B$1,"00"),L35=TEXT($D$1,"00")),"00",AND(N35="00",K35&lt;&gt;"TERMINAL"),TEXT($F$2,"00"),TRUE,N35)</f>
        <v>00</v>
      </c>
      <c r="R35" s="2" t="str">
        <f t="shared" si="1"/>
        <v>00</v>
      </c>
      <c r="S35" s="2" t="str" cm="1">
        <f t="array" ref="S35">_xlfn.SWITCH(TRUE,F35="T",TEXT($F$1,"00"),AND(F35="",K35&lt;&gt;"TERMINAL"),"00",TRUE,TEXT(HOUR(F35),"00"))</f>
        <v>00</v>
      </c>
      <c r="T35" s="2" t="str" cm="1">
        <f t="array" ref="T35">TEXT(_xlfn.SWITCH(TRUE,F35="T","00",AND(F35="",K35&lt;&gt;"TERMINAL"),"00",TRUE,MINUTE(F35)),"00")</f>
        <v>00</v>
      </c>
      <c r="U35" s="2" t="str" cm="1">
        <f t="array" ref="U35">TEXT(_xlfn.SWITCH(TRUE,F35="T","00",AND(F35="",K35&lt;&gt;"TERMINAL"),"00",TRUE,SECOND(F35)),"00")</f>
        <v>00</v>
      </c>
      <c r="V35" s="2" t="str">
        <f t="shared" si="2"/>
        <v>00</v>
      </c>
      <c r="W35" s="2" t="str" cm="1">
        <f t="array" ref="W35">_xlfn.SWITCH(TRUE,OR(S35=TEXT($B$1,"00"),S35=TEXT($D$1,"00")),"00",AND(T35="00",K35&lt;&gt;"TERMINAL"),TEXT($D$2,"00"),TRUE,T35)</f>
        <v>00</v>
      </c>
      <c r="X35" s="2" t="str" cm="1">
        <f t="array" ref="X35">_xlfn.SWITCH(TRUE,OR(S35=TEXT($B$1,"00"),S35=TEXT($D$1,"00")),"00",AND(U35="00",K35&lt;&gt;"TERMINAL"),TEXT($F$2,"00"),TRUE,U35)</f>
        <v>00</v>
      </c>
      <c r="Y35" s="2" t="str">
        <f t="shared" si="3"/>
        <v>00</v>
      </c>
      <c r="Z35" s="2" t="str">
        <f t="shared" si="6"/>
        <v>FALSE</v>
      </c>
      <c r="AA35" s="2" t="str">
        <f t="shared" si="4"/>
        <v>000000</v>
      </c>
      <c r="AB35" s="2" t="str">
        <f t="shared" si="5"/>
        <v>000000</v>
      </c>
      <c r="AC35" s="2" t="str" cm="1">
        <f t="array" ref="AC35">TEXT($D35,"000")&amp;TEXT(IFERROR(INDEX($D$5:$D$103,_xlfn.AGGREGATE(15,6,ROW($E$5:$E$103)/(($E$5:$E$103&lt;&gt;"p")*($E$5:$E$103&lt;&gt;"t")*(ROW($E$5:$E$103)&gt;ROW($E35))),1)-ROW($E$5)+1),$D35),"000")</f>
        <v>000000</v>
      </c>
      <c r="AD35" s="2" t="str" cm="1">
        <f t="array" ref="AD35">TEXT(_xlfn.XLOOKUP(TRUE, AA36:AA$103&lt;&gt;"250000", AA36:AA$103, "未找到"),"000000")</f>
        <v>000000</v>
      </c>
      <c r="AE35" s="2" t="str" cm="1">
        <f t="array" ref="AE35">_xlfn.SWITCH(TRUE,J35&lt;&gt;"",TEXT(J35,"MMSS"),TRUE,IFERROR(TEXT(E36-F35,"MMSS"),"0000"))</f>
        <v>0000</v>
      </c>
    </row>
    <row r="36" spans="1:31">
      <c r="A36" s="2">
        <v>33</v>
      </c>
      <c r="B36" s="5"/>
      <c r="C36" s="5"/>
      <c r="D36" s="5"/>
      <c r="E36" s="5"/>
      <c r="F36" s="5"/>
      <c r="G36" s="5"/>
      <c r="H36" s="5"/>
      <c r="I36" s="5"/>
      <c r="J36" s="5"/>
      <c r="K36" s="2" t="str">
        <f t="shared" si="0"/>
        <v>terminal</v>
      </c>
      <c r="L36" s="2" t="str" cm="1">
        <f t="array" ref="L36">TEXT(_xlfn.SWITCH(TRUE,E36="P",$B$1,AND(E36="",K36&lt;&gt;"TERMINAL"),$D$1,TRUE,HOUR(E36)),"00")</f>
        <v>00</v>
      </c>
      <c r="M36" s="2" t="str" cm="1">
        <f t="array" ref="M36">TEXT(_xlfn.SWITCH(TRUE,E36="P","00",AND(E36="",K36&lt;&gt;"TERMINAL"),"00",TRUE,MINUTE(E36)),"00")</f>
        <v>00</v>
      </c>
      <c r="N36" s="2" t="str" cm="1">
        <f t="array" ref="N36">TEXT(_xlfn.SWITCH(TRUE,E36="P","00",AND(E36="",K36&lt;&gt;"TERMINAL"),"00",TRUE,SECOND(E36)),"00")</f>
        <v>00</v>
      </c>
      <c r="O36" s="2" t="str" cm="1">
        <f t="array" ref="O36">_xlfn.SWITCH(TRUE,AND(L36="00",K36&lt;&gt;"TERMINAL"),TEXT($B$2,"00"),L36=TEXT($B$1,"00"),TEXT($B$1,"00"),L36=TEXT($D$1,"00"),TEXT($D$1,"00"),TRUE,+L36)</f>
        <v>00</v>
      </c>
      <c r="P36" s="2" t="str" cm="1">
        <f t="array" ref="P36">_xlfn.SWITCH(TRUE,OR(L36=TEXT($B$1,"00"),L36=TEXT($D$1,"00")),"00",AND(M36="00",K36&lt;&gt;"TERMINAL"),TEXT($D$2,"00"),TRUE,M36)</f>
        <v>00</v>
      </c>
      <c r="Q36" s="2" t="str" cm="1">
        <f t="array" ref="Q36">_xlfn.SWITCH(TRUE,OR(L36=TEXT($B$1,"00"),L36=TEXT($D$1,"00")),"00",AND(N36="00",K36&lt;&gt;"TERMINAL"),TEXT($F$2,"00"),TRUE,N36)</f>
        <v>00</v>
      </c>
      <c r="R36" s="2" t="str">
        <f t="shared" si="1"/>
        <v>00</v>
      </c>
      <c r="S36" s="2" t="str" cm="1">
        <f t="array" ref="S36">_xlfn.SWITCH(TRUE,F36="T",TEXT($F$1,"00"),AND(F36="",K36&lt;&gt;"TERMINAL"),"00",TRUE,TEXT(HOUR(F36),"00"))</f>
        <v>00</v>
      </c>
      <c r="T36" s="2" t="str" cm="1">
        <f t="array" ref="T36">TEXT(_xlfn.SWITCH(TRUE,F36="T","00",AND(F36="",K36&lt;&gt;"TERMINAL"),"00",TRUE,MINUTE(F36)),"00")</f>
        <v>00</v>
      </c>
      <c r="U36" s="2" t="str" cm="1">
        <f t="array" ref="U36">TEXT(_xlfn.SWITCH(TRUE,F36="T","00",AND(F36="",K36&lt;&gt;"TERMINAL"),"00",TRUE,SECOND(F36)),"00")</f>
        <v>00</v>
      </c>
      <c r="V36" s="2" t="str">
        <f t="shared" si="2"/>
        <v>00</v>
      </c>
      <c r="W36" s="2" t="str" cm="1">
        <f t="array" ref="W36">_xlfn.SWITCH(TRUE,OR(S36=TEXT($B$1,"00"),S36=TEXT($D$1,"00")),"00",AND(T36="00",K36&lt;&gt;"TERMINAL"),TEXT($D$2,"00"),TRUE,T36)</f>
        <v>00</v>
      </c>
      <c r="X36" s="2" t="str" cm="1">
        <f t="array" ref="X36">_xlfn.SWITCH(TRUE,OR(S36=TEXT($B$1,"00"),S36=TEXT($D$1,"00")),"00",AND(U36="00",K36&lt;&gt;"TERMINAL"),TEXT($F$2,"00"),TRUE,U36)</f>
        <v>00</v>
      </c>
      <c r="Y36" s="2" t="str">
        <f t="shared" si="3"/>
        <v>00</v>
      </c>
      <c r="Z36" s="2" t="str">
        <f t="shared" si="6"/>
        <v>FALSE</v>
      </c>
      <c r="AA36" s="2" t="str">
        <f t="shared" si="4"/>
        <v>000000</v>
      </c>
      <c r="AB36" s="2" t="str">
        <f t="shared" si="5"/>
        <v>000000</v>
      </c>
      <c r="AC36" s="2" t="str" cm="1">
        <f t="array" ref="AC36">TEXT($D36,"000")&amp;TEXT(IFERROR(INDEX($D$5:$D$103,_xlfn.AGGREGATE(15,6,ROW($E$5:$E$103)/(($E$5:$E$103&lt;&gt;"p")*($E$5:$E$103&lt;&gt;"t")*(ROW($E$5:$E$103)&gt;ROW($E36))),1)-ROW($E$5)+1),$D36),"000")</f>
        <v>000000</v>
      </c>
      <c r="AD36" s="2" t="str" cm="1">
        <f t="array" ref="AD36">TEXT(_xlfn.XLOOKUP(TRUE, AA37:AA$103&lt;&gt;"250000", AA37:AA$103, "未找到"),"000000")</f>
        <v>000000</v>
      </c>
      <c r="AE36" s="2" t="str" cm="1">
        <f t="array" ref="AE36">_xlfn.SWITCH(TRUE,J36&lt;&gt;"",TEXT(J36,"MMSS"),TRUE,IFERROR(TEXT(E37-F36,"MMSS"),"0000"))</f>
        <v>0000</v>
      </c>
    </row>
    <row r="37" spans="1:31">
      <c r="A37" s="2">
        <v>34</v>
      </c>
      <c r="B37" s="5"/>
      <c r="C37" s="5"/>
      <c r="D37" s="5"/>
      <c r="E37" s="5"/>
      <c r="F37" s="5"/>
      <c r="G37" s="5"/>
      <c r="H37" s="5"/>
      <c r="I37" s="5"/>
      <c r="J37" s="5"/>
      <c r="K37" s="2" t="str">
        <f t="shared" si="0"/>
        <v>terminal</v>
      </c>
      <c r="L37" s="2" t="str" cm="1">
        <f t="array" ref="L37">TEXT(_xlfn.SWITCH(TRUE,E37="P",$B$1,AND(E37="",K37&lt;&gt;"TERMINAL"),$D$1,TRUE,HOUR(E37)),"00")</f>
        <v>00</v>
      </c>
      <c r="M37" s="2" t="str" cm="1">
        <f t="array" ref="M37">TEXT(_xlfn.SWITCH(TRUE,E37="P","00",AND(E37="",K37&lt;&gt;"TERMINAL"),"00",TRUE,MINUTE(E37)),"00")</f>
        <v>00</v>
      </c>
      <c r="N37" s="2" t="str" cm="1">
        <f t="array" ref="N37">TEXT(_xlfn.SWITCH(TRUE,E37="P","00",AND(E37="",K37&lt;&gt;"TERMINAL"),"00",TRUE,SECOND(E37)),"00")</f>
        <v>00</v>
      </c>
      <c r="O37" s="2" t="str" cm="1">
        <f t="array" ref="O37">_xlfn.SWITCH(TRUE,AND(L37="00",K37&lt;&gt;"TERMINAL"),TEXT($B$2,"00"),L37=TEXT($B$1,"00"),TEXT($B$1,"00"),L37=TEXT($D$1,"00"),TEXT($D$1,"00"),TRUE,+L37)</f>
        <v>00</v>
      </c>
      <c r="P37" s="2" t="str" cm="1">
        <f t="array" ref="P37">_xlfn.SWITCH(TRUE,OR(L37=TEXT($B$1,"00"),L37=TEXT($D$1,"00")),"00",AND(M37="00",K37&lt;&gt;"TERMINAL"),TEXT($D$2,"00"),TRUE,M37)</f>
        <v>00</v>
      </c>
      <c r="Q37" s="2" t="str" cm="1">
        <f t="array" ref="Q37">_xlfn.SWITCH(TRUE,OR(L37=TEXT($B$1,"00"),L37=TEXT($D$1,"00")),"00",AND(N37="00",K37&lt;&gt;"TERMINAL"),TEXT($F$2,"00"),TRUE,N37)</f>
        <v>00</v>
      </c>
      <c r="R37" s="2" t="str">
        <f t="shared" si="1"/>
        <v>00</v>
      </c>
      <c r="S37" s="2" t="str" cm="1">
        <f t="array" ref="S37">_xlfn.SWITCH(TRUE,F37="T",TEXT($F$1,"00"),AND(F37="",K37&lt;&gt;"TERMINAL"),"00",TRUE,TEXT(HOUR(F37),"00"))</f>
        <v>00</v>
      </c>
      <c r="T37" s="2" t="str" cm="1">
        <f t="array" ref="T37">TEXT(_xlfn.SWITCH(TRUE,F37="T","00",AND(F37="",K37&lt;&gt;"TERMINAL"),"00",TRUE,MINUTE(F37)),"00")</f>
        <v>00</v>
      </c>
      <c r="U37" s="2" t="str" cm="1">
        <f t="array" ref="U37">TEXT(_xlfn.SWITCH(TRUE,F37="T","00",AND(F37="",K37&lt;&gt;"TERMINAL"),"00",TRUE,SECOND(F37)),"00")</f>
        <v>00</v>
      </c>
      <c r="V37" s="2" t="str">
        <f t="shared" si="2"/>
        <v>00</v>
      </c>
      <c r="W37" s="2" t="str" cm="1">
        <f t="array" ref="W37">_xlfn.SWITCH(TRUE,OR(S37=TEXT($B$1,"00"),S37=TEXT($D$1,"00")),"00",AND(T37="00",K37&lt;&gt;"TERMINAL"),TEXT($D$2,"00"),TRUE,T37)</f>
        <v>00</v>
      </c>
      <c r="X37" s="2" t="str" cm="1">
        <f t="array" ref="X37">_xlfn.SWITCH(TRUE,OR(S37=TEXT($B$1,"00"),S37=TEXT($D$1,"00")),"00",AND(U37="00",K37&lt;&gt;"TERMINAL"),TEXT($F$2,"00"),TRUE,U37)</f>
        <v>00</v>
      </c>
      <c r="Y37" s="2" t="str">
        <f t="shared" si="3"/>
        <v>00</v>
      </c>
      <c r="Z37" s="2" t="str">
        <f t="shared" si="6"/>
        <v>FALSE</v>
      </c>
      <c r="AA37" s="2" t="str">
        <f t="shared" si="4"/>
        <v>000000</v>
      </c>
      <c r="AB37" s="2" t="str">
        <f t="shared" si="5"/>
        <v>000000</v>
      </c>
      <c r="AC37" s="2" t="str" cm="1">
        <f t="array" ref="AC37">TEXT($D37,"000")&amp;TEXT(IFERROR(INDEX($D$5:$D$103,_xlfn.AGGREGATE(15,6,ROW($E$5:$E$103)/(($E$5:$E$103&lt;&gt;"p")*($E$5:$E$103&lt;&gt;"t")*(ROW($E$5:$E$103)&gt;ROW($E37))),1)-ROW($E$5)+1),$D37),"000")</f>
        <v>000000</v>
      </c>
      <c r="AD37" s="2" t="str" cm="1">
        <f t="array" ref="AD37">TEXT(_xlfn.XLOOKUP(TRUE, AA38:AA$103&lt;&gt;"250000", AA38:AA$103, "未找到"),"000000")</f>
        <v>000000</v>
      </c>
      <c r="AE37" s="2" t="str" cm="1">
        <f t="array" ref="AE37">_xlfn.SWITCH(TRUE,J37&lt;&gt;"",TEXT(J37,"MMSS"),TRUE,IFERROR(TEXT(E38-F37,"MMSS"),"0000"))</f>
        <v>0000</v>
      </c>
    </row>
    <row r="38" spans="1:31">
      <c r="A38" s="2">
        <v>35</v>
      </c>
      <c r="B38" s="5"/>
      <c r="C38" s="5"/>
      <c r="D38" s="5"/>
      <c r="E38" s="5"/>
      <c r="F38" s="5"/>
      <c r="G38" s="5"/>
      <c r="H38" s="5"/>
      <c r="I38" s="5"/>
      <c r="J38" s="5"/>
      <c r="K38" s="2" t="str">
        <f t="shared" si="0"/>
        <v>terminal</v>
      </c>
      <c r="L38" s="2" t="str" cm="1">
        <f t="array" ref="L38">TEXT(_xlfn.SWITCH(TRUE,E38="P",$B$1,AND(E38="",K38&lt;&gt;"TERMINAL"),$D$1,TRUE,HOUR(E38)),"00")</f>
        <v>00</v>
      </c>
      <c r="M38" s="2" t="str" cm="1">
        <f t="array" ref="M38">TEXT(_xlfn.SWITCH(TRUE,E38="P","00",AND(E38="",K38&lt;&gt;"TERMINAL"),"00",TRUE,MINUTE(E38)),"00")</f>
        <v>00</v>
      </c>
      <c r="N38" s="2" t="str" cm="1">
        <f t="array" ref="N38">TEXT(_xlfn.SWITCH(TRUE,E38="P","00",AND(E38="",K38&lt;&gt;"TERMINAL"),"00",TRUE,SECOND(E38)),"00")</f>
        <v>00</v>
      </c>
      <c r="O38" s="2" t="str" cm="1">
        <f t="array" ref="O38">_xlfn.SWITCH(TRUE,AND(L38="00",K38&lt;&gt;"TERMINAL"),TEXT($B$2,"00"),L38=TEXT($B$1,"00"),TEXT($B$1,"00"),L38=TEXT($D$1,"00"),TEXT($D$1,"00"),TRUE,+L38)</f>
        <v>00</v>
      </c>
      <c r="P38" s="2" t="str" cm="1">
        <f t="array" ref="P38">_xlfn.SWITCH(TRUE,OR(L38=TEXT($B$1,"00"),L38=TEXT($D$1,"00")),"00",AND(M38="00",K38&lt;&gt;"TERMINAL"),TEXT($D$2,"00"),TRUE,M38)</f>
        <v>00</v>
      </c>
      <c r="Q38" s="2" t="str" cm="1">
        <f t="array" ref="Q38">_xlfn.SWITCH(TRUE,OR(L38=TEXT($B$1,"00"),L38=TEXT($D$1,"00")),"00",AND(N38="00",K38&lt;&gt;"TERMINAL"),TEXT($F$2,"00"),TRUE,N38)</f>
        <v>00</v>
      </c>
      <c r="R38" s="2" t="str">
        <f t="shared" si="1"/>
        <v>00</v>
      </c>
      <c r="S38" s="2" t="str" cm="1">
        <f t="array" ref="S38">_xlfn.SWITCH(TRUE,F38="T",TEXT($F$1,"00"),AND(F38="",K38&lt;&gt;"TERMINAL"),"00",TRUE,TEXT(HOUR(F38),"00"))</f>
        <v>00</v>
      </c>
      <c r="T38" s="2" t="str" cm="1">
        <f t="array" ref="T38">TEXT(_xlfn.SWITCH(TRUE,F38="T","00",AND(F38="",K38&lt;&gt;"TERMINAL"),"00",TRUE,MINUTE(F38)),"00")</f>
        <v>00</v>
      </c>
      <c r="U38" s="2" t="str" cm="1">
        <f t="array" ref="U38">TEXT(_xlfn.SWITCH(TRUE,F38="T","00",AND(F38="",K38&lt;&gt;"TERMINAL"),"00",TRUE,SECOND(F38)),"00")</f>
        <v>00</v>
      </c>
      <c r="V38" s="2" t="str">
        <f t="shared" si="2"/>
        <v>00</v>
      </c>
      <c r="W38" s="2" t="str" cm="1">
        <f t="array" ref="W38">_xlfn.SWITCH(TRUE,OR(S38=TEXT($B$1,"00"),S38=TEXT($D$1,"00")),"00",AND(T38="00",K38&lt;&gt;"TERMINAL"),TEXT($D$2,"00"),TRUE,T38)</f>
        <v>00</v>
      </c>
      <c r="X38" s="2" t="str" cm="1">
        <f t="array" ref="X38">_xlfn.SWITCH(TRUE,OR(S38=TEXT($B$1,"00"),S38=TEXT($D$1,"00")),"00",AND(U38="00",K38&lt;&gt;"TERMINAL"),TEXT($F$2,"00"),TRUE,U38)</f>
        <v>00</v>
      </c>
      <c r="Y38" s="2" t="str">
        <f t="shared" si="3"/>
        <v>00</v>
      </c>
      <c r="Z38" s="2" t="str">
        <f t="shared" si="6"/>
        <v>FALSE</v>
      </c>
      <c r="AA38" s="2" t="str">
        <f t="shared" si="4"/>
        <v>000000</v>
      </c>
      <c r="AB38" s="2" t="str">
        <f t="shared" si="5"/>
        <v>000000</v>
      </c>
      <c r="AC38" s="2" t="str" cm="1">
        <f t="array" ref="AC38">TEXT($D38,"000")&amp;TEXT(IFERROR(INDEX($D$5:$D$103,_xlfn.AGGREGATE(15,6,ROW($E$5:$E$103)/(($E$5:$E$103&lt;&gt;"p")*($E$5:$E$103&lt;&gt;"t")*(ROW($E$5:$E$103)&gt;ROW($E38))),1)-ROW($E$5)+1),$D38),"000")</f>
        <v>000000</v>
      </c>
      <c r="AD38" s="2" t="str" cm="1">
        <f t="array" ref="AD38">TEXT(_xlfn.XLOOKUP(TRUE, AA39:AA$103&lt;&gt;"250000", AA39:AA$103, "未找到"),"000000")</f>
        <v>000000</v>
      </c>
      <c r="AE38" s="2" t="str" cm="1">
        <f t="array" ref="AE38">_xlfn.SWITCH(TRUE,J38&lt;&gt;"",TEXT(J38,"MMSS"),TRUE,IFERROR(TEXT(E39-F38,"MMSS"),"0000"))</f>
        <v>0000</v>
      </c>
    </row>
    <row r="39" spans="1:31">
      <c r="A39" s="2">
        <v>36</v>
      </c>
      <c r="B39" s="5"/>
      <c r="C39" s="5"/>
      <c r="D39" s="5"/>
      <c r="E39" s="5"/>
      <c r="F39" s="5"/>
      <c r="G39" s="5"/>
      <c r="H39" s="5"/>
      <c r="I39" s="5"/>
      <c r="J39" s="5"/>
      <c r="K39" s="2" t="str">
        <f t="shared" si="0"/>
        <v>terminal</v>
      </c>
      <c r="L39" s="2" t="str" cm="1">
        <f t="array" ref="L39">TEXT(_xlfn.SWITCH(TRUE,E39="P",$B$1,AND(E39="",K39&lt;&gt;"TERMINAL"),$D$1,TRUE,HOUR(E39)),"00")</f>
        <v>00</v>
      </c>
      <c r="M39" s="2" t="str" cm="1">
        <f t="array" ref="M39">TEXT(_xlfn.SWITCH(TRUE,E39="P","00",AND(E39="",K39&lt;&gt;"TERMINAL"),"00",TRUE,MINUTE(E39)),"00")</f>
        <v>00</v>
      </c>
      <c r="N39" s="2" t="str" cm="1">
        <f t="array" ref="N39">TEXT(_xlfn.SWITCH(TRUE,E39="P","00",AND(E39="",K39&lt;&gt;"TERMINAL"),"00",TRUE,SECOND(E39)),"00")</f>
        <v>00</v>
      </c>
      <c r="O39" s="2" t="str" cm="1">
        <f t="array" ref="O39">_xlfn.SWITCH(TRUE,AND(L39="00",K39&lt;&gt;"TERMINAL"),TEXT($B$2,"00"),L39=TEXT($B$1,"00"),TEXT($B$1,"00"),L39=TEXT($D$1,"00"),TEXT($D$1,"00"),TRUE,+L39)</f>
        <v>00</v>
      </c>
      <c r="P39" s="2" t="str" cm="1">
        <f t="array" ref="P39">_xlfn.SWITCH(TRUE,OR(L39=TEXT($B$1,"00"),L39=TEXT($D$1,"00")),"00",AND(M39="00",K39&lt;&gt;"TERMINAL"),TEXT($D$2,"00"),TRUE,M39)</f>
        <v>00</v>
      </c>
      <c r="Q39" s="2" t="str" cm="1">
        <f t="array" ref="Q39">_xlfn.SWITCH(TRUE,OR(L39=TEXT($B$1,"00"),L39=TEXT($D$1,"00")),"00",AND(N39="00",K39&lt;&gt;"TERMINAL"),TEXT($F$2,"00"),TRUE,N39)</f>
        <v>00</v>
      </c>
      <c r="R39" s="2" t="str">
        <f t="shared" si="1"/>
        <v>00</v>
      </c>
      <c r="S39" s="2" t="str" cm="1">
        <f t="array" ref="S39">_xlfn.SWITCH(TRUE,F39="T",TEXT($F$1,"00"),AND(F39="",K39&lt;&gt;"TERMINAL"),"00",TRUE,TEXT(HOUR(F39),"00"))</f>
        <v>00</v>
      </c>
      <c r="T39" s="2" t="str" cm="1">
        <f t="array" ref="T39">TEXT(_xlfn.SWITCH(TRUE,F39="T","00",AND(F39="",K39&lt;&gt;"TERMINAL"),"00",TRUE,MINUTE(F39)),"00")</f>
        <v>00</v>
      </c>
      <c r="U39" s="2" t="str" cm="1">
        <f t="array" ref="U39">TEXT(_xlfn.SWITCH(TRUE,F39="T","00",AND(F39="",K39&lt;&gt;"TERMINAL"),"00",TRUE,SECOND(F39)),"00")</f>
        <v>00</v>
      </c>
      <c r="V39" s="2" t="str">
        <f t="shared" si="2"/>
        <v>00</v>
      </c>
      <c r="W39" s="2" t="str" cm="1">
        <f t="array" ref="W39">_xlfn.SWITCH(TRUE,OR(S39=TEXT($B$1,"00"),S39=TEXT($D$1,"00")),"00",AND(T39="00",K39&lt;&gt;"TERMINAL"),TEXT($D$2,"00"),TRUE,T39)</f>
        <v>00</v>
      </c>
      <c r="X39" s="2" t="str" cm="1">
        <f t="array" ref="X39">_xlfn.SWITCH(TRUE,OR(S39=TEXT($B$1,"00"),S39=TEXT($D$1,"00")),"00",AND(U39="00",K39&lt;&gt;"TERMINAL"),TEXT($F$2,"00"),TRUE,U39)</f>
        <v>00</v>
      </c>
      <c r="Y39" s="2" t="str">
        <f t="shared" si="3"/>
        <v>00</v>
      </c>
      <c r="Z39" s="2" t="str">
        <f t="shared" si="6"/>
        <v>FALSE</v>
      </c>
      <c r="AA39" s="2" t="str">
        <f t="shared" si="4"/>
        <v>000000</v>
      </c>
      <c r="AB39" s="2" t="str">
        <f t="shared" si="5"/>
        <v>000000</v>
      </c>
      <c r="AC39" s="2" t="str" cm="1">
        <f t="array" ref="AC39">TEXT($D39,"000")&amp;TEXT(IFERROR(INDEX($D$5:$D$103,_xlfn.AGGREGATE(15,6,ROW($E$5:$E$103)/(($E$5:$E$103&lt;&gt;"p")*($E$5:$E$103&lt;&gt;"t")*(ROW($E$5:$E$103)&gt;ROW($E39))),1)-ROW($E$5)+1),$D39),"000")</f>
        <v>000000</v>
      </c>
      <c r="AD39" s="2" t="str" cm="1">
        <f t="array" ref="AD39">TEXT(_xlfn.XLOOKUP(TRUE, AA40:AA$103&lt;&gt;"250000", AA40:AA$103, "未找到"),"000000")</f>
        <v>000000</v>
      </c>
      <c r="AE39" s="2" t="str" cm="1">
        <f t="array" ref="AE39">_xlfn.SWITCH(TRUE,J39&lt;&gt;"",TEXT(J39,"MMSS"),TRUE,IFERROR(TEXT(E40-F39,"MMSS"),"0000"))</f>
        <v>0000</v>
      </c>
    </row>
    <row r="40" spans="1:31">
      <c r="A40" s="2">
        <v>37</v>
      </c>
      <c r="B40" s="5"/>
      <c r="C40" s="5"/>
      <c r="D40" s="5"/>
      <c r="E40" s="5"/>
      <c r="F40" s="5"/>
      <c r="G40" s="5"/>
      <c r="H40" s="5"/>
      <c r="I40" s="5"/>
      <c r="J40" s="5"/>
      <c r="K40" s="2" t="str">
        <f t="shared" si="0"/>
        <v>terminal</v>
      </c>
      <c r="L40" s="2" t="str" cm="1">
        <f t="array" ref="L40">TEXT(_xlfn.SWITCH(TRUE,E40="P",$B$1,AND(E40="",K40&lt;&gt;"TERMINAL"),$D$1,TRUE,HOUR(E40)),"00")</f>
        <v>00</v>
      </c>
      <c r="M40" s="2" t="str" cm="1">
        <f t="array" ref="M40">TEXT(_xlfn.SWITCH(TRUE,E40="P","00",AND(E40="",K40&lt;&gt;"TERMINAL"),"00",TRUE,MINUTE(E40)),"00")</f>
        <v>00</v>
      </c>
      <c r="N40" s="2" t="str" cm="1">
        <f t="array" ref="N40">TEXT(_xlfn.SWITCH(TRUE,E40="P","00",AND(E40="",K40&lt;&gt;"TERMINAL"),"00",TRUE,SECOND(E40)),"00")</f>
        <v>00</v>
      </c>
      <c r="O40" s="2" t="str" cm="1">
        <f t="array" ref="O40">_xlfn.SWITCH(TRUE,AND(L40="00",K40&lt;&gt;"TERMINAL"),TEXT($B$2,"00"),L40=TEXT($B$1,"00"),TEXT($B$1,"00"),L40=TEXT($D$1,"00"),TEXT($D$1,"00"),TRUE,+L40)</f>
        <v>00</v>
      </c>
      <c r="P40" s="2" t="str" cm="1">
        <f t="array" ref="P40">_xlfn.SWITCH(TRUE,OR(L40=TEXT($B$1,"00"),L40=TEXT($D$1,"00")),"00",AND(M40="00",K40&lt;&gt;"TERMINAL"),TEXT($D$2,"00"),TRUE,M40)</f>
        <v>00</v>
      </c>
      <c r="Q40" s="2" t="str" cm="1">
        <f t="array" ref="Q40">_xlfn.SWITCH(TRUE,OR(L40=TEXT($B$1,"00"),L40=TEXT($D$1,"00")),"00",AND(N40="00",K40&lt;&gt;"TERMINAL"),TEXT($F$2,"00"),TRUE,N40)</f>
        <v>00</v>
      </c>
      <c r="R40" s="2" t="str">
        <f t="shared" si="1"/>
        <v>00</v>
      </c>
      <c r="S40" s="2" t="str" cm="1">
        <f t="array" ref="S40">_xlfn.SWITCH(TRUE,F40="T",TEXT($F$1,"00"),AND(F40="",K40&lt;&gt;"TERMINAL"),"00",TRUE,TEXT(HOUR(F40),"00"))</f>
        <v>00</v>
      </c>
      <c r="T40" s="2" t="str" cm="1">
        <f t="array" ref="T40">TEXT(_xlfn.SWITCH(TRUE,F40="T","00",AND(F40="",K40&lt;&gt;"TERMINAL"),"00",TRUE,MINUTE(F40)),"00")</f>
        <v>00</v>
      </c>
      <c r="U40" s="2" t="str" cm="1">
        <f t="array" ref="U40">TEXT(_xlfn.SWITCH(TRUE,F40="T","00",AND(F40="",K40&lt;&gt;"TERMINAL"),"00",TRUE,SECOND(F40)),"00")</f>
        <v>00</v>
      </c>
      <c r="V40" s="2" t="str">
        <f t="shared" si="2"/>
        <v>00</v>
      </c>
      <c r="W40" s="2" t="str" cm="1">
        <f t="array" ref="W40">_xlfn.SWITCH(TRUE,OR(S40=TEXT($B$1,"00"),S40=TEXT($D$1,"00")),"00",AND(T40="00",K40&lt;&gt;"TERMINAL"),TEXT($D$2,"00"),TRUE,T40)</f>
        <v>00</v>
      </c>
      <c r="X40" s="2" t="str" cm="1">
        <f t="array" ref="X40">_xlfn.SWITCH(TRUE,OR(S40=TEXT($B$1,"00"),S40=TEXT($D$1,"00")),"00",AND(U40="00",K40&lt;&gt;"TERMINAL"),TEXT($F$2,"00"),TRUE,U40)</f>
        <v>00</v>
      </c>
      <c r="Y40" s="2" t="str">
        <f t="shared" si="3"/>
        <v>00</v>
      </c>
      <c r="Z40" s="2" t="str">
        <f t="shared" si="6"/>
        <v>FALSE</v>
      </c>
      <c r="AA40" s="2" t="str">
        <f t="shared" si="4"/>
        <v>000000</v>
      </c>
      <c r="AB40" s="2" t="str">
        <f t="shared" si="5"/>
        <v>000000</v>
      </c>
      <c r="AC40" s="2" t="str" cm="1">
        <f t="array" ref="AC40">TEXT($D40,"000")&amp;TEXT(IFERROR(INDEX($D$5:$D$103,_xlfn.AGGREGATE(15,6,ROW($E$5:$E$103)/(($E$5:$E$103&lt;&gt;"p")*($E$5:$E$103&lt;&gt;"t")*(ROW($E$5:$E$103)&gt;ROW($E40))),1)-ROW($E$5)+1),$D40),"000")</f>
        <v>000000</v>
      </c>
      <c r="AD40" s="2" t="str" cm="1">
        <f t="array" ref="AD40">TEXT(_xlfn.XLOOKUP(TRUE, AA41:AA$103&lt;&gt;"250000", AA41:AA$103, "未找到"),"000000")</f>
        <v>000000</v>
      </c>
      <c r="AE40" s="2" t="str" cm="1">
        <f t="array" ref="AE40">_xlfn.SWITCH(TRUE,J40&lt;&gt;"",TEXT(J40,"MMSS"),TRUE,IFERROR(TEXT(E41-F40,"MMSS"),"0000"))</f>
        <v>0000</v>
      </c>
    </row>
    <row r="41" spans="1:31">
      <c r="A41" s="2">
        <v>38</v>
      </c>
      <c r="B41" s="5"/>
      <c r="C41" s="5"/>
      <c r="D41" s="5"/>
      <c r="E41" s="5"/>
      <c r="F41" s="5"/>
      <c r="G41" s="5"/>
      <c r="H41" s="5"/>
      <c r="I41" s="5"/>
      <c r="J41" s="5"/>
      <c r="K41" s="2" t="str">
        <f t="shared" si="0"/>
        <v>terminal</v>
      </c>
      <c r="L41" s="2" t="str" cm="1">
        <f t="array" ref="L41">TEXT(_xlfn.SWITCH(TRUE,E41="P",$B$1,AND(E41="",K41&lt;&gt;"TERMINAL"),$D$1,TRUE,HOUR(E41)),"00")</f>
        <v>00</v>
      </c>
      <c r="M41" s="2" t="str" cm="1">
        <f t="array" ref="M41">TEXT(_xlfn.SWITCH(TRUE,E41="P","00",AND(E41="",K41&lt;&gt;"TERMINAL"),"00",TRUE,MINUTE(E41)),"00")</f>
        <v>00</v>
      </c>
      <c r="N41" s="2" t="str" cm="1">
        <f t="array" ref="N41">TEXT(_xlfn.SWITCH(TRUE,E41="P","00",AND(E41="",K41&lt;&gt;"TERMINAL"),"00",TRUE,SECOND(E41)),"00")</f>
        <v>00</v>
      </c>
      <c r="O41" s="2" t="str" cm="1">
        <f t="array" ref="O41">_xlfn.SWITCH(TRUE,AND(L41="00",K41&lt;&gt;"TERMINAL"),TEXT($B$2,"00"),L41=TEXT($B$1,"00"),TEXT($B$1,"00"),L41=TEXT($D$1,"00"),TEXT($D$1,"00"),TRUE,+L41)</f>
        <v>00</v>
      </c>
      <c r="P41" s="2" t="str" cm="1">
        <f t="array" ref="P41">_xlfn.SWITCH(TRUE,OR(L41=TEXT($B$1,"00"),L41=TEXT($D$1,"00")),"00",AND(M41="00",K41&lt;&gt;"TERMINAL"),TEXT($D$2,"00"),TRUE,M41)</f>
        <v>00</v>
      </c>
      <c r="Q41" s="2" t="str" cm="1">
        <f t="array" ref="Q41">_xlfn.SWITCH(TRUE,OR(L41=TEXT($B$1,"00"),L41=TEXT($D$1,"00")),"00",AND(N41="00",K41&lt;&gt;"TERMINAL"),TEXT($F$2,"00"),TRUE,N41)</f>
        <v>00</v>
      </c>
      <c r="R41" s="2" t="str">
        <f t="shared" si="1"/>
        <v>00</v>
      </c>
      <c r="S41" s="2" t="str" cm="1">
        <f t="array" ref="S41">_xlfn.SWITCH(TRUE,F41="T",TEXT($F$1,"00"),AND(F41="",K41&lt;&gt;"TERMINAL"),"00",TRUE,TEXT(HOUR(F41),"00"))</f>
        <v>00</v>
      </c>
      <c r="T41" s="2" t="str" cm="1">
        <f t="array" ref="T41">TEXT(_xlfn.SWITCH(TRUE,F41="T","00",AND(F41="",K41&lt;&gt;"TERMINAL"),"00",TRUE,MINUTE(F41)),"00")</f>
        <v>00</v>
      </c>
      <c r="U41" s="2" t="str" cm="1">
        <f t="array" ref="U41">TEXT(_xlfn.SWITCH(TRUE,F41="T","00",AND(F41="",K41&lt;&gt;"TERMINAL"),"00",TRUE,SECOND(F41)),"00")</f>
        <v>00</v>
      </c>
      <c r="V41" s="2" t="str">
        <f t="shared" si="2"/>
        <v>00</v>
      </c>
      <c r="W41" s="2" t="str" cm="1">
        <f t="array" ref="W41">_xlfn.SWITCH(TRUE,OR(S41=TEXT($B$1,"00"),S41=TEXT($D$1,"00")),"00",AND(T41="00",K41&lt;&gt;"TERMINAL"),TEXT($D$2,"00"),TRUE,T41)</f>
        <v>00</v>
      </c>
      <c r="X41" s="2" t="str" cm="1">
        <f t="array" ref="X41">_xlfn.SWITCH(TRUE,OR(S41=TEXT($B$1,"00"),S41=TEXT($D$1,"00")),"00",AND(U41="00",K41&lt;&gt;"TERMINAL"),TEXT($F$2,"00"),TRUE,U41)</f>
        <v>00</v>
      </c>
      <c r="Y41" s="2" t="str">
        <f t="shared" si="3"/>
        <v>00</v>
      </c>
      <c r="Z41" s="2" t="str">
        <f t="shared" si="6"/>
        <v>FALSE</v>
      </c>
      <c r="AA41" s="2" t="str">
        <f t="shared" si="4"/>
        <v>000000</v>
      </c>
      <c r="AB41" s="2" t="str">
        <f t="shared" si="5"/>
        <v>000000</v>
      </c>
      <c r="AC41" s="2" t="str" cm="1">
        <f t="array" ref="AC41">TEXT($D41,"000")&amp;TEXT(IFERROR(INDEX($D$5:$D$103,_xlfn.AGGREGATE(15,6,ROW($E$5:$E$103)/(($E$5:$E$103&lt;&gt;"p")*($E$5:$E$103&lt;&gt;"t")*(ROW($E$5:$E$103)&gt;ROW($E41))),1)-ROW($E$5)+1),$D41),"000")</f>
        <v>000000</v>
      </c>
      <c r="AD41" s="2" t="str" cm="1">
        <f t="array" ref="AD41">TEXT(_xlfn.XLOOKUP(TRUE, AA42:AA$103&lt;&gt;"250000", AA42:AA$103, "未找到"),"000000")</f>
        <v>000000</v>
      </c>
      <c r="AE41" s="2" t="str" cm="1">
        <f t="array" ref="AE41">_xlfn.SWITCH(TRUE,J41&lt;&gt;"",TEXT(J41,"MMSS"),TRUE,IFERROR(TEXT(E42-F41,"MMSS"),"0000"))</f>
        <v>0000</v>
      </c>
    </row>
    <row r="42" spans="1:31">
      <c r="A42" s="2">
        <v>39</v>
      </c>
      <c r="B42" s="5"/>
      <c r="C42" s="5"/>
      <c r="D42" s="5"/>
      <c r="E42" s="5"/>
      <c r="F42" s="5"/>
      <c r="G42" s="5"/>
      <c r="H42" s="5"/>
      <c r="I42" s="5"/>
      <c r="J42" s="5"/>
      <c r="K42" s="2" t="str">
        <f t="shared" si="0"/>
        <v>terminal</v>
      </c>
      <c r="L42" s="2" t="str" cm="1">
        <f t="array" ref="L42">TEXT(_xlfn.SWITCH(TRUE,E42="P",$B$1,AND(E42="",K42&lt;&gt;"TERMINAL"),$D$1,TRUE,HOUR(E42)),"00")</f>
        <v>00</v>
      </c>
      <c r="M42" s="2" t="str" cm="1">
        <f t="array" ref="M42">TEXT(_xlfn.SWITCH(TRUE,E42="P","00",AND(E42="",K42&lt;&gt;"TERMINAL"),"00",TRUE,MINUTE(E42)),"00")</f>
        <v>00</v>
      </c>
      <c r="N42" s="2" t="str" cm="1">
        <f t="array" ref="N42">TEXT(_xlfn.SWITCH(TRUE,E42="P","00",AND(E42="",K42&lt;&gt;"TERMINAL"),"00",TRUE,SECOND(E42)),"00")</f>
        <v>00</v>
      </c>
      <c r="O42" s="2" t="str" cm="1">
        <f t="array" ref="O42">_xlfn.SWITCH(TRUE,AND(L42="00",K42&lt;&gt;"TERMINAL"),TEXT($B$2,"00"),L42=TEXT($B$1,"00"),TEXT($B$1,"00"),L42=TEXT($D$1,"00"),TEXT($D$1,"00"),TRUE,+L42)</f>
        <v>00</v>
      </c>
      <c r="P42" s="2" t="str" cm="1">
        <f t="array" ref="P42">_xlfn.SWITCH(TRUE,OR(L42=TEXT($B$1,"00"),L42=TEXT($D$1,"00")),"00",AND(M42="00",K42&lt;&gt;"TERMINAL"),TEXT($D$2,"00"),TRUE,M42)</f>
        <v>00</v>
      </c>
      <c r="Q42" s="2" t="str" cm="1">
        <f t="array" ref="Q42">_xlfn.SWITCH(TRUE,OR(L42=TEXT($B$1,"00"),L42=TEXT($D$1,"00")),"00",AND(N42="00",K42&lt;&gt;"TERMINAL"),TEXT($F$2,"00"),TRUE,N42)</f>
        <v>00</v>
      </c>
      <c r="R42" s="2" t="str">
        <f t="shared" si="1"/>
        <v>00</v>
      </c>
      <c r="S42" s="2" t="str" cm="1">
        <f t="array" ref="S42">_xlfn.SWITCH(TRUE,F42="T",TEXT($F$1,"00"),AND(F42="",K42&lt;&gt;"TERMINAL"),"00",TRUE,TEXT(HOUR(F42),"00"))</f>
        <v>00</v>
      </c>
      <c r="T42" s="2" t="str" cm="1">
        <f t="array" ref="T42">TEXT(_xlfn.SWITCH(TRUE,F42="T","00",AND(F42="",K42&lt;&gt;"TERMINAL"),"00",TRUE,MINUTE(F42)),"00")</f>
        <v>00</v>
      </c>
      <c r="U42" s="2" t="str" cm="1">
        <f t="array" ref="U42">TEXT(_xlfn.SWITCH(TRUE,F42="T","00",AND(F42="",K42&lt;&gt;"TERMINAL"),"00",TRUE,SECOND(F42)),"00")</f>
        <v>00</v>
      </c>
      <c r="V42" s="2" t="str">
        <f t="shared" si="2"/>
        <v>00</v>
      </c>
      <c r="W42" s="2" t="str" cm="1">
        <f t="array" ref="W42">_xlfn.SWITCH(TRUE,OR(S42=TEXT($B$1,"00"),S42=TEXT($D$1,"00")),"00",AND(T42="00",K42&lt;&gt;"TERMINAL"),TEXT($D$2,"00"),TRUE,T42)</f>
        <v>00</v>
      </c>
      <c r="X42" s="2" t="str" cm="1">
        <f t="array" ref="X42">_xlfn.SWITCH(TRUE,OR(S42=TEXT($B$1,"00"),S42=TEXT($D$1,"00")),"00",AND(U42="00",K42&lt;&gt;"TERMINAL"),TEXT($F$2,"00"),TRUE,U42)</f>
        <v>00</v>
      </c>
      <c r="Y42" s="2" t="str">
        <f t="shared" si="3"/>
        <v>00</v>
      </c>
      <c r="Z42" s="2" t="str">
        <f t="shared" si="6"/>
        <v>FALSE</v>
      </c>
      <c r="AA42" s="2" t="str">
        <f t="shared" si="4"/>
        <v>000000</v>
      </c>
      <c r="AB42" s="2" t="str">
        <f t="shared" si="5"/>
        <v>000000</v>
      </c>
      <c r="AC42" s="2" t="str" cm="1">
        <f t="array" ref="AC42">TEXT($D42,"000")&amp;TEXT(IFERROR(INDEX($D$5:$D$103,_xlfn.AGGREGATE(15,6,ROW($E$5:$E$103)/(($E$5:$E$103&lt;&gt;"p")*($E$5:$E$103&lt;&gt;"t")*(ROW($E$5:$E$103)&gt;ROW($E42))),1)-ROW($E$5)+1),$D42),"000")</f>
        <v>000000</v>
      </c>
      <c r="AD42" s="2" t="str" cm="1">
        <f t="array" ref="AD42">TEXT(_xlfn.XLOOKUP(TRUE, AA43:AA$103&lt;&gt;"250000", AA43:AA$103, "未找到"),"000000")</f>
        <v>000000</v>
      </c>
      <c r="AE42" s="2" t="str" cm="1">
        <f t="array" ref="AE42">_xlfn.SWITCH(TRUE,J42&lt;&gt;"",TEXT(J42,"MMSS"),TRUE,IFERROR(TEXT(E43-F42,"MMSS"),"0000"))</f>
        <v>0000</v>
      </c>
    </row>
    <row r="43" spans="1:31">
      <c r="A43" s="2">
        <v>40</v>
      </c>
      <c r="B43" s="5"/>
      <c r="C43" s="5"/>
      <c r="D43" s="5"/>
      <c r="E43" s="5"/>
      <c r="F43" s="5"/>
      <c r="G43" s="5"/>
      <c r="H43" s="5"/>
      <c r="I43" s="5"/>
      <c r="J43" s="5"/>
      <c r="K43" s="2" t="str">
        <f t="shared" si="0"/>
        <v>terminal</v>
      </c>
      <c r="L43" s="2" t="str" cm="1">
        <f t="array" ref="L43">TEXT(_xlfn.SWITCH(TRUE,E43="P",$B$1,AND(E43="",K43&lt;&gt;"TERMINAL"),$D$1,TRUE,HOUR(E43)),"00")</f>
        <v>00</v>
      </c>
      <c r="M43" s="2" t="str" cm="1">
        <f t="array" ref="M43">TEXT(_xlfn.SWITCH(TRUE,E43="P","00",AND(E43="",K43&lt;&gt;"TERMINAL"),"00",TRUE,MINUTE(E43)),"00")</f>
        <v>00</v>
      </c>
      <c r="N43" s="2" t="str" cm="1">
        <f t="array" ref="N43">TEXT(_xlfn.SWITCH(TRUE,E43="P","00",AND(E43="",K43&lt;&gt;"TERMINAL"),"00",TRUE,SECOND(E43)),"00")</f>
        <v>00</v>
      </c>
      <c r="O43" s="2" t="str" cm="1">
        <f t="array" ref="O43">_xlfn.SWITCH(TRUE,AND(L43="00",K43&lt;&gt;"TERMINAL"),TEXT($B$2,"00"),L43=TEXT($B$1,"00"),TEXT($B$1,"00"),L43=TEXT($D$1,"00"),TEXT($D$1,"00"),TRUE,+L43)</f>
        <v>00</v>
      </c>
      <c r="P43" s="2" t="str" cm="1">
        <f t="array" ref="P43">_xlfn.SWITCH(TRUE,OR(L43=TEXT($B$1,"00"),L43=TEXT($D$1,"00")),"00",AND(M43="00",K43&lt;&gt;"TERMINAL"),TEXT($D$2,"00"),TRUE,M43)</f>
        <v>00</v>
      </c>
      <c r="Q43" s="2" t="str" cm="1">
        <f t="array" ref="Q43">_xlfn.SWITCH(TRUE,OR(L43=TEXT($B$1,"00"),L43=TEXT($D$1,"00")),"00",AND(N43="00",K43&lt;&gt;"TERMINAL"),TEXT($F$2,"00"),TRUE,N43)</f>
        <v>00</v>
      </c>
      <c r="R43" s="2" t="str">
        <f t="shared" si="1"/>
        <v>00</v>
      </c>
      <c r="S43" s="2" t="str" cm="1">
        <f t="array" ref="S43">_xlfn.SWITCH(TRUE,F43="T",TEXT($F$1,"00"),AND(F43="",K43&lt;&gt;"TERMINAL"),"00",TRUE,TEXT(HOUR(F43),"00"))</f>
        <v>00</v>
      </c>
      <c r="T43" s="2" t="str" cm="1">
        <f t="array" ref="T43">TEXT(_xlfn.SWITCH(TRUE,F43="T","00",AND(F43="",K43&lt;&gt;"TERMINAL"),"00",TRUE,MINUTE(F43)),"00")</f>
        <v>00</v>
      </c>
      <c r="U43" s="2" t="str" cm="1">
        <f t="array" ref="U43">TEXT(_xlfn.SWITCH(TRUE,F43="T","00",AND(F43="",K43&lt;&gt;"TERMINAL"),"00",TRUE,SECOND(F43)),"00")</f>
        <v>00</v>
      </c>
      <c r="V43" s="2" t="str">
        <f t="shared" si="2"/>
        <v>00</v>
      </c>
      <c r="W43" s="2" t="str" cm="1">
        <f t="array" ref="W43">_xlfn.SWITCH(TRUE,OR(S43=TEXT($B$1,"00"),S43=TEXT($D$1,"00")),"00",AND(T43="00",K43&lt;&gt;"TERMINAL"),TEXT($D$2,"00"),TRUE,T43)</f>
        <v>00</v>
      </c>
      <c r="X43" s="2" t="str" cm="1">
        <f t="array" ref="X43">_xlfn.SWITCH(TRUE,OR(S43=TEXT($B$1,"00"),S43=TEXT($D$1,"00")),"00",AND(U43="00",K43&lt;&gt;"TERMINAL"),TEXT($F$2,"00"),TRUE,U43)</f>
        <v>00</v>
      </c>
      <c r="Y43" s="2" t="str">
        <f t="shared" si="3"/>
        <v>00</v>
      </c>
      <c r="Z43" s="2" t="str">
        <f t="shared" si="6"/>
        <v>FALSE</v>
      </c>
      <c r="AA43" s="2" t="str">
        <f t="shared" si="4"/>
        <v>000000</v>
      </c>
      <c r="AB43" s="2" t="str">
        <f t="shared" si="5"/>
        <v>000000</v>
      </c>
      <c r="AC43" s="2" t="str" cm="1">
        <f t="array" ref="AC43">TEXT($D43,"000")&amp;TEXT(IFERROR(INDEX($D$5:$D$103,_xlfn.AGGREGATE(15,6,ROW($E$5:$E$103)/(($E$5:$E$103&lt;&gt;"p")*($E$5:$E$103&lt;&gt;"t")*(ROW($E$5:$E$103)&gt;ROW($E43))),1)-ROW($E$5)+1),$D43),"000")</f>
        <v>000000</v>
      </c>
      <c r="AD43" s="2" t="str" cm="1">
        <f t="array" ref="AD43">TEXT(_xlfn.XLOOKUP(TRUE, AA44:AA$103&lt;&gt;"250000", AA44:AA$103, "未找到"),"000000")</f>
        <v>000000</v>
      </c>
      <c r="AE43" s="2" t="str" cm="1">
        <f t="array" ref="AE43">_xlfn.SWITCH(TRUE,J43&lt;&gt;"",TEXT(J43,"MMSS"),TRUE,IFERROR(TEXT(E44-F43,"MMSS"),"0000"))</f>
        <v>0000</v>
      </c>
    </row>
    <row r="44" spans="1:31">
      <c r="A44" s="2">
        <v>41</v>
      </c>
      <c r="B44" s="5"/>
      <c r="C44" s="5"/>
      <c r="D44" s="5"/>
      <c r="E44" s="5"/>
      <c r="F44" s="5"/>
      <c r="G44" s="5"/>
      <c r="H44" s="5"/>
      <c r="I44" s="5"/>
      <c r="J44" s="5"/>
      <c r="K44" s="2" t="str">
        <f t="shared" si="0"/>
        <v>terminal</v>
      </c>
      <c r="L44" s="2" t="str" cm="1">
        <f t="array" ref="L44">TEXT(_xlfn.SWITCH(TRUE,E44="P",$B$1,AND(E44="",K44&lt;&gt;"TERMINAL"),$D$1,TRUE,HOUR(E44)),"00")</f>
        <v>00</v>
      </c>
      <c r="M44" s="2" t="str" cm="1">
        <f t="array" ref="M44">TEXT(_xlfn.SWITCH(TRUE,E44="P","00",AND(E44="",K44&lt;&gt;"TERMINAL"),"00",TRUE,MINUTE(E44)),"00")</f>
        <v>00</v>
      </c>
      <c r="N44" s="2" t="str" cm="1">
        <f t="array" ref="N44">TEXT(_xlfn.SWITCH(TRUE,E44="P","00",AND(E44="",K44&lt;&gt;"TERMINAL"),"00",TRUE,SECOND(E44)),"00")</f>
        <v>00</v>
      </c>
      <c r="O44" s="2" t="str" cm="1">
        <f t="array" ref="O44">_xlfn.SWITCH(TRUE,AND(L44="00",K44&lt;&gt;"TERMINAL"),TEXT($B$2,"00"),L44=TEXT($B$1,"00"),TEXT($B$1,"00"),L44=TEXT($D$1,"00"),TEXT($D$1,"00"),TRUE,+L44)</f>
        <v>00</v>
      </c>
      <c r="P44" s="2" t="str" cm="1">
        <f t="array" ref="P44">_xlfn.SWITCH(TRUE,OR(L44=TEXT($B$1,"00"),L44=TEXT($D$1,"00")),"00",AND(M44="00",K44&lt;&gt;"TERMINAL"),TEXT($D$2,"00"),TRUE,M44)</f>
        <v>00</v>
      </c>
      <c r="Q44" s="2" t="str" cm="1">
        <f t="array" ref="Q44">_xlfn.SWITCH(TRUE,OR(L44=TEXT($B$1,"00"),L44=TEXT($D$1,"00")),"00",AND(N44="00",K44&lt;&gt;"TERMINAL"),TEXT($F$2,"00"),TRUE,N44)</f>
        <v>00</v>
      </c>
      <c r="R44" s="2" t="str">
        <f t="shared" si="1"/>
        <v>00</v>
      </c>
      <c r="S44" s="2" t="str" cm="1">
        <f t="array" ref="S44">_xlfn.SWITCH(TRUE,F44="T",TEXT($F$1,"00"),AND(F44="",K44&lt;&gt;"TERMINAL"),"00",TRUE,TEXT(HOUR(F44),"00"))</f>
        <v>00</v>
      </c>
      <c r="T44" s="2" t="str" cm="1">
        <f t="array" ref="T44">TEXT(_xlfn.SWITCH(TRUE,F44="T","00",AND(F44="",K44&lt;&gt;"TERMINAL"),"00",TRUE,MINUTE(F44)),"00")</f>
        <v>00</v>
      </c>
      <c r="U44" s="2" t="str" cm="1">
        <f t="array" ref="U44">TEXT(_xlfn.SWITCH(TRUE,F44="T","00",AND(F44="",K44&lt;&gt;"TERMINAL"),"00",TRUE,SECOND(F44)),"00")</f>
        <v>00</v>
      </c>
      <c r="V44" s="2" t="str">
        <f t="shared" si="2"/>
        <v>00</v>
      </c>
      <c r="W44" s="2" t="str" cm="1">
        <f t="array" ref="W44">_xlfn.SWITCH(TRUE,OR(S44=TEXT($B$1,"00"),S44=TEXT($D$1,"00")),"00",AND(T44="00",K44&lt;&gt;"TERMINAL"),TEXT($D$2,"00"),TRUE,T44)</f>
        <v>00</v>
      </c>
      <c r="X44" s="2" t="str" cm="1">
        <f t="array" ref="X44">_xlfn.SWITCH(TRUE,OR(S44=TEXT($B$1,"00"),S44=TEXT($D$1,"00")),"00",AND(U44="00",K44&lt;&gt;"TERMINAL"),TEXT($F$2,"00"),TRUE,U44)</f>
        <v>00</v>
      </c>
      <c r="Y44" s="2" t="str">
        <f t="shared" si="3"/>
        <v>00</v>
      </c>
      <c r="Z44" s="2" t="str">
        <f t="shared" si="6"/>
        <v>FALSE</v>
      </c>
      <c r="AA44" s="2" t="str">
        <f t="shared" si="4"/>
        <v>000000</v>
      </c>
      <c r="AB44" s="2" t="str">
        <f t="shared" si="5"/>
        <v>000000</v>
      </c>
      <c r="AC44" s="2" t="str" cm="1">
        <f t="array" ref="AC44">TEXT($D44,"000")&amp;TEXT(IFERROR(INDEX($D$5:$D$103,_xlfn.AGGREGATE(15,6,ROW($E$5:$E$103)/(($E$5:$E$103&lt;&gt;"p")*($E$5:$E$103&lt;&gt;"t")*(ROW($E$5:$E$103)&gt;ROW($E44))),1)-ROW($E$5)+1),$D44),"000")</f>
        <v>000000</v>
      </c>
      <c r="AD44" s="2" t="str" cm="1">
        <f t="array" ref="AD44">TEXT(_xlfn.XLOOKUP(TRUE, AA45:AA$103&lt;&gt;"250000", AA45:AA$103, "未找到"),"000000")</f>
        <v>000000</v>
      </c>
      <c r="AE44" s="2" t="str" cm="1">
        <f t="array" ref="AE44">_xlfn.SWITCH(TRUE,J44&lt;&gt;"",TEXT(J44,"MMSS"),TRUE,IFERROR(TEXT(E45-F44,"MMSS"),"0000"))</f>
        <v>0000</v>
      </c>
    </row>
    <row r="45" spans="1:31">
      <c r="A45" s="2">
        <v>42</v>
      </c>
      <c r="B45" s="5"/>
      <c r="C45" s="5"/>
      <c r="D45" s="5"/>
      <c r="E45" s="5"/>
      <c r="F45" s="5"/>
      <c r="G45" s="5"/>
      <c r="H45" s="5"/>
      <c r="I45" s="5"/>
      <c r="J45" s="5"/>
      <c r="K45" s="2" t="str">
        <f t="shared" si="0"/>
        <v>terminal</v>
      </c>
      <c r="L45" s="2" t="str" cm="1">
        <f t="array" ref="L45">TEXT(_xlfn.SWITCH(TRUE,E45="P",$B$1,AND(E45="",K45&lt;&gt;"TERMINAL"),$D$1,TRUE,HOUR(E45)),"00")</f>
        <v>00</v>
      </c>
      <c r="M45" s="2" t="str" cm="1">
        <f t="array" ref="M45">TEXT(_xlfn.SWITCH(TRUE,E45="P","00",AND(E45="",K45&lt;&gt;"TERMINAL"),"00",TRUE,MINUTE(E45)),"00")</f>
        <v>00</v>
      </c>
      <c r="N45" s="2" t="str" cm="1">
        <f t="array" ref="N45">TEXT(_xlfn.SWITCH(TRUE,E45="P","00",AND(E45="",K45&lt;&gt;"TERMINAL"),"00",TRUE,SECOND(E45)),"00")</f>
        <v>00</v>
      </c>
      <c r="O45" s="2" t="str" cm="1">
        <f t="array" ref="O45">_xlfn.SWITCH(TRUE,AND(L45="00",K45&lt;&gt;"TERMINAL"),TEXT($B$2,"00"),L45=TEXT($B$1,"00"),TEXT($B$1,"00"),L45=TEXT($D$1,"00"),TEXT($D$1,"00"),TRUE,+L45)</f>
        <v>00</v>
      </c>
      <c r="P45" s="2" t="str" cm="1">
        <f t="array" ref="P45">_xlfn.SWITCH(TRUE,OR(L45=TEXT($B$1,"00"),L45=TEXT($D$1,"00")),"00",AND(M45="00",K45&lt;&gt;"TERMINAL"),TEXT($D$2,"00"),TRUE,M45)</f>
        <v>00</v>
      </c>
      <c r="Q45" s="2" t="str" cm="1">
        <f t="array" ref="Q45">_xlfn.SWITCH(TRUE,OR(L45=TEXT($B$1,"00"),L45=TEXT($D$1,"00")),"00",AND(N45="00",K45&lt;&gt;"TERMINAL"),TEXT($F$2,"00"),TRUE,N45)</f>
        <v>00</v>
      </c>
      <c r="R45" s="2" t="str">
        <f t="shared" si="1"/>
        <v>00</v>
      </c>
      <c r="S45" s="2" t="str" cm="1">
        <f t="array" ref="S45">_xlfn.SWITCH(TRUE,F45="T",TEXT($F$1,"00"),AND(F45="",K45&lt;&gt;"TERMINAL"),"00",TRUE,TEXT(HOUR(F45),"00"))</f>
        <v>00</v>
      </c>
      <c r="T45" s="2" t="str" cm="1">
        <f t="array" ref="T45">TEXT(_xlfn.SWITCH(TRUE,F45="T","00",AND(F45="",K45&lt;&gt;"TERMINAL"),"00",TRUE,MINUTE(F45)),"00")</f>
        <v>00</v>
      </c>
      <c r="U45" s="2" t="str" cm="1">
        <f t="array" ref="U45">TEXT(_xlfn.SWITCH(TRUE,F45="T","00",AND(F45="",K45&lt;&gt;"TERMINAL"),"00",TRUE,SECOND(F45)),"00")</f>
        <v>00</v>
      </c>
      <c r="V45" s="2" t="str">
        <f t="shared" si="2"/>
        <v>00</v>
      </c>
      <c r="W45" s="2" t="str" cm="1">
        <f t="array" ref="W45">_xlfn.SWITCH(TRUE,OR(S45=TEXT($B$1,"00"),S45=TEXT($D$1,"00")),"00",AND(T45="00",K45&lt;&gt;"TERMINAL"),TEXT($D$2,"00"),TRUE,T45)</f>
        <v>00</v>
      </c>
      <c r="X45" s="2" t="str" cm="1">
        <f t="array" ref="X45">_xlfn.SWITCH(TRUE,OR(S45=TEXT($B$1,"00"),S45=TEXT($D$1,"00")),"00",AND(U45="00",K45&lt;&gt;"TERMINAL"),TEXT($F$2,"00"),TRUE,U45)</f>
        <v>00</v>
      </c>
      <c r="Y45" s="2" t="str">
        <f t="shared" si="3"/>
        <v>00</v>
      </c>
      <c r="Z45" s="2" t="str">
        <f t="shared" si="6"/>
        <v>FALSE</v>
      </c>
      <c r="AA45" s="2" t="str">
        <f t="shared" si="4"/>
        <v>000000</v>
      </c>
      <c r="AB45" s="2" t="str">
        <f t="shared" si="5"/>
        <v>000000</v>
      </c>
      <c r="AC45" s="2" t="str" cm="1">
        <f t="array" ref="AC45">TEXT($D45,"000")&amp;TEXT(IFERROR(INDEX($D$5:$D$103,_xlfn.AGGREGATE(15,6,ROW($E$5:$E$103)/(($E$5:$E$103&lt;&gt;"p")*($E$5:$E$103&lt;&gt;"t")*(ROW($E$5:$E$103)&gt;ROW($E45))),1)-ROW($E$5)+1),$D45),"000")</f>
        <v>000000</v>
      </c>
      <c r="AD45" s="2" t="str" cm="1">
        <f t="array" ref="AD45">TEXT(_xlfn.XLOOKUP(TRUE, AA46:AA$103&lt;&gt;"250000", AA46:AA$103, "未找到"),"000000")</f>
        <v>000000</v>
      </c>
      <c r="AE45" s="2" t="str" cm="1">
        <f t="array" ref="AE45">_xlfn.SWITCH(TRUE,J45&lt;&gt;"",TEXT(J45,"MMSS"),TRUE,IFERROR(TEXT(E46-F45,"MMSS"),"0000"))</f>
        <v>0000</v>
      </c>
    </row>
    <row r="46" spans="1:31">
      <c r="A46" s="2">
        <v>43</v>
      </c>
      <c r="B46" s="5"/>
      <c r="C46" s="5"/>
      <c r="D46" s="5"/>
      <c r="E46" s="5"/>
      <c r="F46" s="5"/>
      <c r="G46" s="5"/>
      <c r="H46" s="5"/>
      <c r="I46" s="5"/>
      <c r="J46" s="5"/>
      <c r="K46" s="2" t="str">
        <f t="shared" si="0"/>
        <v>terminal</v>
      </c>
      <c r="L46" s="2" t="str" cm="1">
        <f t="array" ref="L46">TEXT(_xlfn.SWITCH(TRUE,E46="P",$B$1,AND(E46="",K46&lt;&gt;"TERMINAL"),$D$1,TRUE,HOUR(E46)),"00")</f>
        <v>00</v>
      </c>
      <c r="M46" s="2" t="str" cm="1">
        <f t="array" ref="M46">TEXT(_xlfn.SWITCH(TRUE,E46="P","00",AND(E46="",K46&lt;&gt;"TERMINAL"),"00",TRUE,MINUTE(E46)),"00")</f>
        <v>00</v>
      </c>
      <c r="N46" s="2" t="str" cm="1">
        <f t="array" ref="N46">TEXT(_xlfn.SWITCH(TRUE,E46="P","00",AND(E46="",K46&lt;&gt;"TERMINAL"),"00",TRUE,SECOND(E46)),"00")</f>
        <v>00</v>
      </c>
      <c r="O46" s="2" t="str" cm="1">
        <f t="array" ref="O46">_xlfn.SWITCH(TRUE,AND(L46="00",K46&lt;&gt;"TERMINAL"),TEXT($B$2,"00"),L46=TEXT($B$1,"00"),TEXT($B$1,"00"),L46=TEXT($D$1,"00"),TEXT($D$1,"00"),TRUE,+L46)</f>
        <v>00</v>
      </c>
      <c r="P46" s="2" t="str" cm="1">
        <f t="array" ref="P46">_xlfn.SWITCH(TRUE,OR(L46=TEXT($B$1,"00"),L46=TEXT($D$1,"00")),"00",AND(M46="00",K46&lt;&gt;"TERMINAL"),TEXT($D$2,"00"),TRUE,M46)</f>
        <v>00</v>
      </c>
      <c r="Q46" s="2" t="str" cm="1">
        <f t="array" ref="Q46">_xlfn.SWITCH(TRUE,OR(L46=TEXT($B$1,"00"),L46=TEXT($D$1,"00")),"00",AND(N46="00",K46&lt;&gt;"TERMINAL"),TEXT($F$2,"00"),TRUE,N46)</f>
        <v>00</v>
      </c>
      <c r="R46" s="2" t="str">
        <f t="shared" si="1"/>
        <v>00</v>
      </c>
      <c r="S46" s="2" t="str" cm="1">
        <f t="array" ref="S46">_xlfn.SWITCH(TRUE,F46="T",TEXT($F$1,"00"),AND(F46="",K46&lt;&gt;"TERMINAL"),"00",TRUE,TEXT(HOUR(F46),"00"))</f>
        <v>00</v>
      </c>
      <c r="T46" s="2" t="str" cm="1">
        <f t="array" ref="T46">TEXT(_xlfn.SWITCH(TRUE,F46="T","00",AND(F46="",K46&lt;&gt;"TERMINAL"),"00",TRUE,MINUTE(F46)),"00")</f>
        <v>00</v>
      </c>
      <c r="U46" s="2" t="str" cm="1">
        <f t="array" ref="U46">TEXT(_xlfn.SWITCH(TRUE,F46="T","00",AND(F46="",K46&lt;&gt;"TERMINAL"),"00",TRUE,SECOND(F46)),"00")</f>
        <v>00</v>
      </c>
      <c r="V46" s="2" t="str">
        <f t="shared" si="2"/>
        <v>00</v>
      </c>
      <c r="W46" s="2" t="str" cm="1">
        <f t="array" ref="W46">_xlfn.SWITCH(TRUE,OR(S46=TEXT($B$1,"00"),S46=TEXT($D$1,"00")),"00",AND(T46="00",K46&lt;&gt;"TERMINAL"),TEXT($D$2,"00"),TRUE,T46)</f>
        <v>00</v>
      </c>
      <c r="X46" s="2" t="str" cm="1">
        <f t="array" ref="X46">_xlfn.SWITCH(TRUE,OR(S46=TEXT($B$1,"00"),S46=TEXT($D$1,"00")),"00",AND(U46="00",K46&lt;&gt;"TERMINAL"),TEXT($F$2,"00"),TRUE,U46)</f>
        <v>00</v>
      </c>
      <c r="Y46" s="2" t="str">
        <f t="shared" si="3"/>
        <v>00</v>
      </c>
      <c r="Z46" s="2" t="str">
        <f t="shared" si="6"/>
        <v>FALSE</v>
      </c>
      <c r="AA46" s="2" t="str">
        <f t="shared" si="4"/>
        <v>000000</v>
      </c>
      <c r="AB46" s="2" t="str">
        <f t="shared" si="5"/>
        <v>000000</v>
      </c>
      <c r="AC46" s="2" t="str" cm="1">
        <f t="array" ref="AC46">TEXT($D46,"000")&amp;TEXT(IFERROR(INDEX($D$5:$D$103,_xlfn.AGGREGATE(15,6,ROW($E$5:$E$103)/(($E$5:$E$103&lt;&gt;"p")*($E$5:$E$103&lt;&gt;"t")*(ROW($E$5:$E$103)&gt;ROW($E46))),1)-ROW($E$5)+1),$D46),"000")</f>
        <v>000000</v>
      </c>
      <c r="AD46" s="2" t="str" cm="1">
        <f t="array" ref="AD46">TEXT(_xlfn.XLOOKUP(TRUE, AA47:AA$103&lt;&gt;"250000", AA47:AA$103, "未找到"),"000000")</f>
        <v>000000</v>
      </c>
      <c r="AE46" s="2" t="str" cm="1">
        <f t="array" ref="AE46">_xlfn.SWITCH(TRUE,J46&lt;&gt;"",TEXT(J46,"MMSS"),TRUE,IFERROR(TEXT(E47-F46,"MMSS"),"0000"))</f>
        <v>0000</v>
      </c>
    </row>
    <row r="47" spans="1:31">
      <c r="A47" s="2">
        <v>44</v>
      </c>
      <c r="B47" s="5"/>
      <c r="C47" s="5"/>
      <c r="D47" s="5"/>
      <c r="E47" s="5"/>
      <c r="F47" s="5"/>
      <c r="G47" s="5"/>
      <c r="H47" s="5"/>
      <c r="I47" s="5"/>
      <c r="J47" s="5"/>
      <c r="K47" s="2" t="str">
        <f t="shared" si="0"/>
        <v>terminal</v>
      </c>
      <c r="L47" s="2" t="str" cm="1">
        <f t="array" ref="L47">TEXT(_xlfn.SWITCH(TRUE,E47="P",$B$1,AND(E47="",K47&lt;&gt;"TERMINAL"),$D$1,TRUE,HOUR(E47)),"00")</f>
        <v>00</v>
      </c>
      <c r="M47" s="2" t="str" cm="1">
        <f t="array" ref="M47">TEXT(_xlfn.SWITCH(TRUE,E47="P","00",AND(E47="",K47&lt;&gt;"TERMINAL"),"00",TRUE,MINUTE(E47)),"00")</f>
        <v>00</v>
      </c>
      <c r="N47" s="2" t="str" cm="1">
        <f t="array" ref="N47">TEXT(_xlfn.SWITCH(TRUE,E47="P","00",AND(E47="",K47&lt;&gt;"TERMINAL"),"00",TRUE,SECOND(E47)),"00")</f>
        <v>00</v>
      </c>
      <c r="O47" s="2" t="str" cm="1">
        <f t="array" ref="O47">_xlfn.SWITCH(TRUE,AND(L47="00",K47&lt;&gt;"TERMINAL"),TEXT($B$2,"00"),L47=TEXT($B$1,"00"),TEXT($B$1,"00"),L47=TEXT($D$1,"00"),TEXT($D$1,"00"),TRUE,+L47)</f>
        <v>00</v>
      </c>
      <c r="P47" s="2" t="str" cm="1">
        <f t="array" ref="P47">_xlfn.SWITCH(TRUE,OR(L47=TEXT($B$1,"00"),L47=TEXT($D$1,"00")),"00",AND(M47="00",K47&lt;&gt;"TERMINAL"),TEXT($D$2,"00"),TRUE,M47)</f>
        <v>00</v>
      </c>
      <c r="Q47" s="2" t="str" cm="1">
        <f t="array" ref="Q47">_xlfn.SWITCH(TRUE,OR(L47=TEXT($B$1,"00"),L47=TEXT($D$1,"00")),"00",AND(N47="00",K47&lt;&gt;"TERMINAL"),TEXT($F$2,"00"),TRUE,N47)</f>
        <v>00</v>
      </c>
      <c r="R47" s="2" t="str">
        <f t="shared" si="1"/>
        <v>00</v>
      </c>
      <c r="S47" s="2" t="str" cm="1">
        <f t="array" ref="S47">_xlfn.SWITCH(TRUE,F47="T",TEXT($F$1,"00"),AND(F47="",K47&lt;&gt;"TERMINAL"),"00",TRUE,TEXT(HOUR(F47),"00"))</f>
        <v>00</v>
      </c>
      <c r="T47" s="2" t="str" cm="1">
        <f t="array" ref="T47">TEXT(_xlfn.SWITCH(TRUE,F47="T","00",AND(F47="",K47&lt;&gt;"TERMINAL"),"00",TRUE,MINUTE(F47)),"00")</f>
        <v>00</v>
      </c>
      <c r="U47" s="2" t="str" cm="1">
        <f t="array" ref="U47">TEXT(_xlfn.SWITCH(TRUE,F47="T","00",AND(F47="",K47&lt;&gt;"TERMINAL"),"00",TRUE,SECOND(F47)),"00")</f>
        <v>00</v>
      </c>
      <c r="V47" s="2" t="str">
        <f t="shared" si="2"/>
        <v>00</v>
      </c>
      <c r="W47" s="2" t="str" cm="1">
        <f t="array" ref="W47">_xlfn.SWITCH(TRUE,OR(S47=TEXT($B$1,"00"),S47=TEXT($D$1,"00")),"00",AND(T47="00",K47&lt;&gt;"TERMINAL"),TEXT($D$2,"00"),TRUE,T47)</f>
        <v>00</v>
      </c>
      <c r="X47" s="2" t="str" cm="1">
        <f t="array" ref="X47">_xlfn.SWITCH(TRUE,OR(S47=TEXT($B$1,"00"),S47=TEXT($D$1,"00")),"00",AND(U47="00",K47&lt;&gt;"TERMINAL"),TEXT($F$2,"00"),TRUE,U47)</f>
        <v>00</v>
      </c>
      <c r="Y47" s="2" t="str">
        <f t="shared" si="3"/>
        <v>00</v>
      </c>
      <c r="Z47" s="2" t="str">
        <f t="shared" si="6"/>
        <v>FALSE</v>
      </c>
      <c r="AA47" s="2" t="str">
        <f t="shared" si="4"/>
        <v>000000</v>
      </c>
      <c r="AB47" s="2" t="str">
        <f t="shared" si="5"/>
        <v>000000</v>
      </c>
      <c r="AC47" s="2" t="str" cm="1">
        <f t="array" ref="AC47">TEXT($D47,"000")&amp;TEXT(IFERROR(INDEX($D$5:$D$103,_xlfn.AGGREGATE(15,6,ROW($E$5:$E$103)/(($E$5:$E$103&lt;&gt;"p")*($E$5:$E$103&lt;&gt;"t")*(ROW($E$5:$E$103)&gt;ROW($E47))),1)-ROW($E$5)+1),$D47),"000")</f>
        <v>000000</v>
      </c>
      <c r="AD47" s="2" t="str" cm="1">
        <f t="array" ref="AD47">TEXT(_xlfn.XLOOKUP(TRUE, AA48:AA$103&lt;&gt;"250000", AA48:AA$103, "未找到"),"000000")</f>
        <v>000000</v>
      </c>
      <c r="AE47" s="2" t="str" cm="1">
        <f t="array" ref="AE47">_xlfn.SWITCH(TRUE,J47&lt;&gt;"",TEXT(J47,"MMSS"),TRUE,IFERROR(TEXT(E48-F47,"MMSS"),"0000"))</f>
        <v>0000</v>
      </c>
    </row>
    <row r="48" spans="1:31">
      <c r="A48" s="2">
        <v>45</v>
      </c>
      <c r="B48" s="5"/>
      <c r="C48" s="5"/>
      <c r="D48" s="5"/>
      <c r="E48" s="5"/>
      <c r="F48" s="5"/>
      <c r="G48" s="5"/>
      <c r="H48" s="5"/>
      <c r="I48" s="5"/>
      <c r="J48" s="5"/>
      <c r="K48" s="2" t="str">
        <f t="shared" si="0"/>
        <v>terminal</v>
      </c>
      <c r="L48" s="2" t="str" cm="1">
        <f t="array" ref="L48">TEXT(_xlfn.SWITCH(TRUE,E48="P",$B$1,AND(E48="",K48&lt;&gt;"TERMINAL"),$D$1,TRUE,HOUR(E48)),"00")</f>
        <v>00</v>
      </c>
      <c r="M48" s="2" t="str" cm="1">
        <f t="array" ref="M48">TEXT(_xlfn.SWITCH(TRUE,E48="P","00",AND(E48="",K48&lt;&gt;"TERMINAL"),"00",TRUE,MINUTE(E48)),"00")</f>
        <v>00</v>
      </c>
      <c r="N48" s="2" t="str" cm="1">
        <f t="array" ref="N48">TEXT(_xlfn.SWITCH(TRUE,E48="P","00",AND(E48="",K48&lt;&gt;"TERMINAL"),"00",TRUE,SECOND(E48)),"00")</f>
        <v>00</v>
      </c>
      <c r="O48" s="2" t="str" cm="1">
        <f t="array" ref="O48">_xlfn.SWITCH(TRUE,AND(L48="00",K48&lt;&gt;"TERMINAL"),TEXT($B$2,"00"),L48=TEXT($B$1,"00"),TEXT($B$1,"00"),L48=TEXT($D$1,"00"),TEXT($D$1,"00"),TRUE,+L48)</f>
        <v>00</v>
      </c>
      <c r="P48" s="2" t="str" cm="1">
        <f t="array" ref="P48">_xlfn.SWITCH(TRUE,OR(L48=TEXT($B$1,"00"),L48=TEXT($D$1,"00")),"00",AND(M48="00",K48&lt;&gt;"TERMINAL"),TEXT($D$2,"00"),TRUE,M48)</f>
        <v>00</v>
      </c>
      <c r="Q48" s="2" t="str" cm="1">
        <f t="array" ref="Q48">_xlfn.SWITCH(TRUE,OR(L48=TEXT($B$1,"00"),L48=TEXT($D$1,"00")),"00",AND(N48="00",K48&lt;&gt;"TERMINAL"),TEXT($F$2,"00"),TRUE,N48)</f>
        <v>00</v>
      </c>
      <c r="R48" s="2" t="str">
        <f t="shared" si="1"/>
        <v>00</v>
      </c>
      <c r="S48" s="2" t="str" cm="1">
        <f t="array" ref="S48">_xlfn.SWITCH(TRUE,F48="T",TEXT($F$1,"00"),AND(F48="",K48&lt;&gt;"TERMINAL"),"00",TRUE,TEXT(HOUR(F48),"00"))</f>
        <v>00</v>
      </c>
      <c r="T48" s="2" t="str" cm="1">
        <f t="array" ref="T48">TEXT(_xlfn.SWITCH(TRUE,F48="T","00",AND(F48="",K48&lt;&gt;"TERMINAL"),"00",TRUE,MINUTE(F48)),"00")</f>
        <v>00</v>
      </c>
      <c r="U48" s="2" t="str" cm="1">
        <f t="array" ref="U48">TEXT(_xlfn.SWITCH(TRUE,F48="T","00",AND(F48="",K48&lt;&gt;"TERMINAL"),"00",TRUE,SECOND(F48)),"00")</f>
        <v>00</v>
      </c>
      <c r="V48" s="2" t="str">
        <f t="shared" si="2"/>
        <v>00</v>
      </c>
      <c r="W48" s="2" t="str" cm="1">
        <f t="array" ref="W48">_xlfn.SWITCH(TRUE,OR(S48=TEXT($B$1,"00"),S48=TEXT($D$1,"00")),"00",AND(T48="00",K48&lt;&gt;"TERMINAL"),TEXT($D$2,"00"),TRUE,T48)</f>
        <v>00</v>
      </c>
      <c r="X48" s="2" t="str" cm="1">
        <f t="array" ref="X48">_xlfn.SWITCH(TRUE,OR(S48=TEXT($B$1,"00"),S48=TEXT($D$1,"00")),"00",AND(U48="00",K48&lt;&gt;"TERMINAL"),TEXT($F$2,"00"),TRUE,U48)</f>
        <v>00</v>
      </c>
      <c r="Y48" s="2" t="str">
        <f t="shared" si="3"/>
        <v>00</v>
      </c>
      <c r="Z48" s="2" t="str">
        <f t="shared" si="6"/>
        <v>FALSE</v>
      </c>
      <c r="AA48" s="2" t="str">
        <f t="shared" si="4"/>
        <v>000000</v>
      </c>
      <c r="AB48" s="2" t="str">
        <f t="shared" si="5"/>
        <v>000000</v>
      </c>
      <c r="AC48" s="2" t="str" cm="1">
        <f t="array" ref="AC48">TEXT($D48,"000")&amp;TEXT(IFERROR(INDEX($D$5:$D$103,_xlfn.AGGREGATE(15,6,ROW($E$5:$E$103)/(($E$5:$E$103&lt;&gt;"p")*($E$5:$E$103&lt;&gt;"t")*(ROW($E$5:$E$103)&gt;ROW($E48))),1)-ROW($E$5)+1),$D48),"000")</f>
        <v>000000</v>
      </c>
      <c r="AD48" s="2" t="str" cm="1">
        <f t="array" ref="AD48">TEXT(_xlfn.XLOOKUP(TRUE, AA49:AA$103&lt;&gt;"250000", AA49:AA$103, "未找到"),"000000")</f>
        <v>000000</v>
      </c>
      <c r="AE48" s="2" t="str" cm="1">
        <f t="array" ref="AE48">_xlfn.SWITCH(TRUE,J48&lt;&gt;"",TEXT(J48,"MMSS"),TRUE,IFERROR(TEXT(E49-F48,"MMSS"),"0000"))</f>
        <v>0000</v>
      </c>
    </row>
    <row r="49" spans="1:31">
      <c r="A49" s="2">
        <v>46</v>
      </c>
      <c r="B49" s="5"/>
      <c r="C49" s="5"/>
      <c r="D49" s="5"/>
      <c r="E49" s="5"/>
      <c r="F49" s="5"/>
      <c r="G49" s="5"/>
      <c r="H49" s="5"/>
      <c r="I49" s="5"/>
      <c r="J49" s="5"/>
      <c r="K49" s="2" t="str">
        <f t="shared" si="0"/>
        <v>terminal</v>
      </c>
      <c r="L49" s="2" t="str" cm="1">
        <f t="array" ref="L49">TEXT(_xlfn.SWITCH(TRUE,E49="P",$B$1,AND(E49="",K49&lt;&gt;"TERMINAL"),$D$1,TRUE,HOUR(E49)),"00")</f>
        <v>00</v>
      </c>
      <c r="M49" s="2" t="str" cm="1">
        <f t="array" ref="M49">TEXT(_xlfn.SWITCH(TRUE,E49="P","00",AND(E49="",K49&lt;&gt;"TERMINAL"),"00",TRUE,MINUTE(E49)),"00")</f>
        <v>00</v>
      </c>
      <c r="N49" s="2" t="str" cm="1">
        <f t="array" ref="N49">TEXT(_xlfn.SWITCH(TRUE,E49="P","00",AND(E49="",K49&lt;&gt;"TERMINAL"),"00",TRUE,SECOND(E49)),"00")</f>
        <v>00</v>
      </c>
      <c r="O49" s="2" t="str" cm="1">
        <f t="array" ref="O49">_xlfn.SWITCH(TRUE,AND(L49="00",K49&lt;&gt;"TERMINAL"),TEXT($B$2,"00"),L49=TEXT($B$1,"00"),TEXT($B$1,"00"),L49=TEXT($D$1,"00"),TEXT($D$1,"00"),TRUE,+L49)</f>
        <v>00</v>
      </c>
      <c r="P49" s="2" t="str" cm="1">
        <f t="array" ref="P49">_xlfn.SWITCH(TRUE,OR(L49=TEXT($B$1,"00"),L49=TEXT($D$1,"00")),"00",AND(M49="00",K49&lt;&gt;"TERMINAL"),TEXT($D$2,"00"),TRUE,M49)</f>
        <v>00</v>
      </c>
      <c r="Q49" s="2" t="str" cm="1">
        <f t="array" ref="Q49">_xlfn.SWITCH(TRUE,OR(L49=TEXT($B$1,"00"),L49=TEXT($D$1,"00")),"00",AND(N49="00",K49&lt;&gt;"TERMINAL"),TEXT($F$2,"00"),TRUE,N49)</f>
        <v>00</v>
      </c>
      <c r="R49" s="2" t="str">
        <f t="shared" si="1"/>
        <v>00</v>
      </c>
      <c r="S49" s="2" t="str" cm="1">
        <f t="array" ref="S49">_xlfn.SWITCH(TRUE,F49="T",TEXT($F$1,"00"),AND(F49="",K49&lt;&gt;"TERMINAL"),"00",TRUE,TEXT(HOUR(F49),"00"))</f>
        <v>00</v>
      </c>
      <c r="T49" s="2" t="str" cm="1">
        <f t="array" ref="T49">TEXT(_xlfn.SWITCH(TRUE,F49="T","00",AND(F49="",K49&lt;&gt;"TERMINAL"),"00",TRUE,MINUTE(F49)),"00")</f>
        <v>00</v>
      </c>
      <c r="U49" s="2" t="str" cm="1">
        <f t="array" ref="U49">TEXT(_xlfn.SWITCH(TRUE,F49="T","00",AND(F49="",K49&lt;&gt;"TERMINAL"),"00",TRUE,SECOND(F49)),"00")</f>
        <v>00</v>
      </c>
      <c r="V49" s="2" t="str">
        <f t="shared" si="2"/>
        <v>00</v>
      </c>
      <c r="W49" s="2" t="str" cm="1">
        <f t="array" ref="W49">_xlfn.SWITCH(TRUE,OR(S49=TEXT($B$1,"00"),S49=TEXT($D$1,"00")),"00",AND(T49="00",K49&lt;&gt;"TERMINAL"),TEXT($D$2,"00"),TRUE,T49)</f>
        <v>00</v>
      </c>
      <c r="X49" s="2" t="str" cm="1">
        <f t="array" ref="X49">_xlfn.SWITCH(TRUE,OR(S49=TEXT($B$1,"00"),S49=TEXT($D$1,"00")),"00",AND(U49="00",K49&lt;&gt;"TERMINAL"),TEXT($F$2,"00"),TRUE,U49)</f>
        <v>00</v>
      </c>
      <c r="Y49" s="2" t="str">
        <f t="shared" si="3"/>
        <v>00</v>
      </c>
      <c r="Z49" s="2" t="str">
        <f t="shared" si="6"/>
        <v>FALSE</v>
      </c>
      <c r="AA49" s="2" t="str">
        <f t="shared" si="4"/>
        <v>000000</v>
      </c>
      <c r="AB49" s="2" t="str">
        <f t="shared" si="5"/>
        <v>000000</v>
      </c>
      <c r="AC49" s="2" t="str" cm="1">
        <f t="array" ref="AC49">TEXT($D49,"000")&amp;TEXT(IFERROR(INDEX($D$5:$D$103,_xlfn.AGGREGATE(15,6,ROW($E$5:$E$103)/(($E$5:$E$103&lt;&gt;"p")*($E$5:$E$103&lt;&gt;"t")*(ROW($E$5:$E$103)&gt;ROW($E49))),1)-ROW($E$5)+1),$D49),"000")</f>
        <v>000000</v>
      </c>
      <c r="AD49" s="2" t="str" cm="1">
        <f t="array" ref="AD49">TEXT(_xlfn.XLOOKUP(TRUE, AA50:AA$103&lt;&gt;"250000", AA50:AA$103, "未找到"),"000000")</f>
        <v>000000</v>
      </c>
      <c r="AE49" s="2" t="str" cm="1">
        <f t="array" ref="AE49">_xlfn.SWITCH(TRUE,J49&lt;&gt;"",TEXT(J49,"MMSS"),TRUE,IFERROR(TEXT(E50-F49,"MMSS"),"0000"))</f>
        <v>0000</v>
      </c>
    </row>
    <row r="50" spans="1:31">
      <c r="A50" s="2">
        <v>47</v>
      </c>
      <c r="B50" s="5"/>
      <c r="C50" s="5"/>
      <c r="D50" s="5"/>
      <c r="E50" s="5"/>
      <c r="F50" s="5"/>
      <c r="G50" s="5"/>
      <c r="H50" s="5"/>
      <c r="I50" s="5"/>
      <c r="J50" s="5"/>
      <c r="K50" s="2" t="str">
        <f t="shared" si="0"/>
        <v>terminal</v>
      </c>
      <c r="L50" s="2" t="str" cm="1">
        <f t="array" ref="L50">TEXT(_xlfn.SWITCH(TRUE,E50="P",$B$1,AND(E50="",K50&lt;&gt;"TERMINAL"),$D$1,TRUE,HOUR(E50)),"00")</f>
        <v>00</v>
      </c>
      <c r="M50" s="2" t="str" cm="1">
        <f t="array" ref="M50">TEXT(_xlfn.SWITCH(TRUE,E50="P","00",AND(E50="",K50&lt;&gt;"TERMINAL"),"00",TRUE,MINUTE(E50)),"00")</f>
        <v>00</v>
      </c>
      <c r="N50" s="2" t="str" cm="1">
        <f t="array" ref="N50">TEXT(_xlfn.SWITCH(TRUE,E50="P","00",AND(E50="",K50&lt;&gt;"TERMINAL"),"00",TRUE,SECOND(E50)),"00")</f>
        <v>00</v>
      </c>
      <c r="O50" s="2" t="str" cm="1">
        <f t="array" ref="O50">_xlfn.SWITCH(TRUE,AND(L50="00",K50&lt;&gt;"TERMINAL"),TEXT($B$2,"00"),L50=TEXT($B$1,"00"),TEXT($B$1,"00"),L50=TEXT($D$1,"00"),TEXT($D$1,"00"),TRUE,+L50)</f>
        <v>00</v>
      </c>
      <c r="P50" s="2" t="str" cm="1">
        <f t="array" ref="P50">_xlfn.SWITCH(TRUE,OR(L50=TEXT($B$1,"00"),L50=TEXT($D$1,"00")),"00",AND(M50="00",K50&lt;&gt;"TERMINAL"),TEXT($D$2,"00"),TRUE,M50)</f>
        <v>00</v>
      </c>
      <c r="Q50" s="2" t="str" cm="1">
        <f t="array" ref="Q50">_xlfn.SWITCH(TRUE,OR(L50=TEXT($B$1,"00"),L50=TEXT($D$1,"00")),"00",AND(N50="00",K50&lt;&gt;"TERMINAL"),TEXT($F$2,"00"),TRUE,N50)</f>
        <v>00</v>
      </c>
      <c r="R50" s="2" t="str">
        <f t="shared" si="1"/>
        <v>00</v>
      </c>
      <c r="S50" s="2" t="str" cm="1">
        <f t="array" ref="S50">_xlfn.SWITCH(TRUE,F50="T",TEXT($F$1,"00"),AND(F50="",K50&lt;&gt;"TERMINAL"),"00",TRUE,TEXT(HOUR(F50),"00"))</f>
        <v>00</v>
      </c>
      <c r="T50" s="2" t="str" cm="1">
        <f t="array" ref="T50">TEXT(_xlfn.SWITCH(TRUE,F50="T","00",AND(F50="",K50&lt;&gt;"TERMINAL"),"00",TRUE,MINUTE(F50)),"00")</f>
        <v>00</v>
      </c>
      <c r="U50" s="2" t="str" cm="1">
        <f t="array" ref="U50">TEXT(_xlfn.SWITCH(TRUE,F50="T","00",AND(F50="",K50&lt;&gt;"TERMINAL"),"00",TRUE,SECOND(F50)),"00")</f>
        <v>00</v>
      </c>
      <c r="V50" s="2" t="str">
        <f t="shared" si="2"/>
        <v>00</v>
      </c>
      <c r="W50" s="2" t="str" cm="1">
        <f t="array" ref="W50">_xlfn.SWITCH(TRUE,OR(S50=TEXT($B$1,"00"),S50=TEXT($D$1,"00")),"00",AND(T50="00",K50&lt;&gt;"TERMINAL"),TEXT($D$2,"00"),TRUE,T50)</f>
        <v>00</v>
      </c>
      <c r="X50" s="2" t="str" cm="1">
        <f t="array" ref="X50">_xlfn.SWITCH(TRUE,OR(S50=TEXT($B$1,"00"),S50=TEXT($D$1,"00")),"00",AND(U50="00",K50&lt;&gt;"TERMINAL"),TEXT($F$2,"00"),TRUE,U50)</f>
        <v>00</v>
      </c>
      <c r="Y50" s="2" t="str">
        <f t="shared" si="3"/>
        <v>00</v>
      </c>
      <c r="Z50" s="2" t="str">
        <f t="shared" si="6"/>
        <v>FALSE</v>
      </c>
      <c r="AA50" s="2" t="str">
        <f t="shared" si="4"/>
        <v>000000</v>
      </c>
      <c r="AB50" s="2" t="str">
        <f t="shared" si="5"/>
        <v>000000</v>
      </c>
      <c r="AC50" s="2" t="str" cm="1">
        <f t="array" ref="AC50">TEXT($D50,"000")&amp;TEXT(IFERROR(INDEX($D$5:$D$103,_xlfn.AGGREGATE(15,6,ROW($E$5:$E$103)/(($E$5:$E$103&lt;&gt;"p")*($E$5:$E$103&lt;&gt;"t")*(ROW($E$5:$E$103)&gt;ROW($E50))),1)-ROW($E$5)+1),$D50),"000")</f>
        <v>000000</v>
      </c>
      <c r="AD50" s="2" t="str" cm="1">
        <f t="array" ref="AD50">TEXT(_xlfn.XLOOKUP(TRUE, AA51:AA$103&lt;&gt;"250000", AA51:AA$103, "未找到"),"000000")</f>
        <v>000000</v>
      </c>
      <c r="AE50" s="2" t="str" cm="1">
        <f t="array" ref="AE50">_xlfn.SWITCH(TRUE,J50&lt;&gt;"",TEXT(J50,"MMSS"),TRUE,IFERROR(TEXT(E51-F50,"MMSS"),"0000"))</f>
        <v>0000</v>
      </c>
    </row>
    <row r="51" spans="1:31">
      <c r="A51" s="2">
        <v>48</v>
      </c>
      <c r="B51" s="5"/>
      <c r="C51" s="5"/>
      <c r="D51" s="5"/>
      <c r="E51" s="5"/>
      <c r="F51" s="5"/>
      <c r="G51" s="5"/>
      <c r="H51" s="5"/>
      <c r="I51" s="5"/>
      <c r="J51" s="5"/>
      <c r="K51" s="2" t="str">
        <f t="shared" si="0"/>
        <v>terminal</v>
      </c>
      <c r="L51" s="2" t="str" cm="1">
        <f t="array" ref="L51">TEXT(_xlfn.SWITCH(TRUE,E51="P",$B$1,AND(E51="",K51&lt;&gt;"TERMINAL"),$D$1,TRUE,HOUR(E51)),"00")</f>
        <v>00</v>
      </c>
      <c r="M51" s="2" t="str" cm="1">
        <f t="array" ref="M51">TEXT(_xlfn.SWITCH(TRUE,E51="P","00",AND(E51="",K51&lt;&gt;"TERMINAL"),"00",TRUE,MINUTE(E51)),"00")</f>
        <v>00</v>
      </c>
      <c r="N51" s="2" t="str" cm="1">
        <f t="array" ref="N51">TEXT(_xlfn.SWITCH(TRUE,E51="P","00",AND(E51="",K51&lt;&gt;"TERMINAL"),"00",TRUE,SECOND(E51)),"00")</f>
        <v>00</v>
      </c>
      <c r="O51" s="2" t="str" cm="1">
        <f t="array" ref="O51">_xlfn.SWITCH(TRUE,AND(L51="00",K51&lt;&gt;"TERMINAL"),TEXT($B$2,"00"),L51=TEXT($B$1,"00"),TEXT($B$1,"00"),L51=TEXT($D$1,"00"),TEXT($D$1,"00"),TRUE,+L51)</f>
        <v>00</v>
      </c>
      <c r="P51" s="2" t="str" cm="1">
        <f t="array" ref="P51">_xlfn.SWITCH(TRUE,OR(L51=TEXT($B$1,"00"),L51=TEXT($D$1,"00")),"00",AND(M51="00",K51&lt;&gt;"TERMINAL"),TEXT($D$2,"00"),TRUE,M51)</f>
        <v>00</v>
      </c>
      <c r="Q51" s="2" t="str" cm="1">
        <f t="array" ref="Q51">_xlfn.SWITCH(TRUE,OR(L51=TEXT($B$1,"00"),L51=TEXT($D$1,"00")),"00",AND(N51="00",K51&lt;&gt;"TERMINAL"),TEXT($F$2,"00"),TRUE,N51)</f>
        <v>00</v>
      </c>
      <c r="R51" s="2" t="str">
        <f t="shared" si="1"/>
        <v>00</v>
      </c>
      <c r="S51" s="2" t="str" cm="1">
        <f t="array" ref="S51">_xlfn.SWITCH(TRUE,F51="T",TEXT($F$1,"00"),AND(F51="",K51&lt;&gt;"TERMINAL"),"00",TRUE,TEXT(HOUR(F51),"00"))</f>
        <v>00</v>
      </c>
      <c r="T51" s="2" t="str" cm="1">
        <f t="array" ref="T51">TEXT(_xlfn.SWITCH(TRUE,F51="T","00",AND(F51="",K51&lt;&gt;"TERMINAL"),"00",TRUE,MINUTE(F51)),"00")</f>
        <v>00</v>
      </c>
      <c r="U51" s="2" t="str" cm="1">
        <f t="array" ref="U51">TEXT(_xlfn.SWITCH(TRUE,F51="T","00",AND(F51="",K51&lt;&gt;"TERMINAL"),"00",TRUE,SECOND(F51)),"00")</f>
        <v>00</v>
      </c>
      <c r="V51" s="2" t="str">
        <f t="shared" si="2"/>
        <v>00</v>
      </c>
      <c r="W51" s="2" t="str" cm="1">
        <f t="array" ref="W51">_xlfn.SWITCH(TRUE,OR(S51=TEXT($B$1,"00"),S51=TEXT($D$1,"00")),"00",AND(T51="00",K51&lt;&gt;"TERMINAL"),TEXT($D$2,"00"),TRUE,T51)</f>
        <v>00</v>
      </c>
      <c r="X51" s="2" t="str" cm="1">
        <f t="array" ref="X51">_xlfn.SWITCH(TRUE,OR(S51=TEXT($B$1,"00"),S51=TEXT($D$1,"00")),"00",AND(U51="00",K51&lt;&gt;"TERMINAL"),TEXT($F$2,"00"),TRUE,U51)</f>
        <v>00</v>
      </c>
      <c r="Y51" s="2" t="str">
        <f t="shared" si="3"/>
        <v>00</v>
      </c>
      <c r="Z51" s="2" t="str">
        <f t="shared" si="6"/>
        <v>FALSE</v>
      </c>
      <c r="AA51" s="2" t="str">
        <f t="shared" si="4"/>
        <v>000000</v>
      </c>
      <c r="AB51" s="2" t="str">
        <f t="shared" si="5"/>
        <v>000000</v>
      </c>
      <c r="AC51" s="2" t="str" cm="1">
        <f t="array" ref="AC51">TEXT($D51,"000")&amp;TEXT(IFERROR(INDEX($D$5:$D$103,_xlfn.AGGREGATE(15,6,ROW($E$5:$E$103)/(($E$5:$E$103&lt;&gt;"p")*($E$5:$E$103&lt;&gt;"t")*(ROW($E$5:$E$103)&gt;ROW($E51))),1)-ROW($E$5)+1),$D51),"000")</f>
        <v>000000</v>
      </c>
      <c r="AD51" s="2" t="str" cm="1">
        <f t="array" ref="AD51">TEXT(_xlfn.XLOOKUP(TRUE, AA52:AA$103&lt;&gt;"250000", AA52:AA$103, "未找到"),"000000")</f>
        <v>000000</v>
      </c>
      <c r="AE51" s="2" t="str" cm="1">
        <f t="array" ref="AE51">_xlfn.SWITCH(TRUE,J51&lt;&gt;"",TEXT(J51,"MMSS"),TRUE,IFERROR(TEXT(E52-F51,"MMSS"),"0000"))</f>
        <v>0000</v>
      </c>
    </row>
    <row r="52" spans="1:31">
      <c r="A52" s="2">
        <v>49</v>
      </c>
      <c r="B52" s="5"/>
      <c r="C52" s="5"/>
      <c r="D52" s="5"/>
      <c r="E52" s="5"/>
      <c r="F52" s="5"/>
      <c r="G52" s="5"/>
      <c r="H52" s="5"/>
      <c r="I52" s="5"/>
      <c r="J52" s="5"/>
      <c r="K52" s="2" t="str">
        <f t="shared" si="0"/>
        <v>terminal</v>
      </c>
      <c r="L52" s="2" t="str" cm="1">
        <f t="array" ref="L52">TEXT(_xlfn.SWITCH(TRUE,E52="P",$B$1,AND(E52="",K52&lt;&gt;"TERMINAL"),$D$1,TRUE,HOUR(E52)),"00")</f>
        <v>00</v>
      </c>
      <c r="M52" s="2" t="str" cm="1">
        <f t="array" ref="M52">TEXT(_xlfn.SWITCH(TRUE,E52="P","00",AND(E52="",K52&lt;&gt;"TERMINAL"),"00",TRUE,MINUTE(E52)),"00")</f>
        <v>00</v>
      </c>
      <c r="N52" s="2" t="str" cm="1">
        <f t="array" ref="N52">TEXT(_xlfn.SWITCH(TRUE,E52="P","00",AND(E52="",K52&lt;&gt;"TERMINAL"),"00",TRUE,SECOND(E52)),"00")</f>
        <v>00</v>
      </c>
      <c r="O52" s="2" t="str" cm="1">
        <f t="array" ref="O52">_xlfn.SWITCH(TRUE,AND(L52="00",K52&lt;&gt;"TERMINAL"),TEXT($B$2,"00"),L52=TEXT($B$1,"00"),TEXT($B$1,"00"),L52=TEXT($D$1,"00"),TEXT($D$1,"00"),TRUE,+L52)</f>
        <v>00</v>
      </c>
      <c r="P52" s="2" t="str" cm="1">
        <f t="array" ref="P52">_xlfn.SWITCH(TRUE,OR(L52=TEXT($B$1,"00"),L52=TEXT($D$1,"00")),"00",AND(M52="00",K52&lt;&gt;"TERMINAL"),TEXT($D$2,"00"),TRUE,M52)</f>
        <v>00</v>
      </c>
      <c r="Q52" s="2" t="str" cm="1">
        <f t="array" ref="Q52">_xlfn.SWITCH(TRUE,OR(L52=TEXT($B$1,"00"),L52=TEXT($D$1,"00")),"00",AND(N52="00",K52&lt;&gt;"TERMINAL"),TEXT($F$2,"00"),TRUE,N52)</f>
        <v>00</v>
      </c>
      <c r="R52" s="2" t="str">
        <f t="shared" si="1"/>
        <v>00</v>
      </c>
      <c r="S52" s="2" t="str" cm="1">
        <f t="array" ref="S52">_xlfn.SWITCH(TRUE,F52="T",TEXT($F$1,"00"),AND(F52="",K52&lt;&gt;"TERMINAL"),"00",TRUE,TEXT(HOUR(F52),"00"))</f>
        <v>00</v>
      </c>
      <c r="T52" s="2" t="str" cm="1">
        <f t="array" ref="T52">TEXT(_xlfn.SWITCH(TRUE,F52="T","00",AND(F52="",K52&lt;&gt;"TERMINAL"),"00",TRUE,MINUTE(F52)),"00")</f>
        <v>00</v>
      </c>
      <c r="U52" s="2" t="str" cm="1">
        <f t="array" ref="U52">TEXT(_xlfn.SWITCH(TRUE,F52="T","00",AND(F52="",K52&lt;&gt;"TERMINAL"),"00",TRUE,SECOND(F52)),"00")</f>
        <v>00</v>
      </c>
      <c r="V52" s="2" t="str">
        <f t="shared" si="2"/>
        <v>00</v>
      </c>
      <c r="W52" s="2" t="str" cm="1">
        <f t="array" ref="W52">_xlfn.SWITCH(TRUE,OR(S52=TEXT($B$1,"00"),S52=TEXT($D$1,"00")),"00",AND(T52="00",K52&lt;&gt;"TERMINAL"),TEXT($D$2,"00"),TRUE,T52)</f>
        <v>00</v>
      </c>
      <c r="X52" s="2" t="str" cm="1">
        <f t="array" ref="X52">_xlfn.SWITCH(TRUE,OR(S52=TEXT($B$1,"00"),S52=TEXT($D$1,"00")),"00",AND(U52="00",K52&lt;&gt;"TERMINAL"),TEXT($F$2,"00"),TRUE,U52)</f>
        <v>00</v>
      </c>
      <c r="Y52" s="2" t="str">
        <f t="shared" si="3"/>
        <v>00</v>
      </c>
      <c r="Z52" s="2" t="str">
        <f t="shared" si="6"/>
        <v>FALSE</v>
      </c>
      <c r="AA52" s="2" t="str">
        <f t="shared" si="4"/>
        <v>000000</v>
      </c>
      <c r="AB52" s="2" t="str">
        <f t="shared" si="5"/>
        <v>000000</v>
      </c>
      <c r="AC52" s="2" t="str" cm="1">
        <f t="array" ref="AC52">TEXT($D52,"000")&amp;TEXT(IFERROR(INDEX($D$5:$D$103,_xlfn.AGGREGATE(15,6,ROW($E$5:$E$103)/(($E$5:$E$103&lt;&gt;"p")*($E$5:$E$103&lt;&gt;"t")*(ROW($E$5:$E$103)&gt;ROW($E52))),1)-ROW($E$5)+1),$D52),"000")</f>
        <v>000000</v>
      </c>
      <c r="AD52" s="2" t="str" cm="1">
        <f t="array" ref="AD52">TEXT(_xlfn.XLOOKUP(TRUE, AA53:AA$103&lt;&gt;"250000", AA53:AA$103, "未找到"),"000000")</f>
        <v>000000</v>
      </c>
      <c r="AE52" s="2" t="str" cm="1">
        <f t="array" ref="AE52">_xlfn.SWITCH(TRUE,J52&lt;&gt;"",TEXT(J52,"MMSS"),TRUE,IFERROR(TEXT(E53-F52,"MMSS"),"0000"))</f>
        <v>0000</v>
      </c>
    </row>
    <row r="53" spans="1:31">
      <c r="A53" s="2">
        <v>50</v>
      </c>
      <c r="B53" s="5"/>
      <c r="C53" s="5"/>
      <c r="D53" s="5"/>
      <c r="E53" s="5"/>
      <c r="F53" s="5"/>
      <c r="G53" s="5"/>
      <c r="H53" s="5"/>
      <c r="I53" s="5"/>
      <c r="J53" s="5"/>
      <c r="K53" s="2" t="str">
        <f t="shared" si="0"/>
        <v>terminal</v>
      </c>
      <c r="L53" s="2" t="str" cm="1">
        <f t="array" ref="L53">TEXT(_xlfn.SWITCH(TRUE,E53="P",$B$1,AND(E53="",K53&lt;&gt;"TERMINAL"),$D$1,TRUE,HOUR(E53)),"00")</f>
        <v>00</v>
      </c>
      <c r="M53" s="2" t="str" cm="1">
        <f t="array" ref="M53">TEXT(_xlfn.SWITCH(TRUE,E53="P","00",AND(E53="",K53&lt;&gt;"TERMINAL"),"00",TRUE,MINUTE(E53)),"00")</f>
        <v>00</v>
      </c>
      <c r="N53" s="2" t="str" cm="1">
        <f t="array" ref="N53">TEXT(_xlfn.SWITCH(TRUE,E53="P","00",AND(E53="",K53&lt;&gt;"TERMINAL"),"00",TRUE,SECOND(E53)),"00")</f>
        <v>00</v>
      </c>
      <c r="O53" s="2" t="str" cm="1">
        <f t="array" ref="O53">_xlfn.SWITCH(TRUE,AND(L53="00",K53&lt;&gt;"TERMINAL"),TEXT($B$2,"00"),L53=TEXT($B$1,"00"),TEXT($B$1,"00"),L53=TEXT($D$1,"00"),TEXT($D$1,"00"),TRUE,+L53)</f>
        <v>00</v>
      </c>
      <c r="P53" s="2" t="str" cm="1">
        <f t="array" ref="P53">_xlfn.SWITCH(TRUE,OR(L53=TEXT($B$1,"00"),L53=TEXT($D$1,"00")),"00",AND(M53="00",K53&lt;&gt;"TERMINAL"),TEXT($D$2,"00"),TRUE,M53)</f>
        <v>00</v>
      </c>
      <c r="Q53" s="2" t="str" cm="1">
        <f t="array" ref="Q53">_xlfn.SWITCH(TRUE,OR(L53=TEXT($B$1,"00"),L53=TEXT($D$1,"00")),"00",AND(N53="00",K53&lt;&gt;"TERMINAL"),TEXT($F$2,"00"),TRUE,N53)</f>
        <v>00</v>
      </c>
      <c r="R53" s="2" t="str">
        <f t="shared" si="1"/>
        <v>00</v>
      </c>
      <c r="S53" s="2" t="str" cm="1">
        <f t="array" ref="S53">_xlfn.SWITCH(TRUE,F53="T",TEXT($F$1,"00"),AND(F53="",K53&lt;&gt;"TERMINAL"),"00",TRUE,TEXT(HOUR(F53),"00"))</f>
        <v>00</v>
      </c>
      <c r="T53" s="2" t="str" cm="1">
        <f t="array" ref="T53">TEXT(_xlfn.SWITCH(TRUE,F53="T","00",AND(F53="",K53&lt;&gt;"TERMINAL"),"00",TRUE,MINUTE(F53)),"00")</f>
        <v>00</v>
      </c>
      <c r="U53" s="2" t="str" cm="1">
        <f t="array" ref="U53">TEXT(_xlfn.SWITCH(TRUE,F53="T","00",AND(F53="",K53&lt;&gt;"TERMINAL"),"00",TRUE,SECOND(F53)),"00")</f>
        <v>00</v>
      </c>
      <c r="V53" s="2" t="str">
        <f t="shared" si="2"/>
        <v>00</v>
      </c>
      <c r="W53" s="2" t="str" cm="1">
        <f t="array" ref="W53">_xlfn.SWITCH(TRUE,OR(S53=TEXT($B$1,"00"),S53=TEXT($D$1,"00")),"00",AND(T53="00",K53&lt;&gt;"TERMINAL"),TEXT($D$2,"00"),TRUE,T53)</f>
        <v>00</v>
      </c>
      <c r="X53" s="2" t="str" cm="1">
        <f t="array" ref="X53">_xlfn.SWITCH(TRUE,OR(S53=TEXT($B$1,"00"),S53=TEXT($D$1,"00")),"00",AND(U53="00",K53&lt;&gt;"TERMINAL"),TEXT($F$2,"00"),TRUE,U53)</f>
        <v>00</v>
      </c>
      <c r="Y53" s="2" t="str">
        <f t="shared" si="3"/>
        <v>00</v>
      </c>
      <c r="Z53" s="2" t="str">
        <f t="shared" si="6"/>
        <v>FALSE</v>
      </c>
      <c r="AA53" s="2" t="str">
        <f t="shared" si="4"/>
        <v>000000</v>
      </c>
      <c r="AB53" s="2" t="str">
        <f t="shared" si="5"/>
        <v>000000</v>
      </c>
      <c r="AC53" s="2" t="str" cm="1">
        <f t="array" ref="AC53">TEXT($D53,"000")&amp;TEXT(IFERROR(INDEX($D$5:$D$103,_xlfn.AGGREGATE(15,6,ROW($E$5:$E$103)/(($E$5:$E$103&lt;&gt;"p")*($E$5:$E$103&lt;&gt;"t")*(ROW($E$5:$E$103)&gt;ROW($E53))),1)-ROW($E$5)+1),$D53),"000")</f>
        <v>000000</v>
      </c>
      <c r="AD53" s="2" t="str" cm="1">
        <f t="array" ref="AD53">TEXT(_xlfn.XLOOKUP(TRUE, AA54:AA$103&lt;&gt;"250000", AA54:AA$103, "未找到"),"000000")</f>
        <v>000000</v>
      </c>
      <c r="AE53" s="2" t="str" cm="1">
        <f t="array" ref="AE53">_xlfn.SWITCH(TRUE,J53&lt;&gt;"",TEXT(J53,"MMSS"),TRUE,IFERROR(TEXT(E54-F53,"MMSS"),"0000"))</f>
        <v>0000</v>
      </c>
    </row>
    <row r="54" spans="1:31">
      <c r="A54" s="2">
        <v>51</v>
      </c>
      <c r="B54" s="5"/>
      <c r="C54" s="5"/>
      <c r="D54" s="5"/>
      <c r="E54" s="5"/>
      <c r="F54" s="5"/>
      <c r="G54" s="5"/>
      <c r="H54" s="5"/>
      <c r="I54" s="5"/>
      <c r="J54" s="5"/>
      <c r="K54" s="2" t="str">
        <f t="shared" si="0"/>
        <v>terminal</v>
      </c>
      <c r="L54" s="2" t="str" cm="1">
        <f t="array" ref="L54">TEXT(_xlfn.SWITCH(TRUE,E54="P",$B$1,AND(E54="",K54&lt;&gt;"TERMINAL"),$D$1,TRUE,HOUR(E54)),"00")</f>
        <v>00</v>
      </c>
      <c r="M54" s="2" t="str" cm="1">
        <f t="array" ref="M54">TEXT(_xlfn.SWITCH(TRUE,E54="P","00",AND(E54="",K54&lt;&gt;"TERMINAL"),"00",TRUE,MINUTE(E54)),"00")</f>
        <v>00</v>
      </c>
      <c r="N54" s="2" t="str" cm="1">
        <f t="array" ref="N54">TEXT(_xlfn.SWITCH(TRUE,E54="P","00",AND(E54="",K54&lt;&gt;"TERMINAL"),"00",TRUE,SECOND(E54)),"00")</f>
        <v>00</v>
      </c>
      <c r="O54" s="2" t="str" cm="1">
        <f t="array" ref="O54">_xlfn.SWITCH(TRUE,AND(L54="00",K54&lt;&gt;"TERMINAL"),TEXT($B$2,"00"),L54=TEXT($B$1,"00"),TEXT($B$1,"00"),L54=TEXT($D$1,"00"),TEXT($D$1,"00"),TRUE,+L54)</f>
        <v>00</v>
      </c>
      <c r="P54" s="2" t="str" cm="1">
        <f t="array" ref="P54">_xlfn.SWITCH(TRUE,OR(L54=TEXT($B$1,"00"),L54=TEXT($D$1,"00")),"00",AND(M54="00",K54&lt;&gt;"TERMINAL"),TEXT($D$2,"00"),TRUE,M54)</f>
        <v>00</v>
      </c>
      <c r="Q54" s="2" t="str" cm="1">
        <f t="array" ref="Q54">_xlfn.SWITCH(TRUE,OR(L54=TEXT($B$1,"00"),L54=TEXT($D$1,"00")),"00",AND(N54="00",K54&lt;&gt;"TERMINAL"),TEXT($F$2,"00"),TRUE,N54)</f>
        <v>00</v>
      </c>
      <c r="R54" s="2" t="str">
        <f t="shared" si="1"/>
        <v>00</v>
      </c>
      <c r="S54" s="2" t="str" cm="1">
        <f t="array" ref="S54">_xlfn.SWITCH(TRUE,F54="T",TEXT($F$1,"00"),AND(F54="",K54&lt;&gt;"TERMINAL"),"00",TRUE,TEXT(HOUR(F54),"00"))</f>
        <v>00</v>
      </c>
      <c r="T54" s="2" t="str" cm="1">
        <f t="array" ref="T54">TEXT(_xlfn.SWITCH(TRUE,F54="T","00",AND(F54="",K54&lt;&gt;"TERMINAL"),"00",TRUE,MINUTE(F54)),"00")</f>
        <v>00</v>
      </c>
      <c r="U54" s="2" t="str" cm="1">
        <f t="array" ref="U54">TEXT(_xlfn.SWITCH(TRUE,F54="T","00",AND(F54="",K54&lt;&gt;"TERMINAL"),"00",TRUE,SECOND(F54)),"00")</f>
        <v>00</v>
      </c>
      <c r="V54" s="2" t="str">
        <f t="shared" si="2"/>
        <v>00</v>
      </c>
      <c r="W54" s="2" t="str" cm="1">
        <f t="array" ref="W54">_xlfn.SWITCH(TRUE,OR(S54=TEXT($B$1,"00"),S54=TEXT($D$1,"00")),"00",AND(T54="00",K54&lt;&gt;"TERMINAL"),TEXT($D$2,"00"),TRUE,T54)</f>
        <v>00</v>
      </c>
      <c r="X54" s="2" t="str" cm="1">
        <f t="array" ref="X54">_xlfn.SWITCH(TRUE,OR(S54=TEXT($B$1,"00"),S54=TEXT($D$1,"00")),"00",AND(U54="00",K54&lt;&gt;"TERMINAL"),TEXT($F$2,"00"),TRUE,U54)</f>
        <v>00</v>
      </c>
      <c r="Y54" s="2" t="str">
        <f t="shared" si="3"/>
        <v>00</v>
      </c>
      <c r="Z54" s="2" t="str">
        <f t="shared" si="6"/>
        <v>FALSE</v>
      </c>
      <c r="AA54" s="2" t="str">
        <f t="shared" si="4"/>
        <v>000000</v>
      </c>
      <c r="AB54" s="2" t="str">
        <f t="shared" si="5"/>
        <v>000000</v>
      </c>
      <c r="AC54" s="2" t="str" cm="1">
        <f t="array" ref="AC54">TEXT($D54,"000")&amp;TEXT(IFERROR(INDEX($D$5:$D$103,_xlfn.AGGREGATE(15,6,ROW($E$5:$E$103)/(($E$5:$E$103&lt;&gt;"p")*($E$5:$E$103&lt;&gt;"t")*(ROW($E$5:$E$103)&gt;ROW($E54))),1)-ROW($E$5)+1),$D54),"000")</f>
        <v>000000</v>
      </c>
      <c r="AD54" s="2" t="str" cm="1">
        <f t="array" ref="AD54">TEXT(_xlfn.XLOOKUP(TRUE, AA55:AA$103&lt;&gt;"250000", AA55:AA$103, "未找到"),"000000")</f>
        <v>000000</v>
      </c>
      <c r="AE54" s="2" t="str" cm="1">
        <f t="array" ref="AE54">_xlfn.SWITCH(TRUE,J54&lt;&gt;"",TEXT(J54,"MMSS"),TRUE,IFERROR(TEXT(E55-F54,"MMSS"),"0000"))</f>
        <v>0000</v>
      </c>
    </row>
    <row r="55" spans="1:31">
      <c r="A55" s="2">
        <v>52</v>
      </c>
      <c r="B55" s="5"/>
      <c r="C55" s="5"/>
      <c r="D55" s="5"/>
      <c r="E55" s="5"/>
      <c r="F55" s="5"/>
      <c r="G55" s="5"/>
      <c r="H55" s="5"/>
      <c r="I55" s="5"/>
      <c r="J55" s="5"/>
      <c r="K55" s="2" t="str">
        <f t="shared" si="0"/>
        <v>terminal</v>
      </c>
      <c r="L55" s="2" t="str" cm="1">
        <f t="array" ref="L55">TEXT(_xlfn.SWITCH(TRUE,E55="P",$B$1,AND(E55="",K55&lt;&gt;"TERMINAL"),$D$1,TRUE,HOUR(E55)),"00")</f>
        <v>00</v>
      </c>
      <c r="M55" s="2" t="str" cm="1">
        <f t="array" ref="M55">TEXT(_xlfn.SWITCH(TRUE,E55="P","00",AND(E55="",K55&lt;&gt;"TERMINAL"),"00",TRUE,MINUTE(E55)),"00")</f>
        <v>00</v>
      </c>
      <c r="N55" s="2" t="str" cm="1">
        <f t="array" ref="N55">TEXT(_xlfn.SWITCH(TRUE,E55="P","00",AND(E55="",K55&lt;&gt;"TERMINAL"),"00",TRUE,SECOND(E55)),"00")</f>
        <v>00</v>
      </c>
      <c r="O55" s="2" t="str" cm="1">
        <f t="array" ref="O55">_xlfn.SWITCH(TRUE,AND(L55="00",K55&lt;&gt;"TERMINAL"),TEXT($B$2,"00"),L55=TEXT($B$1,"00"),TEXT($B$1,"00"),L55=TEXT($D$1,"00"),TEXT($D$1,"00"),TRUE,+L55)</f>
        <v>00</v>
      </c>
      <c r="P55" s="2" t="str" cm="1">
        <f t="array" ref="P55">_xlfn.SWITCH(TRUE,OR(L55=TEXT($B$1,"00"),L55=TEXT($D$1,"00")),"00",AND(M55="00",K55&lt;&gt;"TERMINAL"),TEXT($D$2,"00"),TRUE,M55)</f>
        <v>00</v>
      </c>
      <c r="Q55" s="2" t="str" cm="1">
        <f t="array" ref="Q55">_xlfn.SWITCH(TRUE,OR(L55=TEXT($B$1,"00"),L55=TEXT($D$1,"00")),"00",AND(N55="00",K55&lt;&gt;"TERMINAL"),TEXT($F$2,"00"),TRUE,N55)</f>
        <v>00</v>
      </c>
      <c r="R55" s="2" t="str">
        <f t="shared" si="1"/>
        <v>00</v>
      </c>
      <c r="S55" s="2" t="str" cm="1">
        <f t="array" ref="S55">_xlfn.SWITCH(TRUE,F55="T",TEXT($F$1,"00"),AND(F55="",K55&lt;&gt;"TERMINAL"),"00",TRUE,TEXT(HOUR(F55),"00"))</f>
        <v>00</v>
      </c>
      <c r="T55" s="2" t="str" cm="1">
        <f t="array" ref="T55">TEXT(_xlfn.SWITCH(TRUE,F55="T","00",AND(F55="",K55&lt;&gt;"TERMINAL"),"00",TRUE,MINUTE(F55)),"00")</f>
        <v>00</v>
      </c>
      <c r="U55" s="2" t="str" cm="1">
        <f t="array" ref="U55">TEXT(_xlfn.SWITCH(TRUE,F55="T","00",AND(F55="",K55&lt;&gt;"TERMINAL"),"00",TRUE,SECOND(F55)),"00")</f>
        <v>00</v>
      </c>
      <c r="V55" s="2" t="str">
        <f t="shared" si="2"/>
        <v>00</v>
      </c>
      <c r="W55" s="2" t="str" cm="1">
        <f t="array" ref="W55">_xlfn.SWITCH(TRUE,OR(S55=TEXT($B$1,"00"),S55=TEXT($D$1,"00")),"00",AND(T55="00",K55&lt;&gt;"TERMINAL"),TEXT($D$2,"00"),TRUE,T55)</f>
        <v>00</v>
      </c>
      <c r="X55" s="2" t="str" cm="1">
        <f t="array" ref="X55">_xlfn.SWITCH(TRUE,OR(S55=TEXT($B$1,"00"),S55=TEXT($D$1,"00")),"00",AND(U55="00",K55&lt;&gt;"TERMINAL"),TEXT($F$2,"00"),TRUE,U55)</f>
        <v>00</v>
      </c>
      <c r="Y55" s="2" t="str">
        <f t="shared" si="3"/>
        <v>00</v>
      </c>
      <c r="Z55" s="2" t="str">
        <f t="shared" si="6"/>
        <v>FALSE</v>
      </c>
      <c r="AA55" s="2" t="str">
        <f t="shared" si="4"/>
        <v>000000</v>
      </c>
      <c r="AB55" s="2" t="str">
        <f t="shared" si="5"/>
        <v>000000</v>
      </c>
      <c r="AC55" s="2" t="str" cm="1">
        <f t="array" ref="AC55">TEXT($D55,"000")&amp;TEXT(IFERROR(INDEX($D$5:$D$103,_xlfn.AGGREGATE(15,6,ROW($E$5:$E$103)/(($E$5:$E$103&lt;&gt;"p")*($E$5:$E$103&lt;&gt;"t")*(ROW($E$5:$E$103)&gt;ROW($E55))),1)-ROW($E$5)+1),$D55),"000")</f>
        <v>000000</v>
      </c>
      <c r="AD55" s="2" t="str" cm="1">
        <f t="array" ref="AD55">TEXT(_xlfn.XLOOKUP(TRUE, AA56:AA$103&lt;&gt;"250000", AA56:AA$103, "未找到"),"000000")</f>
        <v>000000</v>
      </c>
      <c r="AE55" s="2" t="str" cm="1">
        <f t="array" ref="AE55">_xlfn.SWITCH(TRUE,J55&lt;&gt;"",TEXT(J55,"MMSS"),TRUE,IFERROR(TEXT(E56-F55,"MMSS"),"0000"))</f>
        <v>0000</v>
      </c>
    </row>
    <row r="56" spans="1:31">
      <c r="A56" s="2">
        <v>53</v>
      </c>
      <c r="B56" s="5"/>
      <c r="C56" s="5"/>
      <c r="D56" s="5"/>
      <c r="E56" s="5"/>
      <c r="F56" s="5"/>
      <c r="G56" s="5"/>
      <c r="H56" s="5"/>
      <c r="I56" s="5"/>
      <c r="J56" s="5"/>
      <c r="K56" s="2" t="str">
        <f t="shared" si="0"/>
        <v>terminal</v>
      </c>
      <c r="L56" s="2" t="str" cm="1">
        <f t="array" ref="L56">TEXT(_xlfn.SWITCH(TRUE,E56="P",$B$1,AND(E56="",K56&lt;&gt;"TERMINAL"),$D$1,TRUE,HOUR(E56)),"00")</f>
        <v>00</v>
      </c>
      <c r="M56" s="2" t="str" cm="1">
        <f t="array" ref="M56">TEXT(_xlfn.SWITCH(TRUE,E56="P","00",AND(E56="",K56&lt;&gt;"TERMINAL"),"00",TRUE,MINUTE(E56)),"00")</f>
        <v>00</v>
      </c>
      <c r="N56" s="2" t="str" cm="1">
        <f t="array" ref="N56">TEXT(_xlfn.SWITCH(TRUE,E56="P","00",AND(E56="",K56&lt;&gt;"TERMINAL"),"00",TRUE,SECOND(E56)),"00")</f>
        <v>00</v>
      </c>
      <c r="O56" s="2" t="str" cm="1">
        <f t="array" ref="O56">_xlfn.SWITCH(TRUE,AND(L56="00",K56&lt;&gt;"TERMINAL"),TEXT($B$2,"00"),L56=TEXT($B$1,"00"),TEXT($B$1,"00"),L56=TEXT($D$1,"00"),TEXT($D$1,"00"),TRUE,+L56)</f>
        <v>00</v>
      </c>
      <c r="P56" s="2" t="str" cm="1">
        <f t="array" ref="P56">_xlfn.SWITCH(TRUE,OR(L56=TEXT($B$1,"00"),L56=TEXT($D$1,"00")),"00",AND(M56="00",K56&lt;&gt;"TERMINAL"),TEXT($D$2,"00"),TRUE,M56)</f>
        <v>00</v>
      </c>
      <c r="Q56" s="2" t="str" cm="1">
        <f t="array" ref="Q56">_xlfn.SWITCH(TRUE,OR(L56=TEXT($B$1,"00"),L56=TEXT($D$1,"00")),"00",AND(N56="00",K56&lt;&gt;"TERMINAL"),TEXT($F$2,"00"),TRUE,N56)</f>
        <v>00</v>
      </c>
      <c r="R56" s="2" t="str">
        <f t="shared" si="1"/>
        <v>00</v>
      </c>
      <c r="S56" s="2" t="str" cm="1">
        <f t="array" ref="S56">_xlfn.SWITCH(TRUE,F56="T",TEXT($F$1,"00"),AND(F56="",K56&lt;&gt;"TERMINAL"),"00",TRUE,TEXT(HOUR(F56),"00"))</f>
        <v>00</v>
      </c>
      <c r="T56" s="2" t="str" cm="1">
        <f t="array" ref="T56">TEXT(_xlfn.SWITCH(TRUE,F56="T","00",AND(F56="",K56&lt;&gt;"TERMINAL"),"00",TRUE,MINUTE(F56)),"00")</f>
        <v>00</v>
      </c>
      <c r="U56" s="2" t="str" cm="1">
        <f t="array" ref="U56">TEXT(_xlfn.SWITCH(TRUE,F56="T","00",AND(F56="",K56&lt;&gt;"TERMINAL"),"00",TRUE,SECOND(F56)),"00")</f>
        <v>00</v>
      </c>
      <c r="V56" s="2" t="str">
        <f t="shared" si="2"/>
        <v>00</v>
      </c>
      <c r="W56" s="2" t="str" cm="1">
        <f t="array" ref="W56">_xlfn.SWITCH(TRUE,OR(S56=TEXT($B$1,"00"),S56=TEXT($D$1,"00")),"00",AND(T56="00",K56&lt;&gt;"TERMINAL"),TEXT($D$2,"00"),TRUE,T56)</f>
        <v>00</v>
      </c>
      <c r="X56" s="2" t="str" cm="1">
        <f t="array" ref="X56">_xlfn.SWITCH(TRUE,OR(S56=TEXT($B$1,"00"),S56=TEXT($D$1,"00")),"00",AND(U56="00",K56&lt;&gt;"TERMINAL"),TEXT($F$2,"00"),TRUE,U56)</f>
        <v>00</v>
      </c>
      <c r="Y56" s="2" t="str">
        <f t="shared" si="3"/>
        <v>00</v>
      </c>
      <c r="Z56" s="2" t="str">
        <f t="shared" si="6"/>
        <v>FALSE</v>
      </c>
      <c r="AA56" s="2" t="str">
        <f t="shared" si="4"/>
        <v>000000</v>
      </c>
      <c r="AB56" s="2" t="str">
        <f t="shared" si="5"/>
        <v>000000</v>
      </c>
      <c r="AC56" s="2" t="str" cm="1">
        <f t="array" ref="AC56">TEXT($D56,"000")&amp;TEXT(IFERROR(INDEX($D$5:$D$103,_xlfn.AGGREGATE(15,6,ROW($E$5:$E$103)/(($E$5:$E$103&lt;&gt;"p")*($E$5:$E$103&lt;&gt;"t")*(ROW($E$5:$E$103)&gt;ROW($E56))),1)-ROW($E$5)+1),$D56),"000")</f>
        <v>000000</v>
      </c>
      <c r="AD56" s="2" t="str" cm="1">
        <f t="array" ref="AD56">TEXT(_xlfn.XLOOKUP(TRUE, AA57:AA$103&lt;&gt;"250000", AA57:AA$103, "未找到"),"000000")</f>
        <v>000000</v>
      </c>
      <c r="AE56" s="2" t="str" cm="1">
        <f t="array" ref="AE56">_xlfn.SWITCH(TRUE,J56&lt;&gt;"",TEXT(J56,"MMSS"),TRUE,IFERROR(TEXT(E57-F56,"MMSS"),"0000"))</f>
        <v>0000</v>
      </c>
    </row>
    <row r="57" spans="1:31">
      <c r="A57" s="2">
        <v>54</v>
      </c>
      <c r="B57" s="5"/>
      <c r="C57" s="5"/>
      <c r="D57" s="5"/>
      <c r="E57" s="5"/>
      <c r="F57" s="5"/>
      <c r="G57" s="5"/>
      <c r="H57" s="5"/>
      <c r="I57" s="5"/>
      <c r="J57" s="5"/>
      <c r="K57" s="2" t="str">
        <f t="shared" si="0"/>
        <v>terminal</v>
      </c>
      <c r="L57" s="2" t="str" cm="1">
        <f t="array" ref="L57">TEXT(_xlfn.SWITCH(TRUE,E57="P",$B$1,AND(E57="",K57&lt;&gt;"TERMINAL"),$D$1,TRUE,HOUR(E57)),"00")</f>
        <v>00</v>
      </c>
      <c r="M57" s="2" t="str" cm="1">
        <f t="array" ref="M57">TEXT(_xlfn.SWITCH(TRUE,E57="P","00",AND(E57="",K57&lt;&gt;"TERMINAL"),"00",TRUE,MINUTE(E57)),"00")</f>
        <v>00</v>
      </c>
      <c r="N57" s="2" t="str" cm="1">
        <f t="array" ref="N57">TEXT(_xlfn.SWITCH(TRUE,E57="P","00",AND(E57="",K57&lt;&gt;"TERMINAL"),"00",TRUE,SECOND(E57)),"00")</f>
        <v>00</v>
      </c>
      <c r="O57" s="2" t="str" cm="1">
        <f t="array" ref="O57">_xlfn.SWITCH(TRUE,AND(L57="00",K57&lt;&gt;"TERMINAL"),TEXT($B$2,"00"),L57=TEXT($B$1,"00"),TEXT($B$1,"00"),L57=TEXT($D$1,"00"),TEXT($D$1,"00"),TRUE,+L57)</f>
        <v>00</v>
      </c>
      <c r="P57" s="2" t="str" cm="1">
        <f t="array" ref="P57">_xlfn.SWITCH(TRUE,OR(L57=TEXT($B$1,"00"),L57=TEXT($D$1,"00")),"00",AND(M57="00",K57&lt;&gt;"TERMINAL"),TEXT($D$2,"00"),TRUE,M57)</f>
        <v>00</v>
      </c>
      <c r="Q57" s="2" t="str" cm="1">
        <f t="array" ref="Q57">_xlfn.SWITCH(TRUE,OR(L57=TEXT($B$1,"00"),L57=TEXT($D$1,"00")),"00",AND(N57="00",K57&lt;&gt;"TERMINAL"),TEXT($F$2,"00"),TRUE,N57)</f>
        <v>00</v>
      </c>
      <c r="R57" s="2" t="str">
        <f t="shared" si="1"/>
        <v>00</v>
      </c>
      <c r="S57" s="2" t="str" cm="1">
        <f t="array" ref="S57">_xlfn.SWITCH(TRUE,F57="T",TEXT($F$1,"00"),AND(F57="",K57&lt;&gt;"TERMINAL"),"00",TRUE,TEXT(HOUR(F57),"00"))</f>
        <v>00</v>
      </c>
      <c r="T57" s="2" t="str" cm="1">
        <f t="array" ref="T57">TEXT(_xlfn.SWITCH(TRUE,F57="T","00",AND(F57="",K57&lt;&gt;"TERMINAL"),"00",TRUE,MINUTE(F57)),"00")</f>
        <v>00</v>
      </c>
      <c r="U57" s="2" t="str" cm="1">
        <f t="array" ref="U57">TEXT(_xlfn.SWITCH(TRUE,F57="T","00",AND(F57="",K57&lt;&gt;"TERMINAL"),"00",TRUE,SECOND(F57)),"00")</f>
        <v>00</v>
      </c>
      <c r="V57" s="2" t="str">
        <f t="shared" si="2"/>
        <v>00</v>
      </c>
      <c r="W57" s="2" t="str" cm="1">
        <f t="array" ref="W57">_xlfn.SWITCH(TRUE,OR(S57=TEXT($B$1,"00"),S57=TEXT($D$1,"00")),"00",AND(T57="00",K57&lt;&gt;"TERMINAL"),TEXT($D$2,"00"),TRUE,T57)</f>
        <v>00</v>
      </c>
      <c r="X57" s="2" t="str" cm="1">
        <f t="array" ref="X57">_xlfn.SWITCH(TRUE,OR(S57=TEXT($B$1,"00"),S57=TEXT($D$1,"00")),"00",AND(U57="00",K57&lt;&gt;"TERMINAL"),TEXT($F$2,"00"),TRUE,U57)</f>
        <v>00</v>
      </c>
      <c r="Y57" s="2" t="str">
        <f t="shared" si="3"/>
        <v>00</v>
      </c>
      <c r="Z57" s="2" t="str">
        <f t="shared" si="6"/>
        <v>FALSE</v>
      </c>
      <c r="AA57" s="2" t="str">
        <f t="shared" si="4"/>
        <v>000000</v>
      </c>
      <c r="AB57" s="2" t="str">
        <f t="shared" si="5"/>
        <v>000000</v>
      </c>
      <c r="AC57" s="2" t="str" cm="1">
        <f t="array" ref="AC57">TEXT($D57,"000")&amp;TEXT(IFERROR(INDEX($D$5:$D$103,_xlfn.AGGREGATE(15,6,ROW($E$5:$E$103)/(($E$5:$E$103&lt;&gt;"p")*($E$5:$E$103&lt;&gt;"t")*(ROW($E$5:$E$103)&gt;ROW($E57))),1)-ROW($E$5)+1),$D57),"000")</f>
        <v>000000</v>
      </c>
      <c r="AD57" s="2" t="str" cm="1">
        <f t="array" ref="AD57">TEXT(_xlfn.XLOOKUP(TRUE, AA58:AA$103&lt;&gt;"250000", AA58:AA$103, "未找到"),"000000")</f>
        <v>000000</v>
      </c>
      <c r="AE57" s="2" t="str" cm="1">
        <f t="array" ref="AE57">_xlfn.SWITCH(TRUE,J57&lt;&gt;"",TEXT(J57,"MMSS"),TRUE,IFERROR(TEXT(E58-F57,"MMSS"),"0000"))</f>
        <v>0000</v>
      </c>
    </row>
    <row r="58" spans="1:31">
      <c r="A58" s="2">
        <v>55</v>
      </c>
      <c r="B58" s="5"/>
      <c r="C58" s="5"/>
      <c r="D58" s="5"/>
      <c r="E58" s="5"/>
      <c r="F58" s="5"/>
      <c r="G58" s="5"/>
      <c r="H58" s="5"/>
      <c r="I58" s="5"/>
      <c r="J58" s="5"/>
      <c r="K58" s="2" t="str">
        <f t="shared" si="0"/>
        <v>terminal</v>
      </c>
      <c r="L58" s="2" t="str" cm="1">
        <f t="array" ref="L58">TEXT(_xlfn.SWITCH(TRUE,E58="P",$B$1,AND(E58="",K58&lt;&gt;"TERMINAL"),$D$1,TRUE,HOUR(E58)),"00")</f>
        <v>00</v>
      </c>
      <c r="M58" s="2" t="str" cm="1">
        <f t="array" ref="M58">TEXT(_xlfn.SWITCH(TRUE,E58="P","00",AND(E58="",K58&lt;&gt;"TERMINAL"),"00",TRUE,MINUTE(E58)),"00")</f>
        <v>00</v>
      </c>
      <c r="N58" s="2" t="str" cm="1">
        <f t="array" ref="N58">TEXT(_xlfn.SWITCH(TRUE,E58="P","00",AND(E58="",K58&lt;&gt;"TERMINAL"),"00",TRUE,SECOND(E58)),"00")</f>
        <v>00</v>
      </c>
      <c r="O58" s="2" t="str" cm="1">
        <f t="array" ref="O58">_xlfn.SWITCH(TRUE,AND(L58="00",K58&lt;&gt;"TERMINAL"),TEXT($B$2,"00"),L58=TEXT($B$1,"00"),TEXT($B$1,"00"),L58=TEXT($D$1,"00"),TEXT($D$1,"00"),TRUE,+L58)</f>
        <v>00</v>
      </c>
      <c r="P58" s="2" t="str" cm="1">
        <f t="array" ref="P58">_xlfn.SWITCH(TRUE,OR(L58=TEXT($B$1,"00"),L58=TEXT($D$1,"00")),"00",AND(M58="00",K58&lt;&gt;"TERMINAL"),TEXT($D$2,"00"),TRUE,M58)</f>
        <v>00</v>
      </c>
      <c r="Q58" s="2" t="str" cm="1">
        <f t="array" ref="Q58">_xlfn.SWITCH(TRUE,OR(L58=TEXT($B$1,"00"),L58=TEXT($D$1,"00")),"00",AND(N58="00",K58&lt;&gt;"TERMINAL"),TEXT($F$2,"00"),TRUE,N58)</f>
        <v>00</v>
      </c>
      <c r="R58" s="2" t="str">
        <f t="shared" si="1"/>
        <v>00</v>
      </c>
      <c r="S58" s="2" t="str" cm="1">
        <f t="array" ref="S58">_xlfn.SWITCH(TRUE,F58="T",TEXT($F$1,"00"),AND(F58="",K58&lt;&gt;"TERMINAL"),"00",TRUE,TEXT(HOUR(F58),"00"))</f>
        <v>00</v>
      </c>
      <c r="T58" s="2" t="str" cm="1">
        <f t="array" ref="T58">TEXT(_xlfn.SWITCH(TRUE,F58="T","00",AND(F58="",K58&lt;&gt;"TERMINAL"),"00",TRUE,MINUTE(F58)),"00")</f>
        <v>00</v>
      </c>
      <c r="U58" s="2" t="str" cm="1">
        <f t="array" ref="U58">TEXT(_xlfn.SWITCH(TRUE,F58="T","00",AND(F58="",K58&lt;&gt;"TERMINAL"),"00",TRUE,SECOND(F58)),"00")</f>
        <v>00</v>
      </c>
      <c r="V58" s="2" t="str">
        <f t="shared" si="2"/>
        <v>00</v>
      </c>
      <c r="W58" s="2" t="str" cm="1">
        <f t="array" ref="W58">_xlfn.SWITCH(TRUE,OR(S58=TEXT($B$1,"00"),S58=TEXT($D$1,"00")),"00",AND(T58="00",K58&lt;&gt;"TERMINAL"),TEXT($D$2,"00"),TRUE,T58)</f>
        <v>00</v>
      </c>
      <c r="X58" s="2" t="str" cm="1">
        <f t="array" ref="X58">_xlfn.SWITCH(TRUE,OR(S58=TEXT($B$1,"00"),S58=TEXT($D$1,"00")),"00",AND(U58="00",K58&lt;&gt;"TERMINAL"),TEXT($F$2,"00"),TRUE,U58)</f>
        <v>00</v>
      </c>
      <c r="Y58" s="2" t="str">
        <f t="shared" si="3"/>
        <v>00</v>
      </c>
      <c r="Z58" s="2" t="str">
        <f t="shared" si="6"/>
        <v>FALSE</v>
      </c>
      <c r="AA58" s="2" t="str">
        <f t="shared" si="4"/>
        <v>000000</v>
      </c>
      <c r="AB58" s="2" t="str">
        <f t="shared" si="5"/>
        <v>000000</v>
      </c>
      <c r="AC58" s="2" t="str" cm="1">
        <f t="array" ref="AC58">TEXT($D58,"000")&amp;TEXT(IFERROR(INDEX($D$5:$D$103,_xlfn.AGGREGATE(15,6,ROW($E$5:$E$103)/(($E$5:$E$103&lt;&gt;"p")*($E$5:$E$103&lt;&gt;"t")*(ROW($E$5:$E$103)&gt;ROW($E58))),1)-ROW($E$5)+1),$D58),"000")</f>
        <v>000000</v>
      </c>
      <c r="AD58" s="2" t="str" cm="1">
        <f t="array" ref="AD58">TEXT(_xlfn.XLOOKUP(TRUE, AA59:AA$103&lt;&gt;"250000", AA59:AA$103, "未找到"),"000000")</f>
        <v>000000</v>
      </c>
      <c r="AE58" s="2" t="str" cm="1">
        <f t="array" ref="AE58">_xlfn.SWITCH(TRUE,J58&lt;&gt;"",TEXT(J58,"MMSS"),TRUE,IFERROR(TEXT(E59-F58,"MMSS"),"0000"))</f>
        <v>0000</v>
      </c>
    </row>
    <row r="59" spans="1:31">
      <c r="A59" s="2">
        <v>56</v>
      </c>
      <c r="B59" s="5"/>
      <c r="C59" s="5"/>
      <c r="D59" s="5"/>
      <c r="E59" s="5"/>
      <c r="F59" s="5"/>
      <c r="G59" s="5"/>
      <c r="H59" s="5"/>
      <c r="I59" s="5"/>
      <c r="J59" s="5"/>
      <c r="K59" s="2" t="str">
        <f t="shared" si="0"/>
        <v>terminal</v>
      </c>
      <c r="L59" s="2" t="str" cm="1">
        <f t="array" ref="L59">TEXT(_xlfn.SWITCH(TRUE,E59="P",$B$1,AND(E59="",K59&lt;&gt;"TERMINAL"),$D$1,TRUE,HOUR(E59)),"00")</f>
        <v>00</v>
      </c>
      <c r="M59" s="2" t="str" cm="1">
        <f t="array" ref="M59">TEXT(_xlfn.SWITCH(TRUE,E59="P","00",AND(E59="",K59&lt;&gt;"TERMINAL"),"00",TRUE,MINUTE(E59)),"00")</f>
        <v>00</v>
      </c>
      <c r="N59" s="2" t="str" cm="1">
        <f t="array" ref="N59">TEXT(_xlfn.SWITCH(TRUE,E59="P","00",AND(E59="",K59&lt;&gt;"TERMINAL"),"00",TRUE,SECOND(E59)),"00")</f>
        <v>00</v>
      </c>
      <c r="O59" s="2" t="str" cm="1">
        <f t="array" ref="O59">_xlfn.SWITCH(TRUE,AND(L59="00",K59&lt;&gt;"TERMINAL"),TEXT($B$2,"00"),L59=TEXT($B$1,"00"),TEXT($B$1,"00"),L59=TEXT($D$1,"00"),TEXT($D$1,"00"),TRUE,+L59)</f>
        <v>00</v>
      </c>
      <c r="P59" s="2" t="str" cm="1">
        <f t="array" ref="P59">_xlfn.SWITCH(TRUE,OR(L59=TEXT($B$1,"00"),L59=TEXT($D$1,"00")),"00",AND(M59="00",K59&lt;&gt;"TERMINAL"),TEXT($D$2,"00"),TRUE,M59)</f>
        <v>00</v>
      </c>
      <c r="Q59" s="2" t="str" cm="1">
        <f t="array" ref="Q59">_xlfn.SWITCH(TRUE,OR(L59=TEXT($B$1,"00"),L59=TEXT($D$1,"00")),"00",AND(N59="00",K59&lt;&gt;"TERMINAL"),TEXT($F$2,"00"),TRUE,N59)</f>
        <v>00</v>
      </c>
      <c r="R59" s="2" t="str">
        <f t="shared" si="1"/>
        <v>00</v>
      </c>
      <c r="S59" s="2" t="str" cm="1">
        <f t="array" ref="S59">_xlfn.SWITCH(TRUE,F59="T",TEXT($F$1,"00"),AND(F59="",K59&lt;&gt;"TERMINAL"),"00",TRUE,TEXT(HOUR(F59),"00"))</f>
        <v>00</v>
      </c>
      <c r="T59" s="2" t="str" cm="1">
        <f t="array" ref="T59">TEXT(_xlfn.SWITCH(TRUE,F59="T","00",AND(F59="",K59&lt;&gt;"TERMINAL"),"00",TRUE,MINUTE(F59)),"00")</f>
        <v>00</v>
      </c>
      <c r="U59" s="2" t="str" cm="1">
        <f t="array" ref="U59">TEXT(_xlfn.SWITCH(TRUE,F59="T","00",AND(F59="",K59&lt;&gt;"TERMINAL"),"00",TRUE,SECOND(F59)),"00")</f>
        <v>00</v>
      </c>
      <c r="V59" s="2" t="str">
        <f t="shared" si="2"/>
        <v>00</v>
      </c>
      <c r="W59" s="2" t="str" cm="1">
        <f t="array" ref="W59">_xlfn.SWITCH(TRUE,OR(S59=TEXT($B$1,"00"),S59=TEXT($D$1,"00")),"00",AND(T59="00",K59&lt;&gt;"TERMINAL"),TEXT($D$2,"00"),TRUE,T59)</f>
        <v>00</v>
      </c>
      <c r="X59" s="2" t="str" cm="1">
        <f t="array" ref="X59">_xlfn.SWITCH(TRUE,OR(S59=TEXT($B$1,"00"),S59=TEXT($D$1,"00")),"00",AND(U59="00",K59&lt;&gt;"TERMINAL"),TEXT($F$2,"00"),TRUE,U59)</f>
        <v>00</v>
      </c>
      <c r="Y59" s="2" t="str">
        <f t="shared" si="3"/>
        <v>00</v>
      </c>
      <c r="Z59" s="2" t="str">
        <f t="shared" si="6"/>
        <v>FALSE</v>
      </c>
      <c r="AA59" s="2" t="str">
        <f t="shared" si="4"/>
        <v>000000</v>
      </c>
      <c r="AB59" s="2" t="str">
        <f t="shared" si="5"/>
        <v>000000</v>
      </c>
      <c r="AC59" s="2" t="str" cm="1">
        <f t="array" ref="AC59">TEXT($D59,"000")&amp;TEXT(IFERROR(INDEX($D$5:$D$103,_xlfn.AGGREGATE(15,6,ROW($E$5:$E$103)/(($E$5:$E$103&lt;&gt;"p")*($E$5:$E$103&lt;&gt;"t")*(ROW($E$5:$E$103)&gt;ROW($E59))),1)-ROW($E$5)+1),$D59),"000")</f>
        <v>000000</v>
      </c>
      <c r="AD59" s="2" t="str" cm="1">
        <f t="array" ref="AD59">TEXT(_xlfn.XLOOKUP(TRUE, AA60:AA$103&lt;&gt;"250000", AA60:AA$103, "未找到"),"000000")</f>
        <v>000000</v>
      </c>
      <c r="AE59" s="2" t="str" cm="1">
        <f t="array" ref="AE59">_xlfn.SWITCH(TRUE,J59&lt;&gt;"",TEXT(J59,"MMSS"),TRUE,IFERROR(TEXT(E60-F59,"MMSS"),"0000"))</f>
        <v>0000</v>
      </c>
    </row>
    <row r="60" spans="1:31">
      <c r="A60" s="2">
        <v>57</v>
      </c>
      <c r="B60" s="5"/>
      <c r="C60" s="5"/>
      <c r="D60" s="5"/>
      <c r="E60" s="5"/>
      <c r="F60" s="5"/>
      <c r="G60" s="5"/>
      <c r="H60" s="5"/>
      <c r="I60" s="5"/>
      <c r="J60" s="5"/>
      <c r="K60" s="2" t="str">
        <f t="shared" si="0"/>
        <v>terminal</v>
      </c>
      <c r="L60" s="2" t="str" cm="1">
        <f t="array" ref="L60">TEXT(_xlfn.SWITCH(TRUE,E60="P",$B$1,AND(E60="",K60&lt;&gt;"TERMINAL"),$D$1,TRUE,HOUR(E60)),"00")</f>
        <v>00</v>
      </c>
      <c r="M60" s="2" t="str" cm="1">
        <f t="array" ref="M60">TEXT(_xlfn.SWITCH(TRUE,E60="P","00",AND(E60="",K60&lt;&gt;"TERMINAL"),"00",TRUE,MINUTE(E60)),"00")</f>
        <v>00</v>
      </c>
      <c r="N60" s="2" t="str" cm="1">
        <f t="array" ref="N60">TEXT(_xlfn.SWITCH(TRUE,E60="P","00",AND(E60="",K60&lt;&gt;"TERMINAL"),"00",TRUE,SECOND(E60)),"00")</f>
        <v>00</v>
      </c>
      <c r="O60" s="2" t="str" cm="1">
        <f t="array" ref="O60">_xlfn.SWITCH(TRUE,AND(L60="00",K60&lt;&gt;"TERMINAL"),TEXT($B$2,"00"),L60=TEXT($B$1,"00"),TEXT($B$1,"00"),L60=TEXT($D$1,"00"),TEXT($D$1,"00"),TRUE,+L60)</f>
        <v>00</v>
      </c>
      <c r="P60" s="2" t="str" cm="1">
        <f t="array" ref="P60">_xlfn.SWITCH(TRUE,OR(L60=TEXT($B$1,"00"),L60=TEXT($D$1,"00")),"00",AND(M60="00",K60&lt;&gt;"TERMINAL"),TEXT($D$2,"00"),TRUE,M60)</f>
        <v>00</v>
      </c>
      <c r="Q60" s="2" t="str" cm="1">
        <f t="array" ref="Q60">_xlfn.SWITCH(TRUE,OR(L60=TEXT($B$1,"00"),L60=TEXT($D$1,"00")),"00",AND(N60="00",K60&lt;&gt;"TERMINAL"),TEXT($F$2,"00"),TRUE,N60)</f>
        <v>00</v>
      </c>
      <c r="R60" s="2" t="str">
        <f t="shared" si="1"/>
        <v>00</v>
      </c>
      <c r="S60" s="2" t="str" cm="1">
        <f t="array" ref="S60">_xlfn.SWITCH(TRUE,F60="T",TEXT($F$1,"00"),AND(F60="",K60&lt;&gt;"TERMINAL"),"00",TRUE,TEXT(HOUR(F60),"00"))</f>
        <v>00</v>
      </c>
      <c r="T60" s="2" t="str" cm="1">
        <f t="array" ref="T60">TEXT(_xlfn.SWITCH(TRUE,F60="T","00",AND(F60="",K60&lt;&gt;"TERMINAL"),"00",TRUE,MINUTE(F60)),"00")</f>
        <v>00</v>
      </c>
      <c r="U60" s="2" t="str" cm="1">
        <f t="array" ref="U60">TEXT(_xlfn.SWITCH(TRUE,F60="T","00",AND(F60="",K60&lt;&gt;"TERMINAL"),"00",TRUE,SECOND(F60)),"00")</f>
        <v>00</v>
      </c>
      <c r="V60" s="2" t="str">
        <f t="shared" si="2"/>
        <v>00</v>
      </c>
      <c r="W60" s="2" t="str" cm="1">
        <f t="array" ref="W60">_xlfn.SWITCH(TRUE,OR(S60=TEXT($B$1,"00"),S60=TEXT($D$1,"00")),"00",AND(T60="00",K60&lt;&gt;"TERMINAL"),TEXT($D$2,"00"),TRUE,T60)</f>
        <v>00</v>
      </c>
      <c r="X60" s="2" t="str" cm="1">
        <f t="array" ref="X60">_xlfn.SWITCH(TRUE,OR(S60=TEXT($B$1,"00"),S60=TEXT($D$1,"00")),"00",AND(U60="00",K60&lt;&gt;"TERMINAL"),TEXT($F$2,"00"),TRUE,U60)</f>
        <v>00</v>
      </c>
      <c r="Y60" s="2" t="str">
        <f t="shared" si="3"/>
        <v>00</v>
      </c>
      <c r="Z60" s="2" t="str">
        <f t="shared" si="6"/>
        <v>FALSE</v>
      </c>
      <c r="AA60" s="2" t="str">
        <f t="shared" si="4"/>
        <v>000000</v>
      </c>
      <c r="AB60" s="2" t="str">
        <f t="shared" si="5"/>
        <v>000000</v>
      </c>
      <c r="AC60" s="2" t="str" cm="1">
        <f t="array" ref="AC60">TEXT($D60,"000")&amp;TEXT(IFERROR(INDEX($D$5:$D$103,_xlfn.AGGREGATE(15,6,ROW($E$5:$E$103)/(($E$5:$E$103&lt;&gt;"p")*($E$5:$E$103&lt;&gt;"t")*(ROW($E$5:$E$103)&gt;ROW($E60))),1)-ROW($E$5)+1),$D60),"000")</f>
        <v>000000</v>
      </c>
      <c r="AD60" s="2" t="str" cm="1">
        <f t="array" ref="AD60">TEXT(_xlfn.XLOOKUP(TRUE, AA61:AA$103&lt;&gt;"250000", AA61:AA$103, "未找到"),"000000")</f>
        <v>000000</v>
      </c>
      <c r="AE60" s="2" t="str" cm="1">
        <f t="array" ref="AE60">_xlfn.SWITCH(TRUE,J60&lt;&gt;"",TEXT(J60,"MMSS"),TRUE,IFERROR(TEXT(E61-F60,"MMSS"),"0000"))</f>
        <v>0000</v>
      </c>
    </row>
    <row r="61" spans="1:31">
      <c r="A61" s="2">
        <v>58</v>
      </c>
      <c r="B61" s="5"/>
      <c r="C61" s="5"/>
      <c r="D61" s="5"/>
      <c r="E61" s="5"/>
      <c r="F61" s="5"/>
      <c r="G61" s="5"/>
      <c r="H61" s="5"/>
      <c r="I61" s="5"/>
      <c r="J61" s="5"/>
      <c r="K61" s="2" t="str">
        <f t="shared" si="0"/>
        <v>terminal</v>
      </c>
      <c r="L61" s="2" t="str" cm="1">
        <f t="array" ref="L61">TEXT(_xlfn.SWITCH(TRUE,E61="P",$B$1,AND(E61="",K61&lt;&gt;"TERMINAL"),$D$1,TRUE,HOUR(E61)),"00")</f>
        <v>00</v>
      </c>
      <c r="M61" s="2" t="str" cm="1">
        <f t="array" ref="M61">TEXT(_xlfn.SWITCH(TRUE,E61="P","00",AND(E61="",K61&lt;&gt;"TERMINAL"),"00",TRUE,MINUTE(E61)),"00")</f>
        <v>00</v>
      </c>
      <c r="N61" s="2" t="str" cm="1">
        <f t="array" ref="N61">TEXT(_xlfn.SWITCH(TRUE,E61="P","00",AND(E61="",K61&lt;&gt;"TERMINAL"),"00",TRUE,SECOND(E61)),"00")</f>
        <v>00</v>
      </c>
      <c r="O61" s="2" t="str" cm="1">
        <f t="array" ref="O61">_xlfn.SWITCH(TRUE,AND(L61="00",K61&lt;&gt;"TERMINAL"),TEXT($B$2,"00"),L61=TEXT($B$1,"00"),TEXT($B$1,"00"),L61=TEXT($D$1,"00"),TEXT($D$1,"00"),TRUE,+L61)</f>
        <v>00</v>
      </c>
      <c r="P61" s="2" t="str" cm="1">
        <f t="array" ref="P61">_xlfn.SWITCH(TRUE,OR(L61=TEXT($B$1,"00"),L61=TEXT($D$1,"00")),"00",AND(M61="00",K61&lt;&gt;"TERMINAL"),TEXT($D$2,"00"),TRUE,M61)</f>
        <v>00</v>
      </c>
      <c r="Q61" s="2" t="str" cm="1">
        <f t="array" ref="Q61">_xlfn.SWITCH(TRUE,OR(L61=TEXT($B$1,"00"),L61=TEXT($D$1,"00")),"00",AND(N61="00",K61&lt;&gt;"TERMINAL"),TEXT($F$2,"00"),TRUE,N61)</f>
        <v>00</v>
      </c>
      <c r="R61" s="2" t="str">
        <f t="shared" si="1"/>
        <v>00</v>
      </c>
      <c r="S61" s="2" t="str" cm="1">
        <f t="array" ref="S61">_xlfn.SWITCH(TRUE,F61="T",TEXT($F$1,"00"),AND(F61="",K61&lt;&gt;"TERMINAL"),"00",TRUE,TEXT(HOUR(F61),"00"))</f>
        <v>00</v>
      </c>
      <c r="T61" s="2" t="str" cm="1">
        <f t="array" ref="T61">TEXT(_xlfn.SWITCH(TRUE,F61="T","00",AND(F61="",K61&lt;&gt;"TERMINAL"),"00",TRUE,MINUTE(F61)),"00")</f>
        <v>00</v>
      </c>
      <c r="U61" s="2" t="str" cm="1">
        <f t="array" ref="U61">TEXT(_xlfn.SWITCH(TRUE,F61="T","00",AND(F61="",K61&lt;&gt;"TERMINAL"),"00",TRUE,SECOND(F61)),"00")</f>
        <v>00</v>
      </c>
      <c r="V61" s="2" t="str">
        <f t="shared" si="2"/>
        <v>00</v>
      </c>
      <c r="W61" s="2" t="str" cm="1">
        <f t="array" ref="W61">_xlfn.SWITCH(TRUE,OR(S61=TEXT($B$1,"00"),S61=TEXT($D$1,"00")),"00",AND(T61="00",K61&lt;&gt;"TERMINAL"),TEXT($D$2,"00"),TRUE,T61)</f>
        <v>00</v>
      </c>
      <c r="X61" s="2" t="str" cm="1">
        <f t="array" ref="X61">_xlfn.SWITCH(TRUE,OR(S61=TEXT($B$1,"00"),S61=TEXT($D$1,"00")),"00",AND(U61="00",K61&lt;&gt;"TERMINAL"),TEXT($F$2,"00"),TRUE,U61)</f>
        <v>00</v>
      </c>
      <c r="Y61" s="2" t="str">
        <f t="shared" si="3"/>
        <v>00</v>
      </c>
      <c r="Z61" s="2" t="str">
        <f t="shared" si="6"/>
        <v>FALSE</v>
      </c>
      <c r="AA61" s="2" t="str">
        <f t="shared" si="4"/>
        <v>000000</v>
      </c>
      <c r="AB61" s="2" t="str">
        <f t="shared" si="5"/>
        <v>000000</v>
      </c>
      <c r="AC61" s="2" t="str" cm="1">
        <f t="array" ref="AC61">TEXT($D61,"000")&amp;TEXT(IFERROR(INDEX($D$5:$D$103,_xlfn.AGGREGATE(15,6,ROW($E$5:$E$103)/(($E$5:$E$103&lt;&gt;"p")*($E$5:$E$103&lt;&gt;"t")*(ROW($E$5:$E$103)&gt;ROW($E61))),1)-ROW($E$5)+1),$D61),"000")</f>
        <v>000000</v>
      </c>
      <c r="AD61" s="2" t="str" cm="1">
        <f t="array" ref="AD61">TEXT(_xlfn.XLOOKUP(TRUE, AA62:AA$103&lt;&gt;"250000", AA62:AA$103, "未找到"),"000000")</f>
        <v>000000</v>
      </c>
      <c r="AE61" s="2" t="str" cm="1">
        <f t="array" ref="AE61">_xlfn.SWITCH(TRUE,J61&lt;&gt;"",TEXT(J61,"MMSS"),TRUE,IFERROR(TEXT(E62-F61,"MMSS"),"0000"))</f>
        <v>0000</v>
      </c>
    </row>
    <row r="62" spans="1:31">
      <c r="A62" s="2">
        <v>59</v>
      </c>
      <c r="B62" s="5"/>
      <c r="C62" s="5"/>
      <c r="D62" s="5"/>
      <c r="E62" s="5"/>
      <c r="F62" s="5"/>
      <c r="G62" s="5"/>
      <c r="H62" s="5"/>
      <c r="I62" s="5"/>
      <c r="J62" s="5"/>
      <c r="K62" s="2" t="str">
        <f t="shared" si="0"/>
        <v>terminal</v>
      </c>
      <c r="L62" s="2" t="str" cm="1">
        <f t="array" ref="L62">TEXT(_xlfn.SWITCH(TRUE,E62="P",$B$1,AND(E62="",K62&lt;&gt;"TERMINAL"),$D$1,TRUE,HOUR(E62)),"00")</f>
        <v>00</v>
      </c>
      <c r="M62" s="2" t="str" cm="1">
        <f t="array" ref="M62">TEXT(_xlfn.SWITCH(TRUE,E62="P","00",AND(E62="",K62&lt;&gt;"TERMINAL"),"00",TRUE,MINUTE(E62)),"00")</f>
        <v>00</v>
      </c>
      <c r="N62" s="2" t="str" cm="1">
        <f t="array" ref="N62">TEXT(_xlfn.SWITCH(TRUE,E62="P","00",AND(E62="",K62&lt;&gt;"TERMINAL"),"00",TRUE,SECOND(E62)),"00")</f>
        <v>00</v>
      </c>
      <c r="O62" s="2" t="str" cm="1">
        <f t="array" ref="O62">_xlfn.SWITCH(TRUE,AND(L62="00",K62&lt;&gt;"TERMINAL"),TEXT($B$2,"00"),L62=TEXT($B$1,"00"),TEXT($B$1,"00"),L62=TEXT($D$1,"00"),TEXT($D$1,"00"),TRUE,+L62)</f>
        <v>00</v>
      </c>
      <c r="P62" s="2" t="str" cm="1">
        <f t="array" ref="P62">_xlfn.SWITCH(TRUE,OR(L62=TEXT($B$1,"00"),L62=TEXT($D$1,"00")),"00",AND(M62="00",K62&lt;&gt;"TERMINAL"),TEXT($D$2,"00"),TRUE,M62)</f>
        <v>00</v>
      </c>
      <c r="Q62" s="2" t="str" cm="1">
        <f t="array" ref="Q62">_xlfn.SWITCH(TRUE,OR(L62=TEXT($B$1,"00"),L62=TEXT($D$1,"00")),"00",AND(N62="00",K62&lt;&gt;"TERMINAL"),TEXT($F$2,"00"),TRUE,N62)</f>
        <v>00</v>
      </c>
      <c r="R62" s="2" t="str">
        <f t="shared" si="1"/>
        <v>00</v>
      </c>
      <c r="S62" s="2" t="str" cm="1">
        <f t="array" ref="S62">_xlfn.SWITCH(TRUE,F62="T",TEXT($F$1,"00"),AND(F62="",K62&lt;&gt;"TERMINAL"),"00",TRUE,TEXT(HOUR(F62),"00"))</f>
        <v>00</v>
      </c>
      <c r="T62" s="2" t="str" cm="1">
        <f t="array" ref="T62">TEXT(_xlfn.SWITCH(TRUE,F62="T","00",AND(F62="",K62&lt;&gt;"TERMINAL"),"00",TRUE,MINUTE(F62)),"00")</f>
        <v>00</v>
      </c>
      <c r="U62" s="2" t="str" cm="1">
        <f t="array" ref="U62">TEXT(_xlfn.SWITCH(TRUE,F62="T","00",AND(F62="",K62&lt;&gt;"TERMINAL"),"00",TRUE,SECOND(F62)),"00")</f>
        <v>00</v>
      </c>
      <c r="V62" s="2" t="str">
        <f t="shared" si="2"/>
        <v>00</v>
      </c>
      <c r="W62" s="2" t="str" cm="1">
        <f t="array" ref="W62">_xlfn.SWITCH(TRUE,OR(S62=TEXT($B$1,"00"),S62=TEXT($D$1,"00")),"00",AND(T62="00",K62&lt;&gt;"TERMINAL"),TEXT($D$2,"00"),TRUE,T62)</f>
        <v>00</v>
      </c>
      <c r="X62" s="2" t="str" cm="1">
        <f t="array" ref="X62">_xlfn.SWITCH(TRUE,OR(S62=TEXT($B$1,"00"),S62=TEXT($D$1,"00")),"00",AND(U62="00",K62&lt;&gt;"TERMINAL"),TEXT($F$2,"00"),TRUE,U62)</f>
        <v>00</v>
      </c>
      <c r="Y62" s="2" t="str">
        <f t="shared" si="3"/>
        <v>00</v>
      </c>
      <c r="Z62" s="2" t="str">
        <f t="shared" si="6"/>
        <v>FALSE</v>
      </c>
      <c r="AA62" s="2" t="str">
        <f t="shared" si="4"/>
        <v>000000</v>
      </c>
      <c r="AB62" s="2" t="str">
        <f t="shared" si="5"/>
        <v>000000</v>
      </c>
      <c r="AC62" s="2" t="str" cm="1">
        <f t="array" ref="AC62">TEXT($D62,"000")&amp;TEXT(IFERROR(INDEX($D$5:$D$103,_xlfn.AGGREGATE(15,6,ROW($E$5:$E$103)/(($E$5:$E$103&lt;&gt;"p")*($E$5:$E$103&lt;&gt;"t")*(ROW($E$5:$E$103)&gt;ROW($E62))),1)-ROW($E$5)+1),$D62),"000")</f>
        <v>000000</v>
      </c>
      <c r="AD62" s="2" t="str" cm="1">
        <f t="array" ref="AD62">TEXT(_xlfn.XLOOKUP(TRUE, AA63:AA$103&lt;&gt;"250000", AA63:AA$103, "未找到"),"000000")</f>
        <v>000000</v>
      </c>
      <c r="AE62" s="2" t="str" cm="1">
        <f t="array" ref="AE62">_xlfn.SWITCH(TRUE,J62&lt;&gt;"",TEXT(J62,"MMSS"),TRUE,IFERROR(TEXT(E63-F62,"MMSS"),"0000"))</f>
        <v>0000</v>
      </c>
    </row>
    <row r="63" spans="1:31">
      <c r="A63" s="2">
        <v>60</v>
      </c>
      <c r="B63" s="5"/>
      <c r="C63" s="5"/>
      <c r="D63" s="5"/>
      <c r="E63" s="5"/>
      <c r="F63" s="5"/>
      <c r="G63" s="5"/>
      <c r="H63" s="5"/>
      <c r="I63" s="5"/>
      <c r="J63" s="5"/>
      <c r="K63" s="2" t="str">
        <f t="shared" si="0"/>
        <v>terminal</v>
      </c>
      <c r="L63" s="2" t="str" cm="1">
        <f t="array" ref="L63">TEXT(_xlfn.SWITCH(TRUE,E63="P",$B$1,AND(E63="",K63&lt;&gt;"TERMINAL"),$D$1,TRUE,HOUR(E63)),"00")</f>
        <v>00</v>
      </c>
      <c r="M63" s="2" t="str" cm="1">
        <f t="array" ref="M63">TEXT(_xlfn.SWITCH(TRUE,E63="P","00",AND(E63="",K63&lt;&gt;"TERMINAL"),"00",TRUE,MINUTE(E63)),"00")</f>
        <v>00</v>
      </c>
      <c r="N63" s="2" t="str" cm="1">
        <f t="array" ref="N63">TEXT(_xlfn.SWITCH(TRUE,E63="P","00",AND(E63="",K63&lt;&gt;"TERMINAL"),"00",TRUE,SECOND(E63)),"00")</f>
        <v>00</v>
      </c>
      <c r="O63" s="2" t="str" cm="1">
        <f t="array" ref="O63">_xlfn.SWITCH(TRUE,AND(L63="00",K63&lt;&gt;"TERMINAL"),TEXT($B$2,"00"),L63=TEXT($B$1,"00"),TEXT($B$1,"00"),L63=TEXT($D$1,"00"),TEXT($D$1,"00"),TRUE,+L63)</f>
        <v>00</v>
      </c>
      <c r="P63" s="2" t="str" cm="1">
        <f t="array" ref="P63">_xlfn.SWITCH(TRUE,OR(L63=TEXT($B$1,"00"),L63=TEXT($D$1,"00")),"00",AND(M63="00",K63&lt;&gt;"TERMINAL"),TEXT($D$2,"00"),TRUE,M63)</f>
        <v>00</v>
      </c>
      <c r="Q63" s="2" t="str" cm="1">
        <f t="array" ref="Q63">_xlfn.SWITCH(TRUE,OR(L63=TEXT($B$1,"00"),L63=TEXT($D$1,"00")),"00",AND(N63="00",K63&lt;&gt;"TERMINAL"),TEXT($F$2,"00"),TRUE,N63)</f>
        <v>00</v>
      </c>
      <c r="R63" s="2" t="str">
        <f t="shared" si="1"/>
        <v>00</v>
      </c>
      <c r="S63" s="2" t="str" cm="1">
        <f t="array" ref="S63">_xlfn.SWITCH(TRUE,F63="T",TEXT($F$1,"00"),AND(F63="",K63&lt;&gt;"TERMINAL"),"00",TRUE,TEXT(HOUR(F63),"00"))</f>
        <v>00</v>
      </c>
      <c r="T63" s="2" t="str" cm="1">
        <f t="array" ref="T63">TEXT(_xlfn.SWITCH(TRUE,F63="T","00",AND(F63="",K63&lt;&gt;"TERMINAL"),"00",TRUE,MINUTE(F63)),"00")</f>
        <v>00</v>
      </c>
      <c r="U63" s="2" t="str" cm="1">
        <f t="array" ref="U63">TEXT(_xlfn.SWITCH(TRUE,F63="T","00",AND(F63="",K63&lt;&gt;"TERMINAL"),"00",TRUE,SECOND(F63)),"00")</f>
        <v>00</v>
      </c>
      <c r="V63" s="2" t="str">
        <f t="shared" si="2"/>
        <v>00</v>
      </c>
      <c r="W63" s="2" t="str" cm="1">
        <f t="array" ref="W63">_xlfn.SWITCH(TRUE,OR(S63=TEXT($B$1,"00"),S63=TEXT($D$1,"00")),"00",AND(T63="00",K63&lt;&gt;"TERMINAL"),TEXT($D$2,"00"),TRUE,T63)</f>
        <v>00</v>
      </c>
      <c r="X63" s="2" t="str" cm="1">
        <f t="array" ref="X63">_xlfn.SWITCH(TRUE,OR(S63=TEXT($B$1,"00"),S63=TEXT($D$1,"00")),"00",AND(U63="00",K63&lt;&gt;"TERMINAL"),TEXT($F$2,"00"),TRUE,U63)</f>
        <v>00</v>
      </c>
      <c r="Y63" s="2" t="str">
        <f t="shared" si="3"/>
        <v>00</v>
      </c>
      <c r="Z63" s="2" t="str">
        <f t="shared" si="6"/>
        <v>FALSE</v>
      </c>
      <c r="AA63" s="2" t="str">
        <f t="shared" si="4"/>
        <v>000000</v>
      </c>
      <c r="AB63" s="2" t="str">
        <f t="shared" si="5"/>
        <v>000000</v>
      </c>
      <c r="AC63" s="2" t="str" cm="1">
        <f t="array" ref="AC63">TEXT($D63,"000")&amp;TEXT(IFERROR(INDEX($D$5:$D$103,_xlfn.AGGREGATE(15,6,ROW($E$5:$E$103)/(($E$5:$E$103&lt;&gt;"p")*($E$5:$E$103&lt;&gt;"t")*(ROW($E$5:$E$103)&gt;ROW($E63))),1)-ROW($E$5)+1),$D63),"000")</f>
        <v>000000</v>
      </c>
      <c r="AD63" s="2" t="str" cm="1">
        <f t="array" ref="AD63">TEXT(_xlfn.XLOOKUP(TRUE, AA64:AA$103&lt;&gt;"250000", AA64:AA$103, "未找到"),"000000")</f>
        <v>000000</v>
      </c>
      <c r="AE63" s="2" t="str" cm="1">
        <f t="array" ref="AE63">_xlfn.SWITCH(TRUE,J63&lt;&gt;"",TEXT(J63,"MMSS"),TRUE,IFERROR(TEXT(E64-F63,"MMSS"),"0000"))</f>
        <v>0000</v>
      </c>
    </row>
    <row r="64" spans="1:31">
      <c r="A64" s="2">
        <v>61</v>
      </c>
      <c r="B64" s="5"/>
      <c r="C64" s="5"/>
      <c r="D64" s="5"/>
      <c r="E64" s="5"/>
      <c r="F64" s="5"/>
      <c r="G64" s="5"/>
      <c r="H64" s="5"/>
      <c r="I64" s="5"/>
      <c r="J64" s="5"/>
      <c r="K64" s="2" t="str">
        <f t="shared" si="0"/>
        <v>terminal</v>
      </c>
      <c r="L64" s="2" t="str" cm="1">
        <f t="array" ref="L64">TEXT(_xlfn.SWITCH(TRUE,E64="P",$B$1,AND(E64="",K64&lt;&gt;"TERMINAL"),$D$1,TRUE,HOUR(E64)),"00")</f>
        <v>00</v>
      </c>
      <c r="M64" s="2" t="str" cm="1">
        <f t="array" ref="M64">TEXT(_xlfn.SWITCH(TRUE,E64="P","00",AND(E64="",K64&lt;&gt;"TERMINAL"),"00",TRUE,MINUTE(E64)),"00")</f>
        <v>00</v>
      </c>
      <c r="N64" s="2" t="str" cm="1">
        <f t="array" ref="N64">TEXT(_xlfn.SWITCH(TRUE,E64="P","00",AND(E64="",K64&lt;&gt;"TERMINAL"),"00",TRUE,SECOND(E64)),"00")</f>
        <v>00</v>
      </c>
      <c r="O64" s="2" t="str" cm="1">
        <f t="array" ref="O64">_xlfn.SWITCH(TRUE,AND(L64="00",K64&lt;&gt;"TERMINAL"),TEXT($B$2,"00"),L64=TEXT($B$1,"00"),TEXT($B$1,"00"),L64=TEXT($D$1,"00"),TEXT($D$1,"00"),TRUE,+L64)</f>
        <v>00</v>
      </c>
      <c r="P64" s="2" t="str" cm="1">
        <f t="array" ref="P64">_xlfn.SWITCH(TRUE,OR(L64=TEXT($B$1,"00"),L64=TEXT($D$1,"00")),"00",AND(M64="00",K64&lt;&gt;"TERMINAL"),TEXT($D$2,"00"),TRUE,M64)</f>
        <v>00</v>
      </c>
      <c r="Q64" s="2" t="str" cm="1">
        <f t="array" ref="Q64">_xlfn.SWITCH(TRUE,OR(L64=TEXT($B$1,"00"),L64=TEXT($D$1,"00")),"00",AND(N64="00",K64&lt;&gt;"TERMINAL"),TEXT($F$2,"00"),TRUE,N64)</f>
        <v>00</v>
      </c>
      <c r="R64" s="2" t="str">
        <f t="shared" si="1"/>
        <v>00</v>
      </c>
      <c r="S64" s="2" t="str" cm="1">
        <f t="array" ref="S64">_xlfn.SWITCH(TRUE,F64="T",TEXT($F$1,"00"),AND(F64="",K64&lt;&gt;"TERMINAL"),"00",TRUE,TEXT(HOUR(F64),"00"))</f>
        <v>00</v>
      </c>
      <c r="T64" s="2" t="str" cm="1">
        <f t="array" ref="T64">TEXT(_xlfn.SWITCH(TRUE,F64="T","00",AND(F64="",K64&lt;&gt;"TERMINAL"),"00",TRUE,MINUTE(F64)),"00")</f>
        <v>00</v>
      </c>
      <c r="U64" s="2" t="str" cm="1">
        <f t="array" ref="U64">TEXT(_xlfn.SWITCH(TRUE,F64="T","00",AND(F64="",K64&lt;&gt;"TERMINAL"),"00",TRUE,SECOND(F64)),"00")</f>
        <v>00</v>
      </c>
      <c r="V64" s="2" t="str">
        <f t="shared" si="2"/>
        <v>00</v>
      </c>
      <c r="W64" s="2" t="str" cm="1">
        <f t="array" ref="W64">_xlfn.SWITCH(TRUE,OR(S64=TEXT($B$1,"00"),S64=TEXT($D$1,"00")),"00",AND(T64="00",K64&lt;&gt;"TERMINAL"),TEXT($D$2,"00"),TRUE,T64)</f>
        <v>00</v>
      </c>
      <c r="X64" s="2" t="str" cm="1">
        <f t="array" ref="X64">_xlfn.SWITCH(TRUE,OR(S64=TEXT($B$1,"00"),S64=TEXT($D$1,"00")),"00",AND(U64="00",K64&lt;&gt;"TERMINAL"),TEXT($F$2,"00"),TRUE,U64)</f>
        <v>00</v>
      </c>
      <c r="Y64" s="2" t="str">
        <f t="shared" si="3"/>
        <v>00</v>
      </c>
      <c r="Z64" s="2" t="str">
        <f t="shared" si="6"/>
        <v>FALSE</v>
      </c>
      <c r="AA64" s="2" t="str">
        <f t="shared" si="4"/>
        <v>000000</v>
      </c>
      <c r="AB64" s="2" t="str">
        <f t="shared" si="5"/>
        <v>000000</v>
      </c>
      <c r="AC64" s="2" t="str" cm="1">
        <f t="array" ref="AC64">TEXT($D64,"000")&amp;TEXT(IFERROR(INDEX($D$5:$D$103,_xlfn.AGGREGATE(15,6,ROW($E$5:$E$103)/(($E$5:$E$103&lt;&gt;"p")*($E$5:$E$103&lt;&gt;"t")*(ROW($E$5:$E$103)&gt;ROW($E64))),1)-ROW($E$5)+1),$D64),"000")</f>
        <v>000000</v>
      </c>
      <c r="AD64" s="2" t="str" cm="1">
        <f t="array" ref="AD64">TEXT(_xlfn.XLOOKUP(TRUE, AA65:AA$103&lt;&gt;"250000", AA65:AA$103, "未找到"),"000000")</f>
        <v>000000</v>
      </c>
      <c r="AE64" s="2" t="str" cm="1">
        <f t="array" ref="AE64">_xlfn.SWITCH(TRUE,J64&lt;&gt;"",TEXT(J64,"MMSS"),TRUE,IFERROR(TEXT(E65-F64,"MMSS"),"0000"))</f>
        <v>0000</v>
      </c>
    </row>
    <row r="65" spans="1:31">
      <c r="A65" s="2">
        <v>62</v>
      </c>
      <c r="B65" s="5"/>
      <c r="C65" s="5"/>
      <c r="D65" s="5"/>
      <c r="E65" s="5"/>
      <c r="F65" s="5"/>
      <c r="G65" s="5"/>
      <c r="H65" s="5"/>
      <c r="I65" s="5"/>
      <c r="J65" s="5"/>
      <c r="K65" s="2" t="str">
        <f t="shared" si="0"/>
        <v>terminal</v>
      </c>
      <c r="L65" s="2" t="str" cm="1">
        <f t="array" ref="L65">TEXT(_xlfn.SWITCH(TRUE,E65="P",$B$1,AND(E65="",K65&lt;&gt;"TERMINAL"),$D$1,TRUE,HOUR(E65)),"00")</f>
        <v>00</v>
      </c>
      <c r="M65" s="2" t="str" cm="1">
        <f t="array" ref="M65">TEXT(_xlfn.SWITCH(TRUE,E65="P","00",AND(E65="",K65&lt;&gt;"TERMINAL"),"00",TRUE,MINUTE(E65)),"00")</f>
        <v>00</v>
      </c>
      <c r="N65" s="2" t="str" cm="1">
        <f t="array" ref="N65">TEXT(_xlfn.SWITCH(TRUE,E65="P","00",AND(E65="",K65&lt;&gt;"TERMINAL"),"00",TRUE,SECOND(E65)),"00")</f>
        <v>00</v>
      </c>
      <c r="O65" s="2" t="str" cm="1">
        <f t="array" ref="O65">_xlfn.SWITCH(TRUE,AND(L65="00",K65&lt;&gt;"TERMINAL"),TEXT($B$2,"00"),L65=TEXT($B$1,"00"),TEXT($B$1,"00"),L65=TEXT($D$1,"00"),TEXT($D$1,"00"),TRUE,+L65)</f>
        <v>00</v>
      </c>
      <c r="P65" s="2" t="str" cm="1">
        <f t="array" ref="P65">_xlfn.SWITCH(TRUE,OR(L65=TEXT($B$1,"00"),L65=TEXT($D$1,"00")),"00",AND(M65="00",K65&lt;&gt;"TERMINAL"),TEXT($D$2,"00"),TRUE,M65)</f>
        <v>00</v>
      </c>
      <c r="Q65" s="2" t="str" cm="1">
        <f t="array" ref="Q65">_xlfn.SWITCH(TRUE,OR(L65=TEXT($B$1,"00"),L65=TEXT($D$1,"00")),"00",AND(N65="00",K65&lt;&gt;"TERMINAL"),TEXT($F$2,"00"),TRUE,N65)</f>
        <v>00</v>
      </c>
      <c r="R65" s="2" t="str">
        <f t="shared" si="1"/>
        <v>00</v>
      </c>
      <c r="S65" s="2" t="str" cm="1">
        <f t="array" ref="S65">_xlfn.SWITCH(TRUE,F65="T",TEXT($F$1,"00"),AND(F65="",K65&lt;&gt;"TERMINAL"),"00",TRUE,TEXT(HOUR(F65),"00"))</f>
        <v>00</v>
      </c>
      <c r="T65" s="2" t="str" cm="1">
        <f t="array" ref="T65">TEXT(_xlfn.SWITCH(TRUE,F65="T","00",AND(F65="",K65&lt;&gt;"TERMINAL"),"00",TRUE,MINUTE(F65)),"00")</f>
        <v>00</v>
      </c>
      <c r="U65" s="2" t="str" cm="1">
        <f t="array" ref="U65">TEXT(_xlfn.SWITCH(TRUE,F65="T","00",AND(F65="",K65&lt;&gt;"TERMINAL"),"00",TRUE,SECOND(F65)),"00")</f>
        <v>00</v>
      </c>
      <c r="V65" s="2" t="str">
        <f t="shared" si="2"/>
        <v>00</v>
      </c>
      <c r="W65" s="2" t="str" cm="1">
        <f t="array" ref="W65">_xlfn.SWITCH(TRUE,OR(S65=TEXT($B$1,"00"),S65=TEXT($D$1,"00")),"00",AND(T65="00",K65&lt;&gt;"TERMINAL"),TEXT($D$2,"00"),TRUE,T65)</f>
        <v>00</v>
      </c>
      <c r="X65" s="2" t="str" cm="1">
        <f t="array" ref="X65">_xlfn.SWITCH(TRUE,OR(S65=TEXT($B$1,"00"),S65=TEXT($D$1,"00")),"00",AND(U65="00",K65&lt;&gt;"TERMINAL"),TEXT($F$2,"00"),TRUE,U65)</f>
        <v>00</v>
      </c>
      <c r="Y65" s="2" t="str">
        <f t="shared" si="3"/>
        <v>00</v>
      </c>
      <c r="Z65" s="2" t="str">
        <f t="shared" si="6"/>
        <v>FALSE</v>
      </c>
      <c r="AA65" s="2" t="str">
        <f t="shared" si="4"/>
        <v>000000</v>
      </c>
      <c r="AB65" s="2" t="str">
        <f t="shared" si="5"/>
        <v>000000</v>
      </c>
      <c r="AC65" s="2" t="str" cm="1">
        <f t="array" ref="AC65">TEXT($D65,"000")&amp;TEXT(IFERROR(INDEX($D$5:$D$103,_xlfn.AGGREGATE(15,6,ROW($E$5:$E$103)/(($E$5:$E$103&lt;&gt;"p")*($E$5:$E$103&lt;&gt;"t")*(ROW($E$5:$E$103)&gt;ROW($E65))),1)-ROW($E$5)+1),$D65),"000")</f>
        <v>000000</v>
      </c>
      <c r="AD65" s="2" t="str" cm="1">
        <f t="array" ref="AD65">TEXT(_xlfn.XLOOKUP(TRUE, AA66:AA$103&lt;&gt;"250000", AA66:AA$103, "未找到"),"000000")</f>
        <v>000000</v>
      </c>
      <c r="AE65" s="2" t="str" cm="1">
        <f t="array" ref="AE65">_xlfn.SWITCH(TRUE,J65&lt;&gt;"",TEXT(J65,"MMSS"),TRUE,IFERROR(TEXT(E66-F65,"MMSS"),"0000"))</f>
        <v>0000</v>
      </c>
    </row>
    <row r="66" spans="1:31">
      <c r="A66" s="2">
        <v>63</v>
      </c>
      <c r="B66" s="5"/>
      <c r="C66" s="5"/>
      <c r="D66" s="5"/>
      <c r="E66" s="5"/>
      <c r="F66" s="5"/>
      <c r="G66" s="5"/>
      <c r="H66" s="5"/>
      <c r="I66" s="5"/>
      <c r="J66" s="5"/>
      <c r="K66" s="2" t="str">
        <f t="shared" si="0"/>
        <v>terminal</v>
      </c>
      <c r="L66" s="2" t="str" cm="1">
        <f t="array" ref="L66">TEXT(_xlfn.SWITCH(TRUE,E66="P",$B$1,AND(E66="",K66&lt;&gt;"TERMINAL"),$D$1,TRUE,HOUR(E66)),"00")</f>
        <v>00</v>
      </c>
      <c r="M66" s="2" t="str" cm="1">
        <f t="array" ref="M66">TEXT(_xlfn.SWITCH(TRUE,E66="P","00",AND(E66="",K66&lt;&gt;"TERMINAL"),"00",TRUE,MINUTE(E66)),"00")</f>
        <v>00</v>
      </c>
      <c r="N66" s="2" t="str" cm="1">
        <f t="array" ref="N66">TEXT(_xlfn.SWITCH(TRUE,E66="P","00",AND(E66="",K66&lt;&gt;"TERMINAL"),"00",TRUE,SECOND(E66)),"00")</f>
        <v>00</v>
      </c>
      <c r="O66" s="2" t="str" cm="1">
        <f t="array" ref="O66">_xlfn.SWITCH(TRUE,AND(L66="00",K66&lt;&gt;"TERMINAL"),TEXT($B$2,"00"),L66=TEXT($B$1,"00"),TEXT($B$1,"00"),L66=TEXT($D$1,"00"),TEXT($D$1,"00"),TRUE,+L66)</f>
        <v>00</v>
      </c>
      <c r="P66" s="2" t="str" cm="1">
        <f t="array" ref="P66">_xlfn.SWITCH(TRUE,OR(L66=TEXT($B$1,"00"),L66=TEXT($D$1,"00")),"00",AND(M66="00",K66&lt;&gt;"TERMINAL"),TEXT($D$2,"00"),TRUE,M66)</f>
        <v>00</v>
      </c>
      <c r="Q66" s="2" t="str" cm="1">
        <f t="array" ref="Q66">_xlfn.SWITCH(TRUE,OR(L66=TEXT($B$1,"00"),L66=TEXT($D$1,"00")),"00",AND(N66="00",K66&lt;&gt;"TERMINAL"),TEXT($F$2,"00"),TRUE,N66)</f>
        <v>00</v>
      </c>
      <c r="R66" s="2" t="str">
        <f t="shared" si="1"/>
        <v>00</v>
      </c>
      <c r="S66" s="2" t="str" cm="1">
        <f t="array" ref="S66">_xlfn.SWITCH(TRUE,F66="T",TEXT($F$1,"00"),AND(F66="",K66&lt;&gt;"TERMINAL"),"00",TRUE,TEXT(HOUR(F66),"00"))</f>
        <v>00</v>
      </c>
      <c r="T66" s="2" t="str" cm="1">
        <f t="array" ref="T66">TEXT(_xlfn.SWITCH(TRUE,F66="T","00",AND(F66="",K66&lt;&gt;"TERMINAL"),"00",TRUE,MINUTE(F66)),"00")</f>
        <v>00</v>
      </c>
      <c r="U66" s="2" t="str" cm="1">
        <f t="array" ref="U66">TEXT(_xlfn.SWITCH(TRUE,F66="T","00",AND(F66="",K66&lt;&gt;"TERMINAL"),"00",TRUE,SECOND(F66)),"00")</f>
        <v>00</v>
      </c>
      <c r="V66" s="2" t="str">
        <f t="shared" si="2"/>
        <v>00</v>
      </c>
      <c r="W66" s="2" t="str" cm="1">
        <f t="array" ref="W66">_xlfn.SWITCH(TRUE,OR(S66=TEXT($B$1,"00"),S66=TEXT($D$1,"00")),"00",AND(T66="00",K66&lt;&gt;"TERMINAL"),TEXT($D$2,"00"),TRUE,T66)</f>
        <v>00</v>
      </c>
      <c r="X66" s="2" t="str" cm="1">
        <f t="array" ref="X66">_xlfn.SWITCH(TRUE,OR(S66=TEXT($B$1,"00"),S66=TEXT($D$1,"00")),"00",AND(U66="00",K66&lt;&gt;"TERMINAL"),TEXT($F$2,"00"),TRUE,U66)</f>
        <v>00</v>
      </c>
      <c r="Y66" s="2" t="str">
        <f t="shared" si="3"/>
        <v>00</v>
      </c>
      <c r="Z66" s="2" t="str">
        <f t="shared" si="6"/>
        <v>FALSE</v>
      </c>
      <c r="AA66" s="2" t="str">
        <f t="shared" si="4"/>
        <v>000000</v>
      </c>
      <c r="AB66" s="2" t="str">
        <f t="shared" si="5"/>
        <v>000000</v>
      </c>
      <c r="AC66" s="2" t="str" cm="1">
        <f t="array" ref="AC66">TEXT($D66,"000")&amp;TEXT(IFERROR(INDEX($D$5:$D$103,_xlfn.AGGREGATE(15,6,ROW($E$5:$E$103)/(($E$5:$E$103&lt;&gt;"p")*($E$5:$E$103&lt;&gt;"t")*(ROW($E$5:$E$103)&gt;ROW($E66))),1)-ROW($E$5)+1),$D66),"000")</f>
        <v>000000</v>
      </c>
      <c r="AD66" s="2" t="str" cm="1">
        <f t="array" ref="AD66">TEXT(_xlfn.XLOOKUP(TRUE, AA67:AA$103&lt;&gt;"250000", AA67:AA$103, "未找到"),"000000")</f>
        <v>000000</v>
      </c>
      <c r="AE66" s="2" t="str" cm="1">
        <f t="array" ref="AE66">_xlfn.SWITCH(TRUE,J66&lt;&gt;"",TEXT(J66,"MMSS"),TRUE,IFERROR(TEXT(E67-F66,"MMSS"),"0000"))</f>
        <v>0000</v>
      </c>
    </row>
    <row r="67" spans="1:31">
      <c r="A67" s="2">
        <v>64</v>
      </c>
      <c r="B67" s="5"/>
      <c r="C67" s="5"/>
      <c r="D67" s="5"/>
      <c r="E67" s="5"/>
      <c r="F67" s="5"/>
      <c r="G67" s="5"/>
      <c r="H67" s="5"/>
      <c r="I67" s="5"/>
      <c r="J67" s="5"/>
      <c r="K67" s="2" t="str">
        <f t="shared" si="0"/>
        <v>terminal</v>
      </c>
      <c r="L67" s="2" t="str" cm="1">
        <f t="array" ref="L67">TEXT(_xlfn.SWITCH(TRUE,E67="P",$B$1,AND(E67="",K67&lt;&gt;"TERMINAL"),$D$1,TRUE,HOUR(E67)),"00")</f>
        <v>00</v>
      </c>
      <c r="M67" s="2" t="str" cm="1">
        <f t="array" ref="M67">TEXT(_xlfn.SWITCH(TRUE,E67="P","00",AND(E67="",K67&lt;&gt;"TERMINAL"),"00",TRUE,MINUTE(E67)),"00")</f>
        <v>00</v>
      </c>
      <c r="N67" s="2" t="str" cm="1">
        <f t="array" ref="N67">TEXT(_xlfn.SWITCH(TRUE,E67="P","00",AND(E67="",K67&lt;&gt;"TERMINAL"),"00",TRUE,SECOND(E67)),"00")</f>
        <v>00</v>
      </c>
      <c r="O67" s="2" t="str" cm="1">
        <f t="array" ref="O67">_xlfn.SWITCH(TRUE,AND(L67="00",K67&lt;&gt;"TERMINAL"),TEXT($B$2,"00"),L67=TEXT($B$1,"00"),TEXT($B$1,"00"),L67=TEXT($D$1,"00"),TEXT($D$1,"00"),TRUE,+L67)</f>
        <v>00</v>
      </c>
      <c r="P67" s="2" t="str" cm="1">
        <f t="array" ref="P67">_xlfn.SWITCH(TRUE,OR(L67=TEXT($B$1,"00"),L67=TEXT($D$1,"00")),"00",AND(M67="00",K67&lt;&gt;"TERMINAL"),TEXT($D$2,"00"),TRUE,M67)</f>
        <v>00</v>
      </c>
      <c r="Q67" s="2" t="str" cm="1">
        <f t="array" ref="Q67">_xlfn.SWITCH(TRUE,OR(L67=TEXT($B$1,"00"),L67=TEXT($D$1,"00")),"00",AND(N67="00",K67&lt;&gt;"TERMINAL"),TEXT($F$2,"00"),TRUE,N67)</f>
        <v>00</v>
      </c>
      <c r="R67" s="2" t="str">
        <f t="shared" si="1"/>
        <v>00</v>
      </c>
      <c r="S67" s="2" t="str" cm="1">
        <f t="array" ref="S67">_xlfn.SWITCH(TRUE,F67="T",TEXT($F$1,"00"),AND(F67="",K67&lt;&gt;"TERMINAL"),"00",TRUE,TEXT(HOUR(F67),"00"))</f>
        <v>00</v>
      </c>
      <c r="T67" s="2" t="str" cm="1">
        <f t="array" ref="T67">TEXT(_xlfn.SWITCH(TRUE,F67="T","00",AND(F67="",K67&lt;&gt;"TERMINAL"),"00",TRUE,MINUTE(F67)),"00")</f>
        <v>00</v>
      </c>
      <c r="U67" s="2" t="str" cm="1">
        <f t="array" ref="U67">TEXT(_xlfn.SWITCH(TRUE,F67="T","00",AND(F67="",K67&lt;&gt;"TERMINAL"),"00",TRUE,SECOND(F67)),"00")</f>
        <v>00</v>
      </c>
      <c r="V67" s="2" t="str">
        <f t="shared" si="2"/>
        <v>00</v>
      </c>
      <c r="W67" s="2" t="str" cm="1">
        <f t="array" ref="W67">_xlfn.SWITCH(TRUE,OR(S67=TEXT($B$1,"00"),S67=TEXT($D$1,"00")),"00",AND(T67="00",K67&lt;&gt;"TERMINAL"),TEXT($D$2,"00"),TRUE,T67)</f>
        <v>00</v>
      </c>
      <c r="X67" s="2" t="str" cm="1">
        <f t="array" ref="X67">_xlfn.SWITCH(TRUE,OR(S67=TEXT($B$1,"00"),S67=TEXT($D$1,"00")),"00",AND(U67="00",K67&lt;&gt;"TERMINAL"),TEXT($F$2,"00"),TRUE,U67)</f>
        <v>00</v>
      </c>
      <c r="Y67" s="2" t="str">
        <f t="shared" si="3"/>
        <v>00</v>
      </c>
      <c r="Z67" s="2" t="str">
        <f t="shared" si="6"/>
        <v>FALSE</v>
      </c>
      <c r="AA67" s="2" t="str">
        <f t="shared" si="4"/>
        <v>000000</v>
      </c>
      <c r="AB67" s="2" t="str">
        <f t="shared" si="5"/>
        <v>000000</v>
      </c>
      <c r="AC67" s="2" t="str" cm="1">
        <f t="array" ref="AC67">TEXT($D67,"000")&amp;TEXT(IFERROR(INDEX($D$5:$D$103,_xlfn.AGGREGATE(15,6,ROW($E$5:$E$103)/(($E$5:$E$103&lt;&gt;"p")*($E$5:$E$103&lt;&gt;"t")*(ROW($E$5:$E$103)&gt;ROW($E67))),1)-ROW($E$5)+1),$D67),"000")</f>
        <v>000000</v>
      </c>
      <c r="AD67" s="2" t="str" cm="1">
        <f t="array" ref="AD67">TEXT(_xlfn.XLOOKUP(TRUE, AA68:AA$103&lt;&gt;"250000", AA68:AA$103, "未找到"),"000000")</f>
        <v>000000</v>
      </c>
      <c r="AE67" s="2" t="str" cm="1">
        <f t="array" ref="AE67">_xlfn.SWITCH(TRUE,J67&lt;&gt;"",TEXT(J67,"MMSS"),TRUE,IFERROR(TEXT(E68-F67,"MMSS"),"0000"))</f>
        <v>0000</v>
      </c>
    </row>
    <row r="68" spans="1:31">
      <c r="A68" s="2">
        <v>65</v>
      </c>
      <c r="B68" s="5"/>
      <c r="C68" s="5"/>
      <c r="D68" s="5"/>
      <c r="E68" s="5"/>
      <c r="F68" s="5"/>
      <c r="G68" s="5"/>
      <c r="H68" s="5"/>
      <c r="I68" s="5"/>
      <c r="J68" s="5"/>
      <c r="K68" s="2" t="str">
        <f t="shared" ref="K68:K110" si="8">IF(E67="着(hh:mm:ss)","start",IF(E68="p","pass",IF(OR(F68="t",K67="terminal"),"terminal","stop")))</f>
        <v>terminal</v>
      </c>
      <c r="L68" s="2" t="str" cm="1">
        <f t="array" ref="L68">TEXT(_xlfn.SWITCH(TRUE,E68="P",$B$1,AND(E68="",K68&lt;&gt;"TERMINAL"),$D$1,TRUE,HOUR(E68)),"00")</f>
        <v>00</v>
      </c>
      <c r="M68" s="2" t="str" cm="1">
        <f t="array" ref="M68">TEXT(_xlfn.SWITCH(TRUE,E68="P","00",AND(E68="",K68&lt;&gt;"TERMINAL"),"00",TRUE,MINUTE(E68)),"00")</f>
        <v>00</v>
      </c>
      <c r="N68" s="2" t="str" cm="1">
        <f t="array" ref="N68">TEXT(_xlfn.SWITCH(TRUE,E68="P","00",AND(E68="",K68&lt;&gt;"TERMINAL"),"00",TRUE,SECOND(E68)),"00")</f>
        <v>00</v>
      </c>
      <c r="O68" s="2" t="str" cm="1">
        <f t="array" ref="O68">_xlfn.SWITCH(TRUE,AND(L68="00",K68&lt;&gt;"TERMINAL"),TEXT($B$2,"00"),L68=TEXT($B$1,"00"),TEXT($B$1,"00"),L68=TEXT($D$1,"00"),TEXT($D$1,"00"),TRUE,+L68)</f>
        <v>00</v>
      </c>
      <c r="P68" s="2" t="str" cm="1">
        <f t="array" ref="P68">_xlfn.SWITCH(TRUE,OR(L68=TEXT($B$1,"00"),L68=TEXT($D$1,"00")),"00",AND(M68="00",K68&lt;&gt;"TERMINAL"),TEXT($D$2,"00"),TRUE,M68)</f>
        <v>00</v>
      </c>
      <c r="Q68" s="2" t="str" cm="1">
        <f t="array" ref="Q68">_xlfn.SWITCH(TRUE,OR(L68=TEXT($B$1,"00"),L68=TEXT($D$1,"00")),"00",AND(N68="00",K68&lt;&gt;"TERMINAL"),TEXT($F$2,"00"),TRUE,N68)</f>
        <v>00</v>
      </c>
      <c r="R68" s="2" t="str">
        <f t="shared" si="1"/>
        <v>00</v>
      </c>
      <c r="S68" s="2" t="str" cm="1">
        <f t="array" ref="S68">_xlfn.SWITCH(TRUE,F68="T",TEXT($F$1,"00"),AND(F68="",K68&lt;&gt;"TERMINAL"),"00",TRUE,TEXT(HOUR(F68),"00"))</f>
        <v>00</v>
      </c>
      <c r="T68" s="2" t="str" cm="1">
        <f t="array" ref="T68">TEXT(_xlfn.SWITCH(TRUE,F68="T","00",AND(F68="",K68&lt;&gt;"TERMINAL"),"00",TRUE,MINUTE(F68)),"00")</f>
        <v>00</v>
      </c>
      <c r="U68" s="2" t="str" cm="1">
        <f t="array" ref="U68">TEXT(_xlfn.SWITCH(TRUE,F68="T","00",AND(F68="",K68&lt;&gt;"TERMINAL"),"00",TRUE,SECOND(F68)),"00")</f>
        <v>00</v>
      </c>
      <c r="V68" s="2" t="str">
        <f t="shared" si="2"/>
        <v>00</v>
      </c>
      <c r="W68" s="2" t="str" cm="1">
        <f t="array" ref="W68">_xlfn.SWITCH(TRUE,OR(S68=TEXT($B$1,"00"),S68=TEXT($D$1,"00")),"00",AND(T68="00",K68&lt;&gt;"TERMINAL"),TEXT($D$2,"00"),TRUE,T68)</f>
        <v>00</v>
      </c>
      <c r="X68" s="2" t="str" cm="1">
        <f t="array" ref="X68">_xlfn.SWITCH(TRUE,OR(S68=TEXT($B$1,"00"),S68=TEXT($D$1,"00")),"00",AND(U68="00",K68&lt;&gt;"TERMINAL"),TEXT($F$2,"00"),TRUE,U68)</f>
        <v>00</v>
      </c>
      <c r="Y68" s="2" t="str">
        <f t="shared" si="3"/>
        <v>00</v>
      </c>
      <c r="Z68" s="2" t="str">
        <f t="shared" si="6"/>
        <v>FALSE</v>
      </c>
      <c r="AA68" s="2" t="str">
        <f t="shared" si="4"/>
        <v>000000</v>
      </c>
      <c r="AB68" s="2" t="str">
        <f t="shared" si="5"/>
        <v>000000</v>
      </c>
      <c r="AC68" s="2" t="str" cm="1">
        <f t="array" ref="AC68">TEXT($D68,"000")&amp;TEXT(IFERROR(INDEX($D$5:$D$103,_xlfn.AGGREGATE(15,6,ROW($E$5:$E$103)/(($E$5:$E$103&lt;&gt;"p")*($E$5:$E$103&lt;&gt;"t")*(ROW($E$5:$E$103)&gt;ROW($E68))),1)-ROW($E$5)+1),$D68),"000")</f>
        <v>000000</v>
      </c>
      <c r="AD68" s="2" t="str" cm="1">
        <f t="array" ref="AD68">TEXT(_xlfn.XLOOKUP(TRUE, AA69:AA$103&lt;&gt;"250000", AA69:AA$103, "未找到"),"000000")</f>
        <v>000000</v>
      </c>
      <c r="AE68" s="2" t="str" cm="1">
        <f t="array" ref="AE68">_xlfn.SWITCH(TRUE,J68&lt;&gt;"",TEXT(J68,"MMSS"),TRUE,IFERROR(TEXT(E69-F68,"MMSS"),"0000"))</f>
        <v>0000</v>
      </c>
    </row>
    <row r="69" spans="1:31">
      <c r="A69" s="2">
        <v>66</v>
      </c>
      <c r="B69" s="5"/>
      <c r="C69" s="5"/>
      <c r="D69" s="5"/>
      <c r="E69" s="5"/>
      <c r="F69" s="5"/>
      <c r="G69" s="5"/>
      <c r="H69" s="5"/>
      <c r="I69" s="5"/>
      <c r="J69" s="5"/>
      <c r="K69" s="2" t="str">
        <f t="shared" si="8"/>
        <v>terminal</v>
      </c>
      <c r="L69" s="2" t="str" cm="1">
        <f t="array" ref="L69">TEXT(_xlfn.SWITCH(TRUE,E69="P",$B$1,AND(E69="",K69&lt;&gt;"TERMINAL"),$D$1,TRUE,HOUR(E69)),"00")</f>
        <v>00</v>
      </c>
      <c r="M69" s="2" t="str" cm="1">
        <f t="array" ref="M69">TEXT(_xlfn.SWITCH(TRUE,E69="P","00",AND(E69="",K69&lt;&gt;"TERMINAL"),"00",TRUE,MINUTE(E69)),"00")</f>
        <v>00</v>
      </c>
      <c r="N69" s="2" t="str" cm="1">
        <f t="array" ref="N69">TEXT(_xlfn.SWITCH(TRUE,E69="P","00",AND(E69="",K69&lt;&gt;"TERMINAL"),"00",TRUE,SECOND(E69)),"00")</f>
        <v>00</v>
      </c>
      <c r="O69" s="2" t="str" cm="1">
        <f t="array" ref="O69">_xlfn.SWITCH(TRUE,AND(L69="00",K69&lt;&gt;"TERMINAL"),TEXT($B$2,"00"),L69=TEXT($B$1,"00"),TEXT($B$1,"00"),L69=TEXT($D$1,"00"),TEXT($D$1,"00"),TRUE,+L69)</f>
        <v>00</v>
      </c>
      <c r="P69" s="2" t="str" cm="1">
        <f t="array" ref="P69">_xlfn.SWITCH(TRUE,OR(L69=TEXT($B$1,"00"),L69=TEXT($D$1,"00")),"00",AND(M69="00",K69&lt;&gt;"TERMINAL"),TEXT($D$2,"00"),TRUE,M69)</f>
        <v>00</v>
      </c>
      <c r="Q69" s="2" t="str" cm="1">
        <f t="array" ref="Q69">_xlfn.SWITCH(TRUE,OR(L69=TEXT($B$1,"00"),L69=TEXT($D$1,"00")),"00",AND(N69="00",K69&lt;&gt;"TERMINAL"),TEXT($F$2,"00"),TRUE,N69)</f>
        <v>00</v>
      </c>
      <c r="R69" s="2" t="str">
        <f t="shared" ref="R69:R110" si="9">IF(OR(L69="25",L69="26"),TEXT(MAX(VALUE(R68),VALUE(Y68)),"00"),L69)</f>
        <v>00</v>
      </c>
      <c r="S69" s="2" t="str" cm="1">
        <f t="array" ref="S69">_xlfn.SWITCH(TRUE,F69="T",TEXT($F$1,"00"),AND(F69="",K69&lt;&gt;"TERMINAL"),"00",TRUE,TEXT(HOUR(F69),"00"))</f>
        <v>00</v>
      </c>
      <c r="T69" s="2" t="str" cm="1">
        <f t="array" ref="T69">TEXT(_xlfn.SWITCH(TRUE,F69="T","00",AND(F69="",K69&lt;&gt;"TERMINAL"),"00",TRUE,MINUTE(F69)),"00")</f>
        <v>00</v>
      </c>
      <c r="U69" s="2" t="str" cm="1">
        <f t="array" ref="U69">TEXT(_xlfn.SWITCH(TRUE,F69="T","00",AND(F69="",K69&lt;&gt;"TERMINAL"),"00",TRUE,SECOND(F69)),"00")</f>
        <v>00</v>
      </c>
      <c r="V69" s="2" t="str">
        <f t="shared" ref="V69:V103" si="10">IF(AND(S69="00",F68&lt;&gt;"t",V68&lt;&gt;"00"),"24",S69)</f>
        <v>00</v>
      </c>
      <c r="W69" s="2" t="str" cm="1">
        <f t="array" ref="W69">_xlfn.SWITCH(TRUE,OR(S69=TEXT($B$1,"00"),S69=TEXT($D$1,"00")),"00",AND(T69="00",K69&lt;&gt;"TERMINAL"),TEXT($D$2,"00"),TRUE,T69)</f>
        <v>00</v>
      </c>
      <c r="X69" s="2" t="str" cm="1">
        <f t="array" ref="X69">_xlfn.SWITCH(TRUE,OR(S69=TEXT($B$1,"00"),S69=TEXT($D$1,"00")),"00",AND(U69="00",K69&lt;&gt;"TERMINAL"),TEXT($F$2,"00"),TRUE,U69)</f>
        <v>00</v>
      </c>
      <c r="Y69" s="2" t="str">
        <f t="shared" ref="Y69:Y103" si="11">IF(OR(S69="27"),S68,S69)</f>
        <v>00</v>
      </c>
      <c r="Z69" s="2" t="str">
        <f t="shared" si="6"/>
        <v>FALSE</v>
      </c>
      <c r="AA69" s="2" t="str">
        <f t="shared" ref="AA69:AA103" si="12">IF(Z69="TRUE",O69&amp;P69&amp;Q69,IF(OR(L69="25",L69="26"),O69&amp;P69&amp;Q69,"00"&amp;P69&amp;Q69))</f>
        <v>000000</v>
      </c>
      <c r="AB69" s="2" t="str">
        <f t="shared" ref="AB69:AB103" si="13">IF(Z69="TRUE",V69&amp;W69&amp;X69,IF(S69="27",V69&amp;W69&amp;X69,"00"&amp;W69&amp;X69))</f>
        <v>000000</v>
      </c>
      <c r="AC69" s="2" t="str" cm="1">
        <f t="array" ref="AC69">TEXT($D69,"000")&amp;TEXT(IFERROR(INDEX($D$5:$D$103,_xlfn.AGGREGATE(15,6,ROW($E$5:$E$103)/(($E$5:$E$103&lt;&gt;"p")*($E$5:$E$103&lt;&gt;"t")*(ROW($E$5:$E$103)&gt;ROW($E69))),1)-ROW($E$5)+1),$D69),"000")</f>
        <v>000000</v>
      </c>
      <c r="AD69" s="2" t="str" cm="1">
        <f t="array" ref="AD69">TEXT(_xlfn.XLOOKUP(TRUE, AA70:AA$103&lt;&gt;"250000", AA70:AA$103, "未找到"),"000000")</f>
        <v>000000</v>
      </c>
      <c r="AE69" s="2" t="str" cm="1">
        <f t="array" ref="AE69">_xlfn.SWITCH(TRUE,J69&lt;&gt;"",TEXT(J69,"MMSS"),TRUE,IFERROR(TEXT(E70-F69,"MMSS"),"0000"))</f>
        <v>0000</v>
      </c>
    </row>
    <row r="70" spans="1:31">
      <c r="A70" s="2">
        <v>67</v>
      </c>
      <c r="B70" s="5"/>
      <c r="C70" s="5"/>
      <c r="D70" s="5"/>
      <c r="E70" s="5"/>
      <c r="F70" s="5"/>
      <c r="G70" s="5"/>
      <c r="H70" s="5"/>
      <c r="I70" s="5"/>
      <c r="J70" s="5"/>
      <c r="K70" s="2" t="str">
        <f t="shared" si="8"/>
        <v>terminal</v>
      </c>
      <c r="L70" s="2" t="str" cm="1">
        <f t="array" ref="L70">TEXT(_xlfn.SWITCH(TRUE,E70="P",$B$1,AND(E70="",K70&lt;&gt;"TERMINAL"),$D$1,TRUE,HOUR(E70)),"00")</f>
        <v>00</v>
      </c>
      <c r="M70" s="2" t="str" cm="1">
        <f t="array" ref="M70">TEXT(_xlfn.SWITCH(TRUE,E70="P","00",AND(E70="",K70&lt;&gt;"TERMINAL"),"00",TRUE,MINUTE(E70)),"00")</f>
        <v>00</v>
      </c>
      <c r="N70" s="2" t="str" cm="1">
        <f t="array" ref="N70">TEXT(_xlfn.SWITCH(TRUE,E70="P","00",AND(E70="",K70&lt;&gt;"TERMINAL"),"00",TRUE,SECOND(E70)),"00")</f>
        <v>00</v>
      </c>
      <c r="O70" s="2" t="str" cm="1">
        <f t="array" ref="O70">_xlfn.SWITCH(TRUE,AND(L70="00",K70&lt;&gt;"TERMINAL"),TEXT($B$2,"00"),L70=TEXT($B$1,"00"),TEXT($B$1,"00"),L70=TEXT($D$1,"00"),TEXT($D$1,"00"),TRUE,+L70)</f>
        <v>00</v>
      </c>
      <c r="P70" s="2" t="str" cm="1">
        <f t="array" ref="P70">_xlfn.SWITCH(TRUE,OR(L70=TEXT($B$1,"00"),L70=TEXT($D$1,"00")),"00",AND(M70="00",K70&lt;&gt;"TERMINAL"),TEXT($D$2,"00"),TRUE,M70)</f>
        <v>00</v>
      </c>
      <c r="Q70" s="2" t="str" cm="1">
        <f t="array" ref="Q70">_xlfn.SWITCH(TRUE,OR(L70=TEXT($B$1,"00"),L70=TEXT($D$1,"00")),"00",AND(N70="00",K70&lt;&gt;"TERMINAL"),TEXT($F$2,"00"),TRUE,N70)</f>
        <v>00</v>
      </c>
      <c r="R70" s="2" t="str">
        <f t="shared" si="9"/>
        <v>00</v>
      </c>
      <c r="S70" s="2" t="str" cm="1">
        <f t="array" ref="S70">_xlfn.SWITCH(TRUE,F70="T",TEXT($F$1,"00"),AND(F70="",K70&lt;&gt;"TERMINAL"),"00",TRUE,TEXT(HOUR(F70),"00"))</f>
        <v>00</v>
      </c>
      <c r="T70" s="2" t="str" cm="1">
        <f t="array" ref="T70">TEXT(_xlfn.SWITCH(TRUE,F70="T","00",AND(F70="",K70&lt;&gt;"TERMINAL"),"00",TRUE,MINUTE(F70)),"00")</f>
        <v>00</v>
      </c>
      <c r="U70" s="2" t="str" cm="1">
        <f t="array" ref="U70">TEXT(_xlfn.SWITCH(TRUE,F70="T","00",AND(F70="",K70&lt;&gt;"TERMINAL"),"00",TRUE,SECOND(F70)),"00")</f>
        <v>00</v>
      </c>
      <c r="V70" s="2" t="str">
        <f t="shared" si="10"/>
        <v>00</v>
      </c>
      <c r="W70" s="2" t="str" cm="1">
        <f t="array" ref="W70">_xlfn.SWITCH(TRUE,OR(S70=TEXT($B$1,"00"),S70=TEXT($D$1,"00")),"00",AND(T70="00",K70&lt;&gt;"TERMINAL"),TEXT($D$2,"00"),TRUE,T70)</f>
        <v>00</v>
      </c>
      <c r="X70" s="2" t="str" cm="1">
        <f t="array" ref="X70">_xlfn.SWITCH(TRUE,OR(S70=TEXT($B$1,"00"),S70=TEXT($D$1,"00")),"00",AND(U70="00",K70&lt;&gt;"TERMINAL"),TEXT($F$2,"00"),TRUE,U70)</f>
        <v>00</v>
      </c>
      <c r="Y70" s="2" t="str">
        <f t="shared" si="11"/>
        <v>00</v>
      </c>
      <c r="Z70" s="2" t="str">
        <f t="shared" ref="Z70:Z110" si="14">IF(OR(Y70&gt;R70,R70&gt;Y69),"TRUE","FALSE")</f>
        <v>FALSE</v>
      </c>
      <c r="AA70" s="2" t="str">
        <f t="shared" si="12"/>
        <v>000000</v>
      </c>
      <c r="AB70" s="2" t="str">
        <f t="shared" si="13"/>
        <v>000000</v>
      </c>
      <c r="AC70" s="2" t="str" cm="1">
        <f t="array" ref="AC70">TEXT($D70,"000")&amp;TEXT(IFERROR(INDEX($D$5:$D$103,_xlfn.AGGREGATE(15,6,ROW($E$5:$E$103)/(($E$5:$E$103&lt;&gt;"p")*($E$5:$E$103&lt;&gt;"t")*(ROW($E$5:$E$103)&gt;ROW($E70))),1)-ROW($E$5)+1),$D70),"000")</f>
        <v>000000</v>
      </c>
      <c r="AD70" s="2" t="str" cm="1">
        <f t="array" ref="AD70">TEXT(_xlfn.XLOOKUP(TRUE, AA71:AA$103&lt;&gt;"250000", AA71:AA$103, "未找到"),"000000")</f>
        <v>000000</v>
      </c>
      <c r="AE70" s="2" t="str" cm="1">
        <f t="array" ref="AE70">_xlfn.SWITCH(TRUE,J70&lt;&gt;"",TEXT(J70,"MMSS"),TRUE,IFERROR(TEXT(E71-F70,"MMSS"),"0000"))</f>
        <v>0000</v>
      </c>
    </row>
    <row r="71" spans="1:31">
      <c r="A71" s="2">
        <v>68</v>
      </c>
      <c r="B71" s="5"/>
      <c r="C71" s="5"/>
      <c r="D71" s="5"/>
      <c r="E71" s="5"/>
      <c r="F71" s="5"/>
      <c r="G71" s="5"/>
      <c r="H71" s="5"/>
      <c r="I71" s="5"/>
      <c r="J71" s="5"/>
      <c r="K71" s="2" t="str">
        <f t="shared" si="8"/>
        <v>terminal</v>
      </c>
      <c r="L71" s="2" t="str" cm="1">
        <f t="array" ref="L71">TEXT(_xlfn.SWITCH(TRUE,E71="P",$B$1,AND(E71="",K71&lt;&gt;"TERMINAL"),$D$1,TRUE,HOUR(E71)),"00")</f>
        <v>00</v>
      </c>
      <c r="M71" s="2" t="str" cm="1">
        <f t="array" ref="M71">TEXT(_xlfn.SWITCH(TRUE,E71="P","00",AND(E71="",K71&lt;&gt;"TERMINAL"),"00",TRUE,MINUTE(E71)),"00")</f>
        <v>00</v>
      </c>
      <c r="N71" s="2" t="str" cm="1">
        <f t="array" ref="N71">TEXT(_xlfn.SWITCH(TRUE,E71="P","00",AND(E71="",K71&lt;&gt;"TERMINAL"),"00",TRUE,SECOND(E71)),"00")</f>
        <v>00</v>
      </c>
      <c r="O71" s="2" t="str" cm="1">
        <f t="array" ref="O71">_xlfn.SWITCH(TRUE,AND(L71="00",K71&lt;&gt;"TERMINAL"),TEXT($B$2,"00"),L71=TEXT($B$1,"00"),TEXT($B$1,"00"),L71=TEXT($D$1,"00"),TEXT($D$1,"00"),TRUE,+L71)</f>
        <v>00</v>
      </c>
      <c r="P71" s="2" t="str" cm="1">
        <f t="array" ref="P71">_xlfn.SWITCH(TRUE,OR(L71=TEXT($B$1,"00"),L71=TEXT($D$1,"00")),"00",AND(M71="00",K71&lt;&gt;"TERMINAL"),TEXT($D$2,"00"),TRUE,M71)</f>
        <v>00</v>
      </c>
      <c r="Q71" s="2" t="str" cm="1">
        <f t="array" ref="Q71">_xlfn.SWITCH(TRUE,OR(L71=TEXT($B$1,"00"),L71=TEXT($D$1,"00")),"00",AND(N71="00",K71&lt;&gt;"TERMINAL"),TEXT($F$2,"00"),TRUE,N71)</f>
        <v>00</v>
      </c>
      <c r="R71" s="2" t="str">
        <f t="shared" si="9"/>
        <v>00</v>
      </c>
      <c r="S71" s="2" t="str" cm="1">
        <f t="array" ref="S71">_xlfn.SWITCH(TRUE,F71="T",TEXT($F$1,"00"),AND(F71="",K71&lt;&gt;"TERMINAL"),"00",TRUE,TEXT(HOUR(F71),"00"))</f>
        <v>00</v>
      </c>
      <c r="T71" s="2" t="str" cm="1">
        <f t="array" ref="T71">TEXT(_xlfn.SWITCH(TRUE,F71="T","00",AND(F71="",K71&lt;&gt;"TERMINAL"),"00",TRUE,MINUTE(F71)),"00")</f>
        <v>00</v>
      </c>
      <c r="U71" s="2" t="str" cm="1">
        <f t="array" ref="U71">TEXT(_xlfn.SWITCH(TRUE,F71="T","00",AND(F71="",K71&lt;&gt;"TERMINAL"),"00",TRUE,SECOND(F71)),"00")</f>
        <v>00</v>
      </c>
      <c r="V71" s="2" t="str">
        <f t="shared" si="10"/>
        <v>00</v>
      </c>
      <c r="W71" s="2" t="str" cm="1">
        <f t="array" ref="W71">_xlfn.SWITCH(TRUE,OR(S71=TEXT($B$1,"00"),S71=TEXT($D$1,"00")),"00",AND(T71="00",K71&lt;&gt;"TERMINAL"),TEXT($D$2,"00"),TRUE,T71)</f>
        <v>00</v>
      </c>
      <c r="X71" s="2" t="str" cm="1">
        <f t="array" ref="X71">_xlfn.SWITCH(TRUE,OR(S71=TEXT($B$1,"00"),S71=TEXT($D$1,"00")),"00",AND(U71="00",K71&lt;&gt;"TERMINAL"),TEXT($F$2,"00"),TRUE,U71)</f>
        <v>00</v>
      </c>
      <c r="Y71" s="2" t="str">
        <f t="shared" si="11"/>
        <v>00</v>
      </c>
      <c r="Z71" s="2" t="str">
        <f t="shared" si="14"/>
        <v>FALSE</v>
      </c>
      <c r="AA71" s="2" t="str">
        <f t="shared" si="12"/>
        <v>000000</v>
      </c>
      <c r="AB71" s="2" t="str">
        <f t="shared" si="13"/>
        <v>000000</v>
      </c>
      <c r="AC71" s="2" t="str" cm="1">
        <f t="array" ref="AC71">TEXT($D71,"000")&amp;TEXT(IFERROR(INDEX($D$5:$D$103,_xlfn.AGGREGATE(15,6,ROW($E$5:$E$103)/(($E$5:$E$103&lt;&gt;"p")*($E$5:$E$103&lt;&gt;"t")*(ROW($E$5:$E$103)&gt;ROW($E71))),1)-ROW($E$5)+1),$D71),"000")</f>
        <v>000000</v>
      </c>
      <c r="AD71" s="2" t="str" cm="1">
        <f t="array" ref="AD71">TEXT(_xlfn.XLOOKUP(TRUE, AA72:AA$103&lt;&gt;"250000", AA72:AA$103, "未找到"),"000000")</f>
        <v>000000</v>
      </c>
      <c r="AE71" s="2" t="str" cm="1">
        <f t="array" ref="AE71">_xlfn.SWITCH(TRUE,J71&lt;&gt;"",TEXT(J71,"MMSS"),TRUE,IFERROR(TEXT(E72-F71,"MMSS"),"0000"))</f>
        <v>0000</v>
      </c>
    </row>
    <row r="72" spans="1:31">
      <c r="A72" s="2">
        <v>69</v>
      </c>
      <c r="B72" s="5"/>
      <c r="C72" s="5"/>
      <c r="D72" s="5"/>
      <c r="E72" s="5"/>
      <c r="F72" s="5"/>
      <c r="G72" s="5"/>
      <c r="H72" s="5"/>
      <c r="I72" s="5"/>
      <c r="J72" s="5"/>
      <c r="K72" s="2" t="str">
        <f t="shared" si="8"/>
        <v>terminal</v>
      </c>
      <c r="L72" s="2" t="str" cm="1">
        <f t="array" ref="L72">TEXT(_xlfn.SWITCH(TRUE,E72="P",$B$1,AND(E72="",K72&lt;&gt;"TERMINAL"),$D$1,TRUE,HOUR(E72)),"00")</f>
        <v>00</v>
      </c>
      <c r="M72" s="2" t="str" cm="1">
        <f t="array" ref="M72">TEXT(_xlfn.SWITCH(TRUE,E72="P","00",AND(E72="",K72&lt;&gt;"TERMINAL"),"00",TRUE,MINUTE(E72)),"00")</f>
        <v>00</v>
      </c>
      <c r="N72" s="2" t="str" cm="1">
        <f t="array" ref="N72">TEXT(_xlfn.SWITCH(TRUE,E72="P","00",AND(E72="",K72&lt;&gt;"TERMINAL"),"00",TRUE,SECOND(E72)),"00")</f>
        <v>00</v>
      </c>
      <c r="O72" s="2" t="str" cm="1">
        <f t="array" ref="O72">_xlfn.SWITCH(TRUE,AND(L72="00",K72&lt;&gt;"TERMINAL"),TEXT($B$2,"00"),L72=TEXT($B$1,"00"),TEXT($B$1,"00"),L72=TEXT($D$1,"00"),TEXT($D$1,"00"),TRUE,+L72)</f>
        <v>00</v>
      </c>
      <c r="P72" s="2" t="str" cm="1">
        <f t="array" ref="P72">_xlfn.SWITCH(TRUE,OR(L72=TEXT($B$1,"00"),L72=TEXT($D$1,"00")),"00",AND(M72="00",K72&lt;&gt;"TERMINAL"),TEXT($D$2,"00"),TRUE,M72)</f>
        <v>00</v>
      </c>
      <c r="Q72" s="2" t="str" cm="1">
        <f t="array" ref="Q72">_xlfn.SWITCH(TRUE,OR(L72=TEXT($B$1,"00"),L72=TEXT($D$1,"00")),"00",AND(N72="00",K72&lt;&gt;"TERMINAL"),TEXT($F$2,"00"),TRUE,N72)</f>
        <v>00</v>
      </c>
      <c r="R72" s="2" t="str">
        <f t="shared" si="9"/>
        <v>00</v>
      </c>
      <c r="S72" s="2" t="str" cm="1">
        <f t="array" ref="S72">_xlfn.SWITCH(TRUE,F72="T",TEXT($F$1,"00"),AND(F72="",K72&lt;&gt;"TERMINAL"),"00",TRUE,TEXT(HOUR(F72),"00"))</f>
        <v>00</v>
      </c>
      <c r="T72" s="2" t="str" cm="1">
        <f t="array" ref="T72">TEXT(_xlfn.SWITCH(TRUE,F72="T","00",AND(F72="",K72&lt;&gt;"TERMINAL"),"00",TRUE,MINUTE(F72)),"00")</f>
        <v>00</v>
      </c>
      <c r="U72" s="2" t="str" cm="1">
        <f t="array" ref="U72">TEXT(_xlfn.SWITCH(TRUE,F72="T","00",AND(F72="",K72&lt;&gt;"TERMINAL"),"00",TRUE,SECOND(F72)),"00")</f>
        <v>00</v>
      </c>
      <c r="V72" s="2" t="str">
        <f t="shared" si="10"/>
        <v>00</v>
      </c>
      <c r="W72" s="2" t="str" cm="1">
        <f t="array" ref="W72">_xlfn.SWITCH(TRUE,OR(S72=TEXT($B$1,"00"),S72=TEXT($D$1,"00")),"00",AND(T72="00",K72&lt;&gt;"TERMINAL"),TEXT($D$2,"00"),TRUE,T72)</f>
        <v>00</v>
      </c>
      <c r="X72" s="2" t="str" cm="1">
        <f t="array" ref="X72">_xlfn.SWITCH(TRUE,OR(S72=TEXT($B$1,"00"),S72=TEXT($D$1,"00")),"00",AND(U72="00",K72&lt;&gt;"TERMINAL"),TEXT($F$2,"00"),TRUE,U72)</f>
        <v>00</v>
      </c>
      <c r="Y72" s="2" t="str">
        <f t="shared" si="11"/>
        <v>00</v>
      </c>
      <c r="Z72" s="2" t="str">
        <f t="shared" si="14"/>
        <v>FALSE</v>
      </c>
      <c r="AA72" s="2" t="str">
        <f t="shared" si="12"/>
        <v>000000</v>
      </c>
      <c r="AB72" s="2" t="str">
        <f t="shared" si="13"/>
        <v>000000</v>
      </c>
      <c r="AC72" s="2" t="str" cm="1">
        <f t="array" ref="AC72">TEXT($D72,"000")&amp;TEXT(IFERROR(INDEX($D$5:$D$103,_xlfn.AGGREGATE(15,6,ROW($E$5:$E$103)/(($E$5:$E$103&lt;&gt;"p")*($E$5:$E$103&lt;&gt;"t")*(ROW($E$5:$E$103)&gt;ROW($E72))),1)-ROW($E$5)+1),$D72),"000")</f>
        <v>000000</v>
      </c>
      <c r="AD72" s="2" t="str" cm="1">
        <f t="array" ref="AD72">TEXT(_xlfn.XLOOKUP(TRUE, AA73:AA$103&lt;&gt;"250000", AA73:AA$103, "未找到"),"000000")</f>
        <v>000000</v>
      </c>
      <c r="AE72" s="2" t="str" cm="1">
        <f t="array" ref="AE72">_xlfn.SWITCH(TRUE,J72&lt;&gt;"",TEXT(J72,"MMSS"),TRUE,IFERROR(TEXT(E73-F72,"MMSS"),"0000"))</f>
        <v>0000</v>
      </c>
    </row>
    <row r="73" spans="1:31">
      <c r="A73" s="2">
        <v>70</v>
      </c>
      <c r="B73" s="5"/>
      <c r="C73" s="5"/>
      <c r="D73" s="5"/>
      <c r="E73" s="5"/>
      <c r="F73" s="5"/>
      <c r="G73" s="5"/>
      <c r="H73" s="5"/>
      <c r="I73" s="5"/>
      <c r="J73" s="5"/>
      <c r="K73" s="2" t="str">
        <f t="shared" si="8"/>
        <v>terminal</v>
      </c>
      <c r="L73" s="2" t="str" cm="1">
        <f t="array" ref="L73">TEXT(_xlfn.SWITCH(TRUE,E73="P",$B$1,AND(E73="",K73&lt;&gt;"TERMINAL"),$D$1,TRUE,HOUR(E73)),"00")</f>
        <v>00</v>
      </c>
      <c r="M73" s="2" t="str" cm="1">
        <f t="array" ref="M73">TEXT(_xlfn.SWITCH(TRUE,E73="P","00",AND(E73="",K73&lt;&gt;"TERMINAL"),"00",TRUE,MINUTE(E73)),"00")</f>
        <v>00</v>
      </c>
      <c r="N73" s="2" t="str" cm="1">
        <f t="array" ref="N73">TEXT(_xlfn.SWITCH(TRUE,E73="P","00",AND(E73="",K73&lt;&gt;"TERMINAL"),"00",TRUE,SECOND(E73)),"00")</f>
        <v>00</v>
      </c>
      <c r="O73" s="2" t="str" cm="1">
        <f t="array" ref="O73">_xlfn.SWITCH(TRUE,AND(L73="00",K73&lt;&gt;"TERMINAL"),TEXT($B$2,"00"),L73=TEXT($B$1,"00"),TEXT($B$1,"00"),L73=TEXT($D$1,"00"),TEXT($D$1,"00"),TRUE,+L73)</f>
        <v>00</v>
      </c>
      <c r="P73" s="2" t="str" cm="1">
        <f t="array" ref="P73">_xlfn.SWITCH(TRUE,OR(L73=TEXT($B$1,"00"),L73=TEXT($D$1,"00")),"00",AND(M73="00",K73&lt;&gt;"TERMINAL"),TEXT($D$2,"00"),TRUE,M73)</f>
        <v>00</v>
      </c>
      <c r="Q73" s="2" t="str" cm="1">
        <f t="array" ref="Q73">_xlfn.SWITCH(TRUE,OR(L73=TEXT($B$1,"00"),L73=TEXT($D$1,"00")),"00",AND(N73="00",K73&lt;&gt;"TERMINAL"),TEXT($F$2,"00"),TRUE,N73)</f>
        <v>00</v>
      </c>
      <c r="R73" s="2" t="str">
        <f t="shared" si="9"/>
        <v>00</v>
      </c>
      <c r="S73" s="2" t="str" cm="1">
        <f t="array" ref="S73">_xlfn.SWITCH(TRUE,F73="T",TEXT($F$1,"00"),AND(F73="",K73&lt;&gt;"TERMINAL"),"00",TRUE,TEXT(HOUR(F73),"00"))</f>
        <v>00</v>
      </c>
      <c r="T73" s="2" t="str" cm="1">
        <f t="array" ref="T73">TEXT(_xlfn.SWITCH(TRUE,F73="T","00",AND(F73="",K73&lt;&gt;"TERMINAL"),"00",TRUE,MINUTE(F73)),"00")</f>
        <v>00</v>
      </c>
      <c r="U73" s="2" t="str" cm="1">
        <f t="array" ref="U73">TEXT(_xlfn.SWITCH(TRUE,F73="T","00",AND(F73="",K73&lt;&gt;"TERMINAL"),"00",TRUE,SECOND(F73)),"00")</f>
        <v>00</v>
      </c>
      <c r="V73" s="2" t="str">
        <f t="shared" si="10"/>
        <v>00</v>
      </c>
      <c r="W73" s="2" t="str" cm="1">
        <f t="array" ref="W73">_xlfn.SWITCH(TRUE,OR(S73=TEXT($B$1,"00"),S73=TEXT($D$1,"00")),"00",AND(T73="00",K73&lt;&gt;"TERMINAL"),TEXT($D$2,"00"),TRUE,T73)</f>
        <v>00</v>
      </c>
      <c r="X73" s="2" t="str" cm="1">
        <f t="array" ref="X73">_xlfn.SWITCH(TRUE,OR(S73=TEXT($B$1,"00"),S73=TEXT($D$1,"00")),"00",AND(U73="00",K73&lt;&gt;"TERMINAL"),TEXT($F$2,"00"),TRUE,U73)</f>
        <v>00</v>
      </c>
      <c r="Y73" s="2" t="str">
        <f t="shared" si="11"/>
        <v>00</v>
      </c>
      <c r="Z73" s="2" t="str">
        <f t="shared" si="14"/>
        <v>FALSE</v>
      </c>
      <c r="AA73" s="2" t="str">
        <f t="shared" si="12"/>
        <v>000000</v>
      </c>
      <c r="AB73" s="2" t="str">
        <f t="shared" si="13"/>
        <v>000000</v>
      </c>
      <c r="AC73" s="2" t="str" cm="1">
        <f t="array" ref="AC73">TEXT($D73,"000")&amp;TEXT(IFERROR(INDEX($D$5:$D$103,_xlfn.AGGREGATE(15,6,ROW($E$5:$E$103)/(($E$5:$E$103&lt;&gt;"p")*($E$5:$E$103&lt;&gt;"t")*(ROW($E$5:$E$103)&gt;ROW($E73))),1)-ROW($E$5)+1),$D73),"000")</f>
        <v>000000</v>
      </c>
      <c r="AD73" s="2" t="str" cm="1">
        <f t="array" ref="AD73">TEXT(_xlfn.XLOOKUP(TRUE, AA74:AA$103&lt;&gt;"250000", AA74:AA$103, "未找到"),"000000")</f>
        <v>000000</v>
      </c>
      <c r="AE73" s="2" t="str" cm="1">
        <f t="array" ref="AE73">_xlfn.SWITCH(TRUE,J73&lt;&gt;"",TEXT(J73,"MMSS"),TRUE,IFERROR(TEXT(E74-F73,"MMSS"),"0000"))</f>
        <v>0000</v>
      </c>
    </row>
    <row r="74" spans="1:31">
      <c r="A74" s="2">
        <v>71</v>
      </c>
      <c r="B74" s="5"/>
      <c r="C74" s="5"/>
      <c r="D74" s="5"/>
      <c r="E74" s="5"/>
      <c r="F74" s="5"/>
      <c r="G74" s="5"/>
      <c r="H74" s="5"/>
      <c r="I74" s="5"/>
      <c r="J74" s="5"/>
      <c r="K74" s="2" t="str">
        <f t="shared" si="8"/>
        <v>terminal</v>
      </c>
      <c r="L74" s="2" t="str" cm="1">
        <f t="array" ref="L74">TEXT(_xlfn.SWITCH(TRUE,E74="P",$B$1,AND(E74="",K74&lt;&gt;"TERMINAL"),$D$1,TRUE,HOUR(E74)),"00")</f>
        <v>00</v>
      </c>
      <c r="M74" s="2" t="str" cm="1">
        <f t="array" ref="M74">TEXT(_xlfn.SWITCH(TRUE,E74="P","00",AND(E74="",K74&lt;&gt;"TERMINAL"),"00",TRUE,MINUTE(E74)),"00")</f>
        <v>00</v>
      </c>
      <c r="N74" s="2" t="str" cm="1">
        <f t="array" ref="N74">TEXT(_xlfn.SWITCH(TRUE,E74="P","00",AND(E74="",K74&lt;&gt;"TERMINAL"),"00",TRUE,SECOND(E74)),"00")</f>
        <v>00</v>
      </c>
      <c r="O74" s="2" t="str" cm="1">
        <f t="array" ref="O74">_xlfn.SWITCH(TRUE,AND(L74="00",K74&lt;&gt;"TERMINAL"),TEXT($B$2,"00"),L74=TEXT($B$1,"00"),TEXT($B$1,"00"),L74=TEXT($D$1,"00"),TEXT($D$1,"00"),TRUE,+L74)</f>
        <v>00</v>
      </c>
      <c r="P74" s="2" t="str" cm="1">
        <f t="array" ref="P74">_xlfn.SWITCH(TRUE,OR(L74=TEXT($B$1,"00"),L74=TEXT($D$1,"00")),"00",AND(M74="00",K74&lt;&gt;"TERMINAL"),TEXT($D$2,"00"),TRUE,M74)</f>
        <v>00</v>
      </c>
      <c r="Q74" s="2" t="str" cm="1">
        <f t="array" ref="Q74">_xlfn.SWITCH(TRUE,OR(L74=TEXT($B$1,"00"),L74=TEXT($D$1,"00")),"00",AND(N74="00",K74&lt;&gt;"TERMINAL"),TEXT($F$2,"00"),TRUE,N74)</f>
        <v>00</v>
      </c>
      <c r="R74" s="2" t="str">
        <f t="shared" si="9"/>
        <v>00</v>
      </c>
      <c r="S74" s="2" t="str" cm="1">
        <f t="array" ref="S74">_xlfn.SWITCH(TRUE,F74="T",TEXT($F$1,"00"),AND(F74="",K74&lt;&gt;"TERMINAL"),"00",TRUE,TEXT(HOUR(F74),"00"))</f>
        <v>00</v>
      </c>
      <c r="T74" s="2" t="str" cm="1">
        <f t="array" ref="T74">TEXT(_xlfn.SWITCH(TRUE,F74="T","00",AND(F74="",K74&lt;&gt;"TERMINAL"),"00",TRUE,MINUTE(F74)),"00")</f>
        <v>00</v>
      </c>
      <c r="U74" s="2" t="str" cm="1">
        <f t="array" ref="U74">TEXT(_xlfn.SWITCH(TRUE,F74="T","00",AND(F74="",K74&lt;&gt;"TERMINAL"),"00",TRUE,SECOND(F74)),"00")</f>
        <v>00</v>
      </c>
      <c r="V74" s="2" t="str">
        <f t="shared" si="10"/>
        <v>00</v>
      </c>
      <c r="W74" s="2" t="str" cm="1">
        <f t="array" ref="W74">_xlfn.SWITCH(TRUE,OR(S74=TEXT($B$1,"00"),S74=TEXT($D$1,"00")),"00",AND(T74="00",K74&lt;&gt;"TERMINAL"),TEXT($D$2,"00"),TRUE,T74)</f>
        <v>00</v>
      </c>
      <c r="X74" s="2" t="str" cm="1">
        <f t="array" ref="X74">_xlfn.SWITCH(TRUE,OR(S74=TEXT($B$1,"00"),S74=TEXT($D$1,"00")),"00",AND(U74="00",K74&lt;&gt;"TERMINAL"),TEXT($F$2,"00"),TRUE,U74)</f>
        <v>00</v>
      </c>
      <c r="Y74" s="2" t="str">
        <f t="shared" si="11"/>
        <v>00</v>
      </c>
      <c r="Z74" s="2" t="str">
        <f t="shared" si="14"/>
        <v>FALSE</v>
      </c>
      <c r="AA74" s="2" t="str">
        <f t="shared" si="12"/>
        <v>000000</v>
      </c>
      <c r="AB74" s="2" t="str">
        <f t="shared" si="13"/>
        <v>000000</v>
      </c>
      <c r="AC74" s="2" t="str" cm="1">
        <f t="array" ref="AC74">TEXT($D74,"000")&amp;TEXT(IFERROR(INDEX($D$5:$D$103,_xlfn.AGGREGATE(15,6,ROW($E$5:$E$103)/(($E$5:$E$103&lt;&gt;"p")*($E$5:$E$103&lt;&gt;"t")*(ROW($E$5:$E$103)&gt;ROW($E74))),1)-ROW($E$5)+1),$D74),"000")</f>
        <v>000000</v>
      </c>
      <c r="AD74" s="2" t="str" cm="1">
        <f t="array" ref="AD74">TEXT(_xlfn.XLOOKUP(TRUE, AA75:AA$103&lt;&gt;"250000", AA75:AA$103, "未找到"),"000000")</f>
        <v>000000</v>
      </c>
      <c r="AE74" s="2" t="str" cm="1">
        <f t="array" ref="AE74">_xlfn.SWITCH(TRUE,J74&lt;&gt;"",TEXT(J74,"MMSS"),TRUE,IFERROR(TEXT(E75-F74,"MMSS"),"0000"))</f>
        <v>0000</v>
      </c>
    </row>
    <row r="75" spans="1:31">
      <c r="A75" s="2">
        <v>72</v>
      </c>
      <c r="B75" s="5"/>
      <c r="C75" s="5"/>
      <c r="D75" s="5"/>
      <c r="E75" s="5"/>
      <c r="F75" s="5"/>
      <c r="G75" s="5"/>
      <c r="H75" s="5"/>
      <c r="I75" s="5"/>
      <c r="J75" s="5"/>
      <c r="K75" s="2" t="str">
        <f t="shared" si="8"/>
        <v>terminal</v>
      </c>
      <c r="L75" s="2" t="str" cm="1">
        <f t="array" ref="L75">TEXT(_xlfn.SWITCH(TRUE,E75="P",$B$1,AND(E75="",K75&lt;&gt;"TERMINAL"),$D$1,TRUE,HOUR(E75)),"00")</f>
        <v>00</v>
      </c>
      <c r="M75" s="2" t="str" cm="1">
        <f t="array" ref="M75">TEXT(_xlfn.SWITCH(TRUE,E75="P","00",AND(E75="",K75&lt;&gt;"TERMINAL"),"00",TRUE,MINUTE(E75)),"00")</f>
        <v>00</v>
      </c>
      <c r="N75" s="2" t="str" cm="1">
        <f t="array" ref="N75">TEXT(_xlfn.SWITCH(TRUE,E75="P","00",AND(E75="",K75&lt;&gt;"TERMINAL"),"00",TRUE,SECOND(E75)),"00")</f>
        <v>00</v>
      </c>
      <c r="O75" s="2" t="str" cm="1">
        <f t="array" ref="O75">_xlfn.SWITCH(TRUE,AND(L75="00",K75&lt;&gt;"TERMINAL"),TEXT($B$2,"00"),L75=TEXT($B$1,"00"),TEXT($B$1,"00"),L75=TEXT($D$1,"00"),TEXT($D$1,"00"),TRUE,+L75)</f>
        <v>00</v>
      </c>
      <c r="P75" s="2" t="str" cm="1">
        <f t="array" ref="P75">_xlfn.SWITCH(TRUE,OR(L75=TEXT($B$1,"00"),L75=TEXT($D$1,"00")),"00",AND(M75="00",K75&lt;&gt;"TERMINAL"),TEXT($D$2,"00"),TRUE,M75)</f>
        <v>00</v>
      </c>
      <c r="Q75" s="2" t="str" cm="1">
        <f t="array" ref="Q75">_xlfn.SWITCH(TRUE,OR(L75=TEXT($B$1,"00"),L75=TEXT($D$1,"00")),"00",AND(N75="00",K75&lt;&gt;"TERMINAL"),TEXT($F$2,"00"),TRUE,N75)</f>
        <v>00</v>
      </c>
      <c r="R75" s="2" t="str">
        <f t="shared" si="9"/>
        <v>00</v>
      </c>
      <c r="S75" s="2" t="str" cm="1">
        <f t="array" ref="S75">_xlfn.SWITCH(TRUE,F75="T",TEXT($F$1,"00"),AND(F75="",K75&lt;&gt;"TERMINAL"),"00",TRUE,TEXT(HOUR(F75),"00"))</f>
        <v>00</v>
      </c>
      <c r="T75" s="2" t="str" cm="1">
        <f t="array" ref="T75">TEXT(_xlfn.SWITCH(TRUE,F75="T","00",AND(F75="",K75&lt;&gt;"TERMINAL"),"00",TRUE,MINUTE(F75)),"00")</f>
        <v>00</v>
      </c>
      <c r="U75" s="2" t="str" cm="1">
        <f t="array" ref="U75">TEXT(_xlfn.SWITCH(TRUE,F75="T","00",AND(F75="",K75&lt;&gt;"TERMINAL"),"00",TRUE,SECOND(F75)),"00")</f>
        <v>00</v>
      </c>
      <c r="V75" s="2" t="str">
        <f t="shared" si="10"/>
        <v>00</v>
      </c>
      <c r="W75" s="2" t="str" cm="1">
        <f t="array" ref="W75">_xlfn.SWITCH(TRUE,OR(S75=TEXT($B$1,"00"),S75=TEXT($D$1,"00")),"00",AND(T75="00",K75&lt;&gt;"TERMINAL"),TEXT($D$2,"00"),TRUE,T75)</f>
        <v>00</v>
      </c>
      <c r="X75" s="2" t="str" cm="1">
        <f t="array" ref="X75">_xlfn.SWITCH(TRUE,OR(S75=TEXT($B$1,"00"),S75=TEXT($D$1,"00")),"00",AND(U75="00",K75&lt;&gt;"TERMINAL"),TEXT($F$2,"00"),TRUE,U75)</f>
        <v>00</v>
      </c>
      <c r="Y75" s="2" t="str">
        <f t="shared" si="11"/>
        <v>00</v>
      </c>
      <c r="Z75" s="2" t="str">
        <f t="shared" si="14"/>
        <v>FALSE</v>
      </c>
      <c r="AA75" s="2" t="str">
        <f t="shared" si="12"/>
        <v>000000</v>
      </c>
      <c r="AB75" s="2" t="str">
        <f t="shared" si="13"/>
        <v>000000</v>
      </c>
      <c r="AC75" s="2" t="str" cm="1">
        <f t="array" ref="AC75">TEXT($D75,"000")&amp;TEXT(IFERROR(INDEX($D$5:$D$103,_xlfn.AGGREGATE(15,6,ROW($E$5:$E$103)/(($E$5:$E$103&lt;&gt;"p")*($E$5:$E$103&lt;&gt;"t")*(ROW($E$5:$E$103)&gt;ROW($E75))),1)-ROW($E$5)+1),$D75),"000")</f>
        <v>000000</v>
      </c>
      <c r="AD75" s="2" t="str" cm="1">
        <f t="array" ref="AD75">TEXT(_xlfn.XLOOKUP(TRUE, AA76:AA$103&lt;&gt;"250000", AA76:AA$103, "未找到"),"000000")</f>
        <v>000000</v>
      </c>
      <c r="AE75" s="2" t="str" cm="1">
        <f t="array" ref="AE75">_xlfn.SWITCH(TRUE,J75&lt;&gt;"",TEXT(J75,"MMSS"),TRUE,IFERROR(TEXT(E76-F75,"MMSS"),"0000"))</f>
        <v>0000</v>
      </c>
    </row>
    <row r="76" spans="1:31">
      <c r="A76" s="2">
        <v>73</v>
      </c>
      <c r="B76" s="5"/>
      <c r="C76" s="5"/>
      <c r="D76" s="5"/>
      <c r="E76" s="5"/>
      <c r="F76" s="5"/>
      <c r="G76" s="5"/>
      <c r="H76" s="5"/>
      <c r="I76" s="5"/>
      <c r="J76" s="5"/>
      <c r="K76" s="2" t="str">
        <f t="shared" si="8"/>
        <v>terminal</v>
      </c>
      <c r="L76" s="2" t="str" cm="1">
        <f t="array" ref="L76">TEXT(_xlfn.SWITCH(TRUE,E76="P",$B$1,AND(E76="",K76&lt;&gt;"TERMINAL"),$D$1,TRUE,HOUR(E76)),"00")</f>
        <v>00</v>
      </c>
      <c r="M76" s="2" t="str" cm="1">
        <f t="array" ref="M76">TEXT(_xlfn.SWITCH(TRUE,E76="P","00",AND(E76="",K76&lt;&gt;"TERMINAL"),"00",TRUE,MINUTE(E76)),"00")</f>
        <v>00</v>
      </c>
      <c r="N76" s="2" t="str" cm="1">
        <f t="array" ref="N76">TEXT(_xlfn.SWITCH(TRUE,E76="P","00",AND(E76="",K76&lt;&gt;"TERMINAL"),"00",TRUE,SECOND(E76)),"00")</f>
        <v>00</v>
      </c>
      <c r="O76" s="2" t="str" cm="1">
        <f t="array" ref="O76">_xlfn.SWITCH(TRUE,AND(L76="00",K76&lt;&gt;"TERMINAL"),TEXT($B$2,"00"),L76=TEXT($B$1,"00"),TEXT($B$1,"00"),L76=TEXT($D$1,"00"),TEXT($D$1,"00"),TRUE,+L76)</f>
        <v>00</v>
      </c>
      <c r="P76" s="2" t="str" cm="1">
        <f t="array" ref="P76">_xlfn.SWITCH(TRUE,OR(L76=TEXT($B$1,"00"),L76=TEXT($D$1,"00")),"00",AND(M76="00",K76&lt;&gt;"TERMINAL"),TEXT($D$2,"00"),TRUE,M76)</f>
        <v>00</v>
      </c>
      <c r="Q76" s="2" t="str" cm="1">
        <f t="array" ref="Q76">_xlfn.SWITCH(TRUE,OR(L76=TEXT($B$1,"00"),L76=TEXT($D$1,"00")),"00",AND(N76="00",K76&lt;&gt;"TERMINAL"),TEXT($F$2,"00"),TRUE,N76)</f>
        <v>00</v>
      </c>
      <c r="R76" s="2" t="str">
        <f t="shared" si="9"/>
        <v>00</v>
      </c>
      <c r="S76" s="2" t="str" cm="1">
        <f t="array" ref="S76">_xlfn.SWITCH(TRUE,F76="T",TEXT($F$1,"00"),AND(F76="",K76&lt;&gt;"TERMINAL"),"00",TRUE,TEXT(HOUR(F76),"00"))</f>
        <v>00</v>
      </c>
      <c r="T76" s="2" t="str" cm="1">
        <f t="array" ref="T76">TEXT(_xlfn.SWITCH(TRUE,F76="T","00",AND(F76="",K76&lt;&gt;"TERMINAL"),"00",TRUE,MINUTE(F76)),"00")</f>
        <v>00</v>
      </c>
      <c r="U76" s="2" t="str" cm="1">
        <f t="array" ref="U76">TEXT(_xlfn.SWITCH(TRUE,F76="T","00",AND(F76="",K76&lt;&gt;"TERMINAL"),"00",TRUE,SECOND(F76)),"00")</f>
        <v>00</v>
      </c>
      <c r="V76" s="2" t="str">
        <f t="shared" si="10"/>
        <v>00</v>
      </c>
      <c r="W76" s="2" t="str" cm="1">
        <f t="array" ref="W76">_xlfn.SWITCH(TRUE,OR(S76=TEXT($B$1,"00"),S76=TEXT($D$1,"00")),"00",AND(T76="00",K76&lt;&gt;"TERMINAL"),TEXT($D$2,"00"),TRUE,T76)</f>
        <v>00</v>
      </c>
      <c r="X76" s="2" t="str" cm="1">
        <f t="array" ref="X76">_xlfn.SWITCH(TRUE,OR(S76=TEXT($B$1,"00"),S76=TEXT($D$1,"00")),"00",AND(U76="00",K76&lt;&gt;"TERMINAL"),TEXT($F$2,"00"),TRUE,U76)</f>
        <v>00</v>
      </c>
      <c r="Y76" s="2" t="str">
        <f t="shared" si="11"/>
        <v>00</v>
      </c>
      <c r="Z76" s="2" t="str">
        <f t="shared" si="14"/>
        <v>FALSE</v>
      </c>
      <c r="AA76" s="2" t="str">
        <f t="shared" si="12"/>
        <v>000000</v>
      </c>
      <c r="AB76" s="2" t="str">
        <f t="shared" si="13"/>
        <v>000000</v>
      </c>
      <c r="AC76" s="2" t="str" cm="1">
        <f t="array" ref="AC76">TEXT($D76,"000")&amp;TEXT(IFERROR(INDEX($D$5:$D$103,_xlfn.AGGREGATE(15,6,ROW($E$5:$E$103)/(($E$5:$E$103&lt;&gt;"p")*($E$5:$E$103&lt;&gt;"t")*(ROW($E$5:$E$103)&gt;ROW($E76))),1)-ROW($E$5)+1),$D76),"000")</f>
        <v>000000</v>
      </c>
      <c r="AD76" s="2" t="str" cm="1">
        <f t="array" ref="AD76">TEXT(_xlfn.XLOOKUP(TRUE, AA77:AA$103&lt;&gt;"250000", AA77:AA$103, "未找到"),"000000")</f>
        <v>000000</v>
      </c>
      <c r="AE76" s="2" t="str" cm="1">
        <f t="array" ref="AE76">_xlfn.SWITCH(TRUE,J76&lt;&gt;"",TEXT(J76,"MMSS"),TRUE,IFERROR(TEXT(E77-F76,"MMSS"),"0000"))</f>
        <v>0000</v>
      </c>
    </row>
    <row r="77" spans="1:31">
      <c r="A77" s="2">
        <v>74</v>
      </c>
      <c r="B77" s="5"/>
      <c r="C77" s="5"/>
      <c r="D77" s="5"/>
      <c r="E77" s="5"/>
      <c r="F77" s="5"/>
      <c r="G77" s="5"/>
      <c r="H77" s="5"/>
      <c r="I77" s="5"/>
      <c r="J77" s="5"/>
      <c r="K77" s="2" t="str">
        <f t="shared" si="8"/>
        <v>terminal</v>
      </c>
      <c r="L77" s="2" t="str" cm="1">
        <f t="array" ref="L77">TEXT(_xlfn.SWITCH(TRUE,E77="P",$B$1,AND(E77="",K77&lt;&gt;"TERMINAL"),$D$1,TRUE,HOUR(E77)),"00")</f>
        <v>00</v>
      </c>
      <c r="M77" s="2" t="str" cm="1">
        <f t="array" ref="M77">TEXT(_xlfn.SWITCH(TRUE,E77="P","00",AND(E77="",K77&lt;&gt;"TERMINAL"),"00",TRUE,MINUTE(E77)),"00")</f>
        <v>00</v>
      </c>
      <c r="N77" s="2" t="str" cm="1">
        <f t="array" ref="N77">TEXT(_xlfn.SWITCH(TRUE,E77="P","00",AND(E77="",K77&lt;&gt;"TERMINAL"),"00",TRUE,SECOND(E77)),"00")</f>
        <v>00</v>
      </c>
      <c r="O77" s="2" t="str" cm="1">
        <f t="array" ref="O77">_xlfn.SWITCH(TRUE,AND(L77="00",K77&lt;&gt;"TERMINAL"),TEXT($B$2,"00"),L77=TEXT($B$1,"00"),TEXT($B$1,"00"),L77=TEXT($D$1,"00"),TEXT($D$1,"00"),TRUE,+L77)</f>
        <v>00</v>
      </c>
      <c r="P77" s="2" t="str" cm="1">
        <f t="array" ref="P77">_xlfn.SWITCH(TRUE,OR(L77=TEXT($B$1,"00"),L77=TEXT($D$1,"00")),"00",AND(M77="00",K77&lt;&gt;"TERMINAL"),TEXT($D$2,"00"),TRUE,M77)</f>
        <v>00</v>
      </c>
      <c r="Q77" s="2" t="str" cm="1">
        <f t="array" ref="Q77">_xlfn.SWITCH(TRUE,OR(L77=TEXT($B$1,"00"),L77=TEXT($D$1,"00")),"00",AND(N77="00",K77&lt;&gt;"TERMINAL"),TEXT($F$2,"00"),TRUE,N77)</f>
        <v>00</v>
      </c>
      <c r="R77" s="2" t="str">
        <f t="shared" si="9"/>
        <v>00</v>
      </c>
      <c r="S77" s="2" t="str" cm="1">
        <f t="array" ref="S77">_xlfn.SWITCH(TRUE,F77="T",TEXT($F$1,"00"),AND(F77="",K77&lt;&gt;"TERMINAL"),"00",TRUE,TEXT(HOUR(F77),"00"))</f>
        <v>00</v>
      </c>
      <c r="T77" s="2" t="str" cm="1">
        <f t="array" ref="T77">TEXT(_xlfn.SWITCH(TRUE,F77="T","00",AND(F77="",K77&lt;&gt;"TERMINAL"),"00",TRUE,MINUTE(F77)),"00")</f>
        <v>00</v>
      </c>
      <c r="U77" s="2" t="str" cm="1">
        <f t="array" ref="U77">TEXT(_xlfn.SWITCH(TRUE,F77="T","00",AND(F77="",K77&lt;&gt;"TERMINAL"),"00",TRUE,SECOND(F77)),"00")</f>
        <v>00</v>
      </c>
      <c r="V77" s="2" t="str">
        <f t="shared" si="10"/>
        <v>00</v>
      </c>
      <c r="W77" s="2" t="str" cm="1">
        <f t="array" ref="W77">_xlfn.SWITCH(TRUE,OR(S77=TEXT($B$1,"00"),S77=TEXT($D$1,"00")),"00",AND(T77="00",K77&lt;&gt;"TERMINAL"),TEXT($D$2,"00"),TRUE,T77)</f>
        <v>00</v>
      </c>
      <c r="X77" s="2" t="str" cm="1">
        <f t="array" ref="X77">_xlfn.SWITCH(TRUE,OR(S77=TEXT($B$1,"00"),S77=TEXT($D$1,"00")),"00",AND(U77="00",K77&lt;&gt;"TERMINAL"),TEXT($F$2,"00"),TRUE,U77)</f>
        <v>00</v>
      </c>
      <c r="Y77" s="2" t="str">
        <f t="shared" si="11"/>
        <v>00</v>
      </c>
      <c r="Z77" s="2" t="str">
        <f t="shared" si="14"/>
        <v>FALSE</v>
      </c>
      <c r="AA77" s="2" t="str">
        <f t="shared" si="12"/>
        <v>000000</v>
      </c>
      <c r="AB77" s="2" t="str">
        <f t="shared" si="13"/>
        <v>000000</v>
      </c>
      <c r="AC77" s="2" t="str" cm="1">
        <f t="array" ref="AC77">TEXT($D77,"000")&amp;TEXT(IFERROR(INDEX($D$5:$D$103,_xlfn.AGGREGATE(15,6,ROW($E$5:$E$103)/(($E$5:$E$103&lt;&gt;"p")*($E$5:$E$103&lt;&gt;"t")*(ROW($E$5:$E$103)&gt;ROW($E77))),1)-ROW($E$5)+1),$D77),"000")</f>
        <v>000000</v>
      </c>
      <c r="AD77" s="2" t="str" cm="1">
        <f t="array" ref="AD77">TEXT(_xlfn.XLOOKUP(TRUE, AA78:AA$103&lt;&gt;"250000", AA78:AA$103, "未找到"),"000000")</f>
        <v>000000</v>
      </c>
      <c r="AE77" s="2" t="str" cm="1">
        <f t="array" ref="AE77">_xlfn.SWITCH(TRUE,J77&lt;&gt;"",TEXT(J77,"MMSS"),TRUE,IFERROR(TEXT(E78-F77,"MMSS"),"0000"))</f>
        <v>0000</v>
      </c>
    </row>
    <row r="78" spans="1:31">
      <c r="A78" s="2">
        <v>75</v>
      </c>
      <c r="B78" s="5"/>
      <c r="C78" s="5"/>
      <c r="D78" s="5"/>
      <c r="E78" s="5"/>
      <c r="F78" s="5"/>
      <c r="G78" s="5"/>
      <c r="H78" s="5"/>
      <c r="I78" s="5"/>
      <c r="J78" s="5"/>
      <c r="K78" s="2" t="str">
        <f t="shared" si="8"/>
        <v>terminal</v>
      </c>
      <c r="L78" s="2" t="str" cm="1">
        <f t="array" ref="L78">TEXT(_xlfn.SWITCH(TRUE,E78="P",$B$1,AND(E78="",K78&lt;&gt;"TERMINAL"),$D$1,TRUE,HOUR(E78)),"00")</f>
        <v>00</v>
      </c>
      <c r="M78" s="2" t="str" cm="1">
        <f t="array" ref="M78">TEXT(_xlfn.SWITCH(TRUE,E78="P","00",AND(E78="",K78&lt;&gt;"TERMINAL"),"00",TRUE,MINUTE(E78)),"00")</f>
        <v>00</v>
      </c>
      <c r="N78" s="2" t="str" cm="1">
        <f t="array" ref="N78">TEXT(_xlfn.SWITCH(TRUE,E78="P","00",AND(E78="",K78&lt;&gt;"TERMINAL"),"00",TRUE,SECOND(E78)),"00")</f>
        <v>00</v>
      </c>
      <c r="O78" s="2" t="str" cm="1">
        <f t="array" ref="O78">_xlfn.SWITCH(TRUE,AND(L78="00",K78&lt;&gt;"TERMINAL"),TEXT($B$2,"00"),L78=TEXT($B$1,"00"),TEXT($B$1,"00"),L78=TEXT($D$1,"00"),TEXT($D$1,"00"),TRUE,+L78)</f>
        <v>00</v>
      </c>
      <c r="P78" s="2" t="str" cm="1">
        <f t="array" ref="P78">_xlfn.SWITCH(TRUE,OR(L78=TEXT($B$1,"00"),L78=TEXT($D$1,"00")),"00",AND(M78="00",K78&lt;&gt;"TERMINAL"),TEXT($D$2,"00"),TRUE,M78)</f>
        <v>00</v>
      </c>
      <c r="Q78" s="2" t="str" cm="1">
        <f t="array" ref="Q78">_xlfn.SWITCH(TRUE,OR(L78=TEXT($B$1,"00"),L78=TEXT($D$1,"00")),"00",AND(N78="00",K78&lt;&gt;"TERMINAL"),TEXT($F$2,"00"),TRUE,N78)</f>
        <v>00</v>
      </c>
      <c r="R78" s="2" t="str">
        <f t="shared" si="9"/>
        <v>00</v>
      </c>
      <c r="S78" s="2" t="str" cm="1">
        <f t="array" ref="S78">_xlfn.SWITCH(TRUE,F78="T",TEXT($F$1,"00"),AND(F78="",K78&lt;&gt;"TERMINAL"),"00",TRUE,TEXT(HOUR(F78),"00"))</f>
        <v>00</v>
      </c>
      <c r="T78" s="2" t="str" cm="1">
        <f t="array" ref="T78">TEXT(_xlfn.SWITCH(TRUE,F78="T","00",AND(F78="",K78&lt;&gt;"TERMINAL"),"00",TRUE,MINUTE(F78)),"00")</f>
        <v>00</v>
      </c>
      <c r="U78" s="2" t="str" cm="1">
        <f t="array" ref="U78">TEXT(_xlfn.SWITCH(TRUE,F78="T","00",AND(F78="",K78&lt;&gt;"TERMINAL"),"00",TRUE,SECOND(F78)),"00")</f>
        <v>00</v>
      </c>
      <c r="V78" s="2" t="str">
        <f t="shared" si="10"/>
        <v>00</v>
      </c>
      <c r="W78" s="2" t="str" cm="1">
        <f t="array" ref="W78">_xlfn.SWITCH(TRUE,OR(S78=TEXT($B$1,"00"),S78=TEXT($D$1,"00")),"00",AND(T78="00",K78&lt;&gt;"TERMINAL"),TEXT($D$2,"00"),TRUE,T78)</f>
        <v>00</v>
      </c>
      <c r="X78" s="2" t="str" cm="1">
        <f t="array" ref="X78">_xlfn.SWITCH(TRUE,OR(S78=TEXT($B$1,"00"),S78=TEXT($D$1,"00")),"00",AND(U78="00",K78&lt;&gt;"TERMINAL"),TEXT($F$2,"00"),TRUE,U78)</f>
        <v>00</v>
      </c>
      <c r="Y78" s="2" t="str">
        <f t="shared" si="11"/>
        <v>00</v>
      </c>
      <c r="Z78" s="2" t="str">
        <f t="shared" si="14"/>
        <v>FALSE</v>
      </c>
      <c r="AA78" s="2" t="str">
        <f t="shared" si="12"/>
        <v>000000</v>
      </c>
      <c r="AB78" s="2" t="str">
        <f t="shared" si="13"/>
        <v>000000</v>
      </c>
      <c r="AC78" s="2" t="str" cm="1">
        <f t="array" ref="AC78">TEXT($D78,"000")&amp;TEXT(IFERROR(INDEX($D$5:$D$103,_xlfn.AGGREGATE(15,6,ROW($E$5:$E$103)/(($E$5:$E$103&lt;&gt;"p")*($E$5:$E$103&lt;&gt;"t")*(ROW($E$5:$E$103)&gt;ROW($E78))),1)-ROW($E$5)+1),$D78),"000")</f>
        <v>000000</v>
      </c>
      <c r="AD78" s="2" t="str" cm="1">
        <f t="array" ref="AD78">TEXT(_xlfn.XLOOKUP(TRUE, AA79:AA$103&lt;&gt;"250000", AA79:AA$103, "未找到"),"000000")</f>
        <v>000000</v>
      </c>
      <c r="AE78" s="2" t="str" cm="1">
        <f t="array" ref="AE78">_xlfn.SWITCH(TRUE,J78&lt;&gt;"",TEXT(J78,"MMSS"),TRUE,IFERROR(TEXT(E79-F78,"MMSS"),"0000"))</f>
        <v>0000</v>
      </c>
    </row>
    <row r="79" spans="1:31">
      <c r="A79" s="2">
        <v>76</v>
      </c>
      <c r="B79" s="5"/>
      <c r="C79" s="5"/>
      <c r="D79" s="5"/>
      <c r="E79" s="5"/>
      <c r="F79" s="5"/>
      <c r="G79" s="5"/>
      <c r="H79" s="5"/>
      <c r="I79" s="5"/>
      <c r="J79" s="5"/>
      <c r="K79" s="2" t="str">
        <f t="shared" si="8"/>
        <v>terminal</v>
      </c>
      <c r="L79" s="2" t="str" cm="1">
        <f t="array" ref="L79">TEXT(_xlfn.SWITCH(TRUE,E79="P",$B$1,AND(E79="",K79&lt;&gt;"TERMINAL"),$D$1,TRUE,HOUR(E79)),"00")</f>
        <v>00</v>
      </c>
      <c r="M79" s="2" t="str" cm="1">
        <f t="array" ref="M79">TEXT(_xlfn.SWITCH(TRUE,E79="P","00",AND(E79="",K79&lt;&gt;"TERMINAL"),"00",TRUE,MINUTE(E79)),"00")</f>
        <v>00</v>
      </c>
      <c r="N79" s="2" t="str" cm="1">
        <f t="array" ref="N79">TEXT(_xlfn.SWITCH(TRUE,E79="P","00",AND(E79="",K79&lt;&gt;"TERMINAL"),"00",TRUE,SECOND(E79)),"00")</f>
        <v>00</v>
      </c>
      <c r="O79" s="2" t="str" cm="1">
        <f t="array" ref="O79">_xlfn.SWITCH(TRUE,AND(L79="00",K79&lt;&gt;"TERMINAL"),TEXT($B$2,"00"),L79=TEXT($B$1,"00"),TEXT($B$1,"00"),L79=TEXT($D$1,"00"),TEXT($D$1,"00"),TRUE,+L79)</f>
        <v>00</v>
      </c>
      <c r="P79" s="2" t="str" cm="1">
        <f t="array" ref="P79">_xlfn.SWITCH(TRUE,OR(L79=TEXT($B$1,"00"),L79=TEXT($D$1,"00")),"00",AND(M79="00",K79&lt;&gt;"TERMINAL"),TEXT($D$2,"00"),TRUE,M79)</f>
        <v>00</v>
      </c>
      <c r="Q79" s="2" t="str" cm="1">
        <f t="array" ref="Q79">_xlfn.SWITCH(TRUE,OR(L79=TEXT($B$1,"00"),L79=TEXT($D$1,"00")),"00",AND(N79="00",K79&lt;&gt;"TERMINAL"),TEXT($F$2,"00"),TRUE,N79)</f>
        <v>00</v>
      </c>
      <c r="R79" s="2" t="str">
        <f t="shared" si="9"/>
        <v>00</v>
      </c>
      <c r="S79" s="2" t="str" cm="1">
        <f t="array" ref="S79">_xlfn.SWITCH(TRUE,F79="T",TEXT($F$1,"00"),AND(F79="",K79&lt;&gt;"TERMINAL"),"00",TRUE,TEXT(HOUR(F79),"00"))</f>
        <v>00</v>
      </c>
      <c r="T79" s="2" t="str" cm="1">
        <f t="array" ref="T79">TEXT(_xlfn.SWITCH(TRUE,F79="T","00",AND(F79="",K79&lt;&gt;"TERMINAL"),"00",TRUE,MINUTE(F79)),"00")</f>
        <v>00</v>
      </c>
      <c r="U79" s="2" t="str" cm="1">
        <f t="array" ref="U79">TEXT(_xlfn.SWITCH(TRUE,F79="T","00",AND(F79="",K79&lt;&gt;"TERMINAL"),"00",TRUE,SECOND(F79)),"00")</f>
        <v>00</v>
      </c>
      <c r="V79" s="2" t="str">
        <f t="shared" si="10"/>
        <v>00</v>
      </c>
      <c r="W79" s="2" t="str" cm="1">
        <f t="array" ref="W79">_xlfn.SWITCH(TRUE,OR(S79=TEXT($B$1,"00"),S79=TEXT($D$1,"00")),"00",AND(T79="00",K79&lt;&gt;"TERMINAL"),TEXT($D$2,"00"),TRUE,T79)</f>
        <v>00</v>
      </c>
      <c r="X79" s="2" t="str" cm="1">
        <f t="array" ref="X79">_xlfn.SWITCH(TRUE,OR(S79=TEXT($B$1,"00"),S79=TEXT($D$1,"00")),"00",AND(U79="00",K79&lt;&gt;"TERMINAL"),TEXT($F$2,"00"),TRUE,U79)</f>
        <v>00</v>
      </c>
      <c r="Y79" s="2" t="str">
        <f t="shared" si="11"/>
        <v>00</v>
      </c>
      <c r="Z79" s="2" t="str">
        <f t="shared" si="14"/>
        <v>FALSE</v>
      </c>
      <c r="AA79" s="2" t="str">
        <f t="shared" si="12"/>
        <v>000000</v>
      </c>
      <c r="AB79" s="2" t="str">
        <f t="shared" si="13"/>
        <v>000000</v>
      </c>
      <c r="AC79" s="2" t="str" cm="1">
        <f t="array" ref="AC79">TEXT($D79,"000")&amp;TEXT(IFERROR(INDEX($D$5:$D$103,_xlfn.AGGREGATE(15,6,ROW($E$5:$E$103)/(($E$5:$E$103&lt;&gt;"p")*($E$5:$E$103&lt;&gt;"t")*(ROW($E$5:$E$103)&gt;ROW($E79))),1)-ROW($E$5)+1),$D79),"000")</f>
        <v>000000</v>
      </c>
      <c r="AD79" s="2" t="str" cm="1">
        <f t="array" ref="AD79">TEXT(_xlfn.XLOOKUP(TRUE, AA80:AA$103&lt;&gt;"250000", AA80:AA$103, "未找到"),"000000")</f>
        <v>000000</v>
      </c>
      <c r="AE79" s="2" t="str" cm="1">
        <f t="array" ref="AE79">_xlfn.SWITCH(TRUE,J79&lt;&gt;"",TEXT(J79,"MMSS"),TRUE,IFERROR(TEXT(E80-F79,"MMSS"),"0000"))</f>
        <v>0000</v>
      </c>
    </row>
    <row r="80" spans="1:31">
      <c r="A80" s="2">
        <v>77</v>
      </c>
      <c r="B80" s="5"/>
      <c r="C80" s="5"/>
      <c r="D80" s="5"/>
      <c r="E80" s="5"/>
      <c r="F80" s="5"/>
      <c r="G80" s="5"/>
      <c r="H80" s="5"/>
      <c r="I80" s="5"/>
      <c r="J80" s="5"/>
      <c r="K80" s="2" t="str">
        <f t="shared" si="8"/>
        <v>terminal</v>
      </c>
      <c r="L80" s="2" t="str" cm="1">
        <f t="array" ref="L80">TEXT(_xlfn.SWITCH(TRUE,E80="P",$B$1,AND(E80="",K80&lt;&gt;"TERMINAL"),$D$1,TRUE,HOUR(E80)),"00")</f>
        <v>00</v>
      </c>
      <c r="M80" s="2" t="str" cm="1">
        <f t="array" ref="M80">TEXT(_xlfn.SWITCH(TRUE,E80="P","00",AND(E80="",K80&lt;&gt;"TERMINAL"),"00",TRUE,MINUTE(E80)),"00")</f>
        <v>00</v>
      </c>
      <c r="N80" s="2" t="str" cm="1">
        <f t="array" ref="N80">TEXT(_xlfn.SWITCH(TRUE,E80="P","00",AND(E80="",K80&lt;&gt;"TERMINAL"),"00",TRUE,SECOND(E80)),"00")</f>
        <v>00</v>
      </c>
      <c r="O80" s="2" t="str" cm="1">
        <f t="array" ref="O80">_xlfn.SWITCH(TRUE,AND(L80="00",K80&lt;&gt;"TERMINAL"),TEXT($B$2,"00"),L80=TEXT($B$1,"00"),TEXT($B$1,"00"),L80=TEXT($D$1,"00"),TEXT($D$1,"00"),TRUE,+L80)</f>
        <v>00</v>
      </c>
      <c r="P80" s="2" t="str" cm="1">
        <f t="array" ref="P80">_xlfn.SWITCH(TRUE,OR(L80=TEXT($B$1,"00"),L80=TEXT($D$1,"00")),"00",AND(M80="00",K80&lt;&gt;"TERMINAL"),TEXT($D$2,"00"),TRUE,M80)</f>
        <v>00</v>
      </c>
      <c r="Q80" s="2" t="str" cm="1">
        <f t="array" ref="Q80">_xlfn.SWITCH(TRUE,OR(L80=TEXT($B$1,"00"),L80=TEXT($D$1,"00")),"00",AND(N80="00",K80&lt;&gt;"TERMINAL"),TEXT($F$2,"00"),TRUE,N80)</f>
        <v>00</v>
      </c>
      <c r="R80" s="2" t="str">
        <f t="shared" si="9"/>
        <v>00</v>
      </c>
      <c r="S80" s="2" t="str" cm="1">
        <f t="array" ref="S80">_xlfn.SWITCH(TRUE,F80="T",TEXT($F$1,"00"),AND(F80="",K80&lt;&gt;"TERMINAL"),"00",TRUE,TEXT(HOUR(F80),"00"))</f>
        <v>00</v>
      </c>
      <c r="T80" s="2" t="str" cm="1">
        <f t="array" ref="T80">TEXT(_xlfn.SWITCH(TRUE,F80="T","00",AND(F80="",K80&lt;&gt;"TERMINAL"),"00",TRUE,MINUTE(F80)),"00")</f>
        <v>00</v>
      </c>
      <c r="U80" s="2" t="str" cm="1">
        <f t="array" ref="U80">TEXT(_xlfn.SWITCH(TRUE,F80="T","00",AND(F80="",K80&lt;&gt;"TERMINAL"),"00",TRUE,SECOND(F80)),"00")</f>
        <v>00</v>
      </c>
      <c r="V80" s="2" t="str">
        <f t="shared" si="10"/>
        <v>00</v>
      </c>
      <c r="W80" s="2" t="str" cm="1">
        <f t="array" ref="W80">_xlfn.SWITCH(TRUE,OR(S80=TEXT($B$1,"00"),S80=TEXT($D$1,"00")),"00",AND(T80="00",K80&lt;&gt;"TERMINAL"),TEXT($D$2,"00"),TRUE,T80)</f>
        <v>00</v>
      </c>
      <c r="X80" s="2" t="str" cm="1">
        <f t="array" ref="X80">_xlfn.SWITCH(TRUE,OR(S80=TEXT($B$1,"00"),S80=TEXT($D$1,"00")),"00",AND(U80="00",K80&lt;&gt;"TERMINAL"),TEXT($F$2,"00"),TRUE,U80)</f>
        <v>00</v>
      </c>
      <c r="Y80" s="2" t="str">
        <f t="shared" si="11"/>
        <v>00</v>
      </c>
      <c r="Z80" s="2" t="str">
        <f t="shared" si="14"/>
        <v>FALSE</v>
      </c>
      <c r="AA80" s="2" t="str">
        <f t="shared" si="12"/>
        <v>000000</v>
      </c>
      <c r="AB80" s="2" t="str">
        <f t="shared" si="13"/>
        <v>000000</v>
      </c>
      <c r="AC80" s="2" t="str" cm="1">
        <f t="array" ref="AC80">TEXT($D80,"000")&amp;TEXT(IFERROR(INDEX($D$5:$D$103,_xlfn.AGGREGATE(15,6,ROW($E$5:$E$103)/(($E$5:$E$103&lt;&gt;"p")*($E$5:$E$103&lt;&gt;"t")*(ROW($E$5:$E$103)&gt;ROW($E80))),1)-ROW($E$5)+1),$D80),"000")</f>
        <v>000000</v>
      </c>
      <c r="AD80" s="2" t="str" cm="1">
        <f t="array" ref="AD80">TEXT(_xlfn.XLOOKUP(TRUE, AA81:AA$103&lt;&gt;"250000", AA81:AA$103, "未找到"),"000000")</f>
        <v>000000</v>
      </c>
      <c r="AE80" s="2" t="str" cm="1">
        <f t="array" ref="AE80">_xlfn.SWITCH(TRUE,J80&lt;&gt;"",TEXT(J80,"MMSS"),TRUE,IFERROR(TEXT(E81-F80,"MMSS"),"0000"))</f>
        <v>0000</v>
      </c>
    </row>
    <row r="81" spans="1:31">
      <c r="A81" s="2">
        <v>78</v>
      </c>
      <c r="B81" s="5"/>
      <c r="C81" s="5"/>
      <c r="D81" s="5"/>
      <c r="E81" s="5"/>
      <c r="F81" s="5"/>
      <c r="G81" s="5"/>
      <c r="H81" s="5"/>
      <c r="I81" s="5"/>
      <c r="J81" s="5"/>
      <c r="K81" s="2" t="str">
        <f t="shared" si="8"/>
        <v>terminal</v>
      </c>
      <c r="L81" s="2" t="str" cm="1">
        <f t="array" ref="L81">TEXT(_xlfn.SWITCH(TRUE,E81="P",$B$1,AND(E81="",K81&lt;&gt;"TERMINAL"),$D$1,TRUE,HOUR(E81)),"00")</f>
        <v>00</v>
      </c>
      <c r="M81" s="2" t="str" cm="1">
        <f t="array" ref="M81">TEXT(_xlfn.SWITCH(TRUE,E81="P","00",AND(E81="",K81&lt;&gt;"TERMINAL"),"00",TRUE,MINUTE(E81)),"00")</f>
        <v>00</v>
      </c>
      <c r="N81" s="2" t="str" cm="1">
        <f t="array" ref="N81">TEXT(_xlfn.SWITCH(TRUE,E81="P","00",AND(E81="",K81&lt;&gt;"TERMINAL"),"00",TRUE,SECOND(E81)),"00")</f>
        <v>00</v>
      </c>
      <c r="O81" s="2" t="str" cm="1">
        <f t="array" ref="O81">_xlfn.SWITCH(TRUE,AND(L81="00",K81&lt;&gt;"TERMINAL"),TEXT($B$2,"00"),L81=TEXT($B$1,"00"),TEXT($B$1,"00"),L81=TEXT($D$1,"00"),TEXT($D$1,"00"),TRUE,+L81)</f>
        <v>00</v>
      </c>
      <c r="P81" s="2" t="str" cm="1">
        <f t="array" ref="P81">_xlfn.SWITCH(TRUE,OR(L81=TEXT($B$1,"00"),L81=TEXT($D$1,"00")),"00",AND(M81="00",K81&lt;&gt;"TERMINAL"),TEXT($D$2,"00"),TRUE,M81)</f>
        <v>00</v>
      </c>
      <c r="Q81" s="2" t="str" cm="1">
        <f t="array" ref="Q81">_xlfn.SWITCH(TRUE,OR(L81=TEXT($B$1,"00"),L81=TEXT($D$1,"00")),"00",AND(N81="00",K81&lt;&gt;"TERMINAL"),TEXT($F$2,"00"),TRUE,N81)</f>
        <v>00</v>
      </c>
      <c r="R81" s="2" t="str">
        <f t="shared" si="9"/>
        <v>00</v>
      </c>
      <c r="S81" s="2" t="str" cm="1">
        <f t="array" ref="S81">_xlfn.SWITCH(TRUE,F81="T",TEXT($F$1,"00"),AND(F81="",K81&lt;&gt;"TERMINAL"),"00",TRUE,TEXT(HOUR(F81),"00"))</f>
        <v>00</v>
      </c>
      <c r="T81" s="2" t="str" cm="1">
        <f t="array" ref="T81">TEXT(_xlfn.SWITCH(TRUE,F81="T","00",AND(F81="",K81&lt;&gt;"TERMINAL"),"00",TRUE,MINUTE(F81)),"00")</f>
        <v>00</v>
      </c>
      <c r="U81" s="2" t="str" cm="1">
        <f t="array" ref="U81">TEXT(_xlfn.SWITCH(TRUE,F81="T","00",AND(F81="",K81&lt;&gt;"TERMINAL"),"00",TRUE,SECOND(F81)),"00")</f>
        <v>00</v>
      </c>
      <c r="V81" s="2" t="str">
        <f t="shared" si="10"/>
        <v>00</v>
      </c>
      <c r="W81" s="2" t="str" cm="1">
        <f t="array" ref="W81">_xlfn.SWITCH(TRUE,OR(S81=TEXT($B$1,"00"),S81=TEXT($D$1,"00")),"00",AND(T81="00",K81&lt;&gt;"TERMINAL"),TEXT($D$2,"00"),TRUE,T81)</f>
        <v>00</v>
      </c>
      <c r="X81" s="2" t="str" cm="1">
        <f t="array" ref="X81">_xlfn.SWITCH(TRUE,OR(S81=TEXT($B$1,"00"),S81=TEXT($D$1,"00")),"00",AND(U81="00",K81&lt;&gt;"TERMINAL"),TEXT($F$2,"00"),TRUE,U81)</f>
        <v>00</v>
      </c>
      <c r="Y81" s="2" t="str">
        <f t="shared" si="11"/>
        <v>00</v>
      </c>
      <c r="Z81" s="2" t="str">
        <f t="shared" si="14"/>
        <v>FALSE</v>
      </c>
      <c r="AA81" s="2" t="str">
        <f t="shared" si="12"/>
        <v>000000</v>
      </c>
      <c r="AB81" s="2" t="str">
        <f t="shared" si="13"/>
        <v>000000</v>
      </c>
      <c r="AC81" s="2" t="str" cm="1">
        <f t="array" ref="AC81">TEXT($D81,"000")&amp;TEXT(IFERROR(INDEX($D$5:$D$103,_xlfn.AGGREGATE(15,6,ROW($E$5:$E$103)/(($E$5:$E$103&lt;&gt;"p")*($E$5:$E$103&lt;&gt;"t")*(ROW($E$5:$E$103)&gt;ROW($E81))),1)-ROW($E$5)+1),$D81),"000")</f>
        <v>000000</v>
      </c>
      <c r="AD81" s="2" t="str" cm="1">
        <f t="array" ref="AD81">TEXT(_xlfn.XLOOKUP(TRUE, AA82:AA$103&lt;&gt;"250000", AA82:AA$103, "未找到"),"000000")</f>
        <v>000000</v>
      </c>
      <c r="AE81" s="2" t="str" cm="1">
        <f t="array" ref="AE81">_xlfn.SWITCH(TRUE,J81&lt;&gt;"",TEXT(J81,"MMSS"),TRUE,IFERROR(TEXT(E82-F81,"MMSS"),"0000"))</f>
        <v>0000</v>
      </c>
    </row>
    <row r="82" spans="1:31">
      <c r="A82" s="2">
        <v>79</v>
      </c>
      <c r="B82" s="5"/>
      <c r="C82" s="5"/>
      <c r="D82" s="5"/>
      <c r="E82" s="5"/>
      <c r="F82" s="5"/>
      <c r="G82" s="5"/>
      <c r="H82" s="5"/>
      <c r="I82" s="5"/>
      <c r="J82" s="5"/>
      <c r="K82" s="2" t="str">
        <f t="shared" si="8"/>
        <v>terminal</v>
      </c>
      <c r="L82" s="2" t="str" cm="1">
        <f t="array" ref="L82">TEXT(_xlfn.SWITCH(TRUE,E82="P",$B$1,AND(E82="",K82&lt;&gt;"TERMINAL"),$D$1,TRUE,HOUR(E82)),"00")</f>
        <v>00</v>
      </c>
      <c r="M82" s="2" t="str" cm="1">
        <f t="array" ref="M82">TEXT(_xlfn.SWITCH(TRUE,E82="P","00",AND(E82="",K82&lt;&gt;"TERMINAL"),"00",TRUE,MINUTE(E82)),"00")</f>
        <v>00</v>
      </c>
      <c r="N82" s="2" t="str" cm="1">
        <f t="array" ref="N82">TEXT(_xlfn.SWITCH(TRUE,E82="P","00",AND(E82="",K82&lt;&gt;"TERMINAL"),"00",TRUE,SECOND(E82)),"00")</f>
        <v>00</v>
      </c>
      <c r="O82" s="2" t="str" cm="1">
        <f t="array" ref="O82">_xlfn.SWITCH(TRUE,AND(L82="00",K82&lt;&gt;"TERMINAL"),TEXT($B$2,"00"),L82=TEXT($B$1,"00"),TEXT($B$1,"00"),L82=TEXT($D$1,"00"),TEXT($D$1,"00"),TRUE,+L82)</f>
        <v>00</v>
      </c>
      <c r="P82" s="2" t="str" cm="1">
        <f t="array" ref="P82">_xlfn.SWITCH(TRUE,OR(L82=TEXT($B$1,"00"),L82=TEXT($D$1,"00")),"00",AND(M82="00",K82&lt;&gt;"TERMINAL"),TEXT($D$2,"00"),TRUE,M82)</f>
        <v>00</v>
      </c>
      <c r="Q82" s="2" t="str" cm="1">
        <f t="array" ref="Q82">_xlfn.SWITCH(TRUE,OR(L82=TEXT($B$1,"00"),L82=TEXT($D$1,"00")),"00",AND(N82="00",K82&lt;&gt;"TERMINAL"),TEXT($F$2,"00"),TRUE,N82)</f>
        <v>00</v>
      </c>
      <c r="R82" s="2" t="str">
        <f t="shared" si="9"/>
        <v>00</v>
      </c>
      <c r="S82" s="2" t="str" cm="1">
        <f t="array" ref="S82">_xlfn.SWITCH(TRUE,F82="T",TEXT($F$1,"00"),AND(F82="",K82&lt;&gt;"TERMINAL"),"00",TRUE,TEXT(HOUR(F82),"00"))</f>
        <v>00</v>
      </c>
      <c r="T82" s="2" t="str" cm="1">
        <f t="array" ref="T82">TEXT(_xlfn.SWITCH(TRUE,F82="T","00",AND(F82="",K82&lt;&gt;"TERMINAL"),"00",TRUE,MINUTE(F82)),"00")</f>
        <v>00</v>
      </c>
      <c r="U82" s="2" t="str" cm="1">
        <f t="array" ref="U82">TEXT(_xlfn.SWITCH(TRUE,F82="T","00",AND(F82="",K82&lt;&gt;"TERMINAL"),"00",TRUE,SECOND(F82)),"00")</f>
        <v>00</v>
      </c>
      <c r="V82" s="2" t="str">
        <f t="shared" si="10"/>
        <v>00</v>
      </c>
      <c r="W82" s="2" t="str" cm="1">
        <f t="array" ref="W82">_xlfn.SWITCH(TRUE,OR(S82=TEXT($B$1,"00"),S82=TEXT($D$1,"00")),"00",AND(T82="00",K82&lt;&gt;"TERMINAL"),TEXT($D$2,"00"),TRUE,T82)</f>
        <v>00</v>
      </c>
      <c r="X82" s="2" t="str" cm="1">
        <f t="array" ref="X82">_xlfn.SWITCH(TRUE,OR(S82=TEXT($B$1,"00"),S82=TEXT($D$1,"00")),"00",AND(U82="00",K82&lt;&gt;"TERMINAL"),TEXT($F$2,"00"),TRUE,U82)</f>
        <v>00</v>
      </c>
      <c r="Y82" s="2" t="str">
        <f t="shared" si="11"/>
        <v>00</v>
      </c>
      <c r="Z82" s="2" t="str">
        <f t="shared" si="14"/>
        <v>FALSE</v>
      </c>
      <c r="AA82" s="2" t="str">
        <f t="shared" si="12"/>
        <v>000000</v>
      </c>
      <c r="AB82" s="2" t="str">
        <f t="shared" si="13"/>
        <v>000000</v>
      </c>
      <c r="AC82" s="2" t="str" cm="1">
        <f t="array" ref="AC82">TEXT($D82,"000")&amp;TEXT(IFERROR(INDEX($D$5:$D$103,_xlfn.AGGREGATE(15,6,ROW($E$5:$E$103)/(($E$5:$E$103&lt;&gt;"p")*($E$5:$E$103&lt;&gt;"t")*(ROW($E$5:$E$103)&gt;ROW($E82))),1)-ROW($E$5)+1),$D82),"000")</f>
        <v>000000</v>
      </c>
      <c r="AD82" s="2" t="str" cm="1">
        <f t="array" ref="AD82">TEXT(_xlfn.XLOOKUP(TRUE, AA83:AA$103&lt;&gt;"250000", AA83:AA$103, "未找到"),"000000")</f>
        <v>000000</v>
      </c>
      <c r="AE82" s="2" t="str" cm="1">
        <f t="array" ref="AE82">_xlfn.SWITCH(TRUE,J82&lt;&gt;"",TEXT(J82,"MMSS"),TRUE,IFERROR(TEXT(E83-F82,"MMSS"),"0000"))</f>
        <v>0000</v>
      </c>
    </row>
    <row r="83" spans="1:31">
      <c r="A83" s="2">
        <v>80</v>
      </c>
      <c r="B83" s="5"/>
      <c r="C83" s="5"/>
      <c r="D83" s="5"/>
      <c r="E83" s="5"/>
      <c r="F83" s="5"/>
      <c r="G83" s="5"/>
      <c r="H83" s="5"/>
      <c r="I83" s="5"/>
      <c r="J83" s="5"/>
      <c r="K83" s="2" t="str">
        <f t="shared" si="8"/>
        <v>terminal</v>
      </c>
      <c r="L83" s="2" t="str" cm="1">
        <f t="array" ref="L83">TEXT(_xlfn.SWITCH(TRUE,E83="P",$B$1,AND(E83="",K83&lt;&gt;"TERMINAL"),$D$1,TRUE,HOUR(E83)),"00")</f>
        <v>00</v>
      </c>
      <c r="M83" s="2" t="str" cm="1">
        <f t="array" ref="M83">TEXT(_xlfn.SWITCH(TRUE,E83="P","00",AND(E83="",K83&lt;&gt;"TERMINAL"),"00",TRUE,MINUTE(E83)),"00")</f>
        <v>00</v>
      </c>
      <c r="N83" s="2" t="str" cm="1">
        <f t="array" ref="N83">TEXT(_xlfn.SWITCH(TRUE,E83="P","00",AND(E83="",K83&lt;&gt;"TERMINAL"),"00",TRUE,SECOND(E83)),"00")</f>
        <v>00</v>
      </c>
      <c r="O83" s="2" t="str" cm="1">
        <f t="array" ref="O83">_xlfn.SWITCH(TRUE,AND(L83="00",K83&lt;&gt;"TERMINAL"),TEXT($B$2,"00"),L83=TEXT($B$1,"00"),TEXT($B$1,"00"),L83=TEXT($D$1,"00"),TEXT($D$1,"00"),TRUE,+L83)</f>
        <v>00</v>
      </c>
      <c r="P83" s="2" t="str" cm="1">
        <f t="array" ref="P83">_xlfn.SWITCH(TRUE,OR(L83=TEXT($B$1,"00"),L83=TEXT($D$1,"00")),"00",AND(M83="00",K83&lt;&gt;"TERMINAL"),TEXT($D$2,"00"),TRUE,M83)</f>
        <v>00</v>
      </c>
      <c r="Q83" s="2" t="str" cm="1">
        <f t="array" ref="Q83">_xlfn.SWITCH(TRUE,OR(L83=TEXT($B$1,"00"),L83=TEXT($D$1,"00")),"00",AND(N83="00",K83&lt;&gt;"TERMINAL"),TEXT($F$2,"00"),TRUE,N83)</f>
        <v>00</v>
      </c>
      <c r="R83" s="2" t="str">
        <f t="shared" si="9"/>
        <v>00</v>
      </c>
      <c r="S83" s="2" t="str" cm="1">
        <f t="array" ref="S83">_xlfn.SWITCH(TRUE,F83="T",TEXT($F$1,"00"),AND(F83="",K83&lt;&gt;"TERMINAL"),"00",TRUE,TEXT(HOUR(F83),"00"))</f>
        <v>00</v>
      </c>
      <c r="T83" s="2" t="str" cm="1">
        <f t="array" ref="T83">TEXT(_xlfn.SWITCH(TRUE,F83="T","00",AND(F83="",K83&lt;&gt;"TERMINAL"),"00",TRUE,MINUTE(F83)),"00")</f>
        <v>00</v>
      </c>
      <c r="U83" s="2" t="str" cm="1">
        <f t="array" ref="U83">TEXT(_xlfn.SWITCH(TRUE,F83="T","00",AND(F83="",K83&lt;&gt;"TERMINAL"),"00",TRUE,SECOND(F83)),"00")</f>
        <v>00</v>
      </c>
      <c r="V83" s="2" t="str">
        <f t="shared" si="10"/>
        <v>00</v>
      </c>
      <c r="W83" s="2" t="str" cm="1">
        <f t="array" ref="W83">_xlfn.SWITCH(TRUE,OR(S83=TEXT($B$1,"00"),S83=TEXT($D$1,"00")),"00",AND(T83="00",K83&lt;&gt;"TERMINAL"),TEXT($D$2,"00"),TRUE,T83)</f>
        <v>00</v>
      </c>
      <c r="X83" s="2" t="str" cm="1">
        <f t="array" ref="X83">_xlfn.SWITCH(TRUE,OR(S83=TEXT($B$1,"00"),S83=TEXT($D$1,"00")),"00",AND(U83="00",K83&lt;&gt;"TERMINAL"),TEXT($F$2,"00"),TRUE,U83)</f>
        <v>00</v>
      </c>
      <c r="Y83" s="2" t="str">
        <f t="shared" si="11"/>
        <v>00</v>
      </c>
      <c r="Z83" s="2" t="str">
        <f t="shared" si="14"/>
        <v>FALSE</v>
      </c>
      <c r="AA83" s="2" t="str">
        <f t="shared" si="12"/>
        <v>000000</v>
      </c>
      <c r="AB83" s="2" t="str">
        <f t="shared" si="13"/>
        <v>000000</v>
      </c>
      <c r="AC83" s="2" t="str" cm="1">
        <f t="array" ref="AC83">TEXT($D83,"000")&amp;TEXT(IFERROR(INDEX($D$5:$D$103,_xlfn.AGGREGATE(15,6,ROW($E$5:$E$103)/(($E$5:$E$103&lt;&gt;"p")*($E$5:$E$103&lt;&gt;"t")*(ROW($E$5:$E$103)&gt;ROW($E83))),1)-ROW($E$5)+1),$D83),"000")</f>
        <v>000000</v>
      </c>
      <c r="AD83" s="2" t="str" cm="1">
        <f t="array" ref="AD83">TEXT(_xlfn.XLOOKUP(TRUE, AA84:AA$103&lt;&gt;"250000", AA84:AA$103, "未找到"),"000000")</f>
        <v>000000</v>
      </c>
      <c r="AE83" s="2" t="str" cm="1">
        <f t="array" ref="AE83">_xlfn.SWITCH(TRUE,J83&lt;&gt;"",TEXT(J83,"MMSS"),TRUE,IFERROR(TEXT(E84-F83,"MMSS"),"0000"))</f>
        <v>0000</v>
      </c>
    </row>
    <row r="84" spans="1:31">
      <c r="A84" s="2">
        <v>81</v>
      </c>
      <c r="B84" s="5"/>
      <c r="C84" s="5"/>
      <c r="D84" s="5"/>
      <c r="E84" s="5"/>
      <c r="F84" s="5"/>
      <c r="G84" s="5"/>
      <c r="H84" s="5"/>
      <c r="I84" s="5"/>
      <c r="J84" s="5"/>
      <c r="K84" s="2" t="str">
        <f t="shared" si="8"/>
        <v>terminal</v>
      </c>
      <c r="L84" s="2" t="str" cm="1">
        <f t="array" ref="L84">TEXT(_xlfn.SWITCH(TRUE,E84="P",$B$1,AND(E84="",K84&lt;&gt;"TERMINAL"),$D$1,TRUE,HOUR(E84)),"00")</f>
        <v>00</v>
      </c>
      <c r="M84" s="2" t="str" cm="1">
        <f t="array" ref="M84">TEXT(_xlfn.SWITCH(TRUE,E84="P","00",AND(E84="",K84&lt;&gt;"TERMINAL"),"00",TRUE,MINUTE(E84)),"00")</f>
        <v>00</v>
      </c>
      <c r="N84" s="2" t="str" cm="1">
        <f t="array" ref="N84">TEXT(_xlfn.SWITCH(TRUE,E84="P","00",AND(E84="",K84&lt;&gt;"TERMINAL"),"00",TRUE,SECOND(E84)),"00")</f>
        <v>00</v>
      </c>
      <c r="O84" s="2" t="str" cm="1">
        <f t="array" ref="O84">_xlfn.SWITCH(TRUE,AND(L84="00",K84&lt;&gt;"TERMINAL"),TEXT($B$2,"00"),L84=TEXT($B$1,"00"),TEXT($B$1,"00"),L84=TEXT($D$1,"00"),TEXT($D$1,"00"),TRUE,+L84)</f>
        <v>00</v>
      </c>
      <c r="P84" s="2" t="str" cm="1">
        <f t="array" ref="P84">_xlfn.SWITCH(TRUE,OR(L84=TEXT($B$1,"00"),L84=TEXT($D$1,"00")),"00",AND(M84="00",K84&lt;&gt;"TERMINAL"),TEXT($D$2,"00"),TRUE,M84)</f>
        <v>00</v>
      </c>
      <c r="Q84" s="2" t="str" cm="1">
        <f t="array" ref="Q84">_xlfn.SWITCH(TRUE,OR(L84=TEXT($B$1,"00"),L84=TEXT($D$1,"00")),"00",AND(N84="00",K84&lt;&gt;"TERMINAL"),TEXT($F$2,"00"),TRUE,N84)</f>
        <v>00</v>
      </c>
      <c r="R84" s="2" t="str">
        <f t="shared" si="9"/>
        <v>00</v>
      </c>
      <c r="S84" s="2" t="str" cm="1">
        <f t="array" ref="S84">_xlfn.SWITCH(TRUE,F84="T",TEXT($F$1,"00"),AND(F84="",K84&lt;&gt;"TERMINAL"),"00",TRUE,TEXT(HOUR(F84),"00"))</f>
        <v>00</v>
      </c>
      <c r="T84" s="2" t="str" cm="1">
        <f t="array" ref="T84">TEXT(_xlfn.SWITCH(TRUE,F84="T","00",AND(F84="",K84&lt;&gt;"TERMINAL"),"00",TRUE,MINUTE(F84)),"00")</f>
        <v>00</v>
      </c>
      <c r="U84" s="2" t="str" cm="1">
        <f t="array" ref="U84">TEXT(_xlfn.SWITCH(TRUE,F84="T","00",AND(F84="",K84&lt;&gt;"TERMINAL"),"00",TRUE,SECOND(F84)),"00")</f>
        <v>00</v>
      </c>
      <c r="V84" s="2" t="str">
        <f t="shared" si="10"/>
        <v>00</v>
      </c>
      <c r="W84" s="2" t="str" cm="1">
        <f t="array" ref="W84">_xlfn.SWITCH(TRUE,OR(S84=TEXT($B$1,"00"),S84=TEXT($D$1,"00")),"00",AND(T84="00",K84&lt;&gt;"TERMINAL"),TEXT($D$2,"00"),TRUE,T84)</f>
        <v>00</v>
      </c>
      <c r="X84" s="2" t="str" cm="1">
        <f t="array" ref="X84">_xlfn.SWITCH(TRUE,OR(S84=TEXT($B$1,"00"),S84=TEXT($D$1,"00")),"00",AND(U84="00",K84&lt;&gt;"TERMINAL"),TEXT($F$2,"00"),TRUE,U84)</f>
        <v>00</v>
      </c>
      <c r="Y84" s="2" t="str">
        <f t="shared" si="11"/>
        <v>00</v>
      </c>
      <c r="Z84" s="2" t="str">
        <f t="shared" si="14"/>
        <v>FALSE</v>
      </c>
      <c r="AA84" s="2" t="str">
        <f t="shared" si="12"/>
        <v>000000</v>
      </c>
      <c r="AB84" s="2" t="str">
        <f t="shared" si="13"/>
        <v>000000</v>
      </c>
      <c r="AC84" s="2" t="str" cm="1">
        <f t="array" ref="AC84">TEXT($D84,"000")&amp;TEXT(IFERROR(INDEX($D$5:$D$103,_xlfn.AGGREGATE(15,6,ROW($E$5:$E$103)/(($E$5:$E$103&lt;&gt;"p")*($E$5:$E$103&lt;&gt;"t")*(ROW($E$5:$E$103)&gt;ROW($E84))),1)-ROW($E$5)+1),$D84),"000")</f>
        <v>000000</v>
      </c>
      <c r="AD84" s="2" t="str" cm="1">
        <f t="array" ref="AD84">TEXT(_xlfn.XLOOKUP(TRUE, AA85:AA$103&lt;&gt;"250000", AA85:AA$103, "未找到"),"000000")</f>
        <v>000000</v>
      </c>
      <c r="AE84" s="2" t="str" cm="1">
        <f t="array" ref="AE84">_xlfn.SWITCH(TRUE,J84&lt;&gt;"",TEXT(J84,"MMSS"),TRUE,IFERROR(TEXT(E85-F84,"MMSS"),"0000"))</f>
        <v>0000</v>
      </c>
    </row>
    <row r="85" spans="1:31">
      <c r="A85" s="2">
        <v>82</v>
      </c>
      <c r="B85" s="5"/>
      <c r="C85" s="5"/>
      <c r="D85" s="5"/>
      <c r="E85" s="5"/>
      <c r="F85" s="5"/>
      <c r="G85" s="5"/>
      <c r="H85" s="5"/>
      <c r="I85" s="5"/>
      <c r="J85" s="5"/>
      <c r="K85" s="2" t="str">
        <f t="shared" si="8"/>
        <v>terminal</v>
      </c>
      <c r="L85" s="2" t="str" cm="1">
        <f t="array" ref="L85">TEXT(_xlfn.SWITCH(TRUE,E85="P",$B$1,AND(E85="",K85&lt;&gt;"TERMINAL"),$D$1,TRUE,HOUR(E85)),"00")</f>
        <v>00</v>
      </c>
      <c r="M85" s="2" t="str" cm="1">
        <f t="array" ref="M85">TEXT(_xlfn.SWITCH(TRUE,E85="P","00",AND(E85="",K85&lt;&gt;"TERMINAL"),"00",TRUE,MINUTE(E85)),"00")</f>
        <v>00</v>
      </c>
      <c r="N85" s="2" t="str" cm="1">
        <f t="array" ref="N85">TEXT(_xlfn.SWITCH(TRUE,E85="P","00",AND(E85="",K85&lt;&gt;"TERMINAL"),"00",TRUE,SECOND(E85)),"00")</f>
        <v>00</v>
      </c>
      <c r="O85" s="2" t="str" cm="1">
        <f t="array" ref="O85">_xlfn.SWITCH(TRUE,AND(L85="00",K85&lt;&gt;"TERMINAL"),TEXT($B$2,"00"),L85=TEXT($B$1,"00"),TEXT($B$1,"00"),L85=TEXT($D$1,"00"),TEXT($D$1,"00"),TRUE,+L85)</f>
        <v>00</v>
      </c>
      <c r="P85" s="2" t="str" cm="1">
        <f t="array" ref="P85">_xlfn.SWITCH(TRUE,OR(L85=TEXT($B$1,"00"),L85=TEXT($D$1,"00")),"00",AND(M85="00",K85&lt;&gt;"TERMINAL"),TEXT($D$2,"00"),TRUE,M85)</f>
        <v>00</v>
      </c>
      <c r="Q85" s="2" t="str" cm="1">
        <f t="array" ref="Q85">_xlfn.SWITCH(TRUE,OR(L85=TEXT($B$1,"00"),L85=TEXT($D$1,"00")),"00",AND(N85="00",K85&lt;&gt;"TERMINAL"),TEXT($F$2,"00"),TRUE,N85)</f>
        <v>00</v>
      </c>
      <c r="R85" s="2" t="str">
        <f t="shared" si="9"/>
        <v>00</v>
      </c>
      <c r="S85" s="2" t="str" cm="1">
        <f t="array" ref="S85">_xlfn.SWITCH(TRUE,F85="T",TEXT($F$1,"00"),AND(F85="",K85&lt;&gt;"TERMINAL"),"00",TRUE,TEXT(HOUR(F85),"00"))</f>
        <v>00</v>
      </c>
      <c r="T85" s="2" t="str" cm="1">
        <f t="array" ref="T85">TEXT(_xlfn.SWITCH(TRUE,F85="T","00",AND(F85="",K85&lt;&gt;"TERMINAL"),"00",TRUE,MINUTE(F85)),"00")</f>
        <v>00</v>
      </c>
      <c r="U85" s="2" t="str" cm="1">
        <f t="array" ref="U85">TEXT(_xlfn.SWITCH(TRUE,F85="T","00",AND(F85="",K85&lt;&gt;"TERMINAL"),"00",TRUE,SECOND(F85)),"00")</f>
        <v>00</v>
      </c>
      <c r="V85" s="2" t="str">
        <f t="shared" si="10"/>
        <v>00</v>
      </c>
      <c r="W85" s="2" t="str" cm="1">
        <f t="array" ref="W85">_xlfn.SWITCH(TRUE,OR(S85=TEXT($B$1,"00"),S85=TEXT($D$1,"00")),"00",AND(T85="00",K85&lt;&gt;"TERMINAL"),TEXT($D$2,"00"),TRUE,T85)</f>
        <v>00</v>
      </c>
      <c r="X85" s="2" t="str" cm="1">
        <f t="array" ref="X85">_xlfn.SWITCH(TRUE,OR(S85=TEXT($B$1,"00"),S85=TEXT($D$1,"00")),"00",AND(U85="00",K85&lt;&gt;"TERMINAL"),TEXT($F$2,"00"),TRUE,U85)</f>
        <v>00</v>
      </c>
      <c r="Y85" s="2" t="str">
        <f t="shared" si="11"/>
        <v>00</v>
      </c>
      <c r="Z85" s="2" t="str">
        <f t="shared" si="14"/>
        <v>FALSE</v>
      </c>
      <c r="AA85" s="2" t="str">
        <f t="shared" si="12"/>
        <v>000000</v>
      </c>
      <c r="AB85" s="2" t="str">
        <f t="shared" si="13"/>
        <v>000000</v>
      </c>
      <c r="AC85" s="2" t="str" cm="1">
        <f t="array" ref="AC85">TEXT($D85,"000")&amp;TEXT(IFERROR(INDEX($D$5:$D$103,_xlfn.AGGREGATE(15,6,ROW($E$5:$E$103)/(($E$5:$E$103&lt;&gt;"p")*($E$5:$E$103&lt;&gt;"t")*(ROW($E$5:$E$103)&gt;ROW($E85))),1)-ROW($E$5)+1),$D85),"000")</f>
        <v>000000</v>
      </c>
      <c r="AD85" s="2" t="str" cm="1">
        <f t="array" ref="AD85">TEXT(_xlfn.XLOOKUP(TRUE, AA86:AA$103&lt;&gt;"250000", AA86:AA$103, "未找到"),"000000")</f>
        <v>000000</v>
      </c>
      <c r="AE85" s="2" t="str" cm="1">
        <f t="array" ref="AE85">_xlfn.SWITCH(TRUE,J85&lt;&gt;"",TEXT(J85,"MMSS"),TRUE,IFERROR(TEXT(E86-F85,"MMSS"),"0000"))</f>
        <v>0000</v>
      </c>
    </row>
    <row r="86" spans="1:31">
      <c r="A86" s="2">
        <v>83</v>
      </c>
      <c r="B86" s="5"/>
      <c r="C86" s="5"/>
      <c r="D86" s="5"/>
      <c r="E86" s="5"/>
      <c r="F86" s="5"/>
      <c r="G86" s="5"/>
      <c r="H86" s="5"/>
      <c r="I86" s="5"/>
      <c r="J86" s="5"/>
      <c r="K86" s="2" t="str">
        <f t="shared" si="8"/>
        <v>terminal</v>
      </c>
      <c r="L86" s="2" t="str" cm="1">
        <f t="array" ref="L86">TEXT(_xlfn.SWITCH(TRUE,E86="P",$B$1,AND(E86="",K86&lt;&gt;"TERMINAL"),$D$1,TRUE,HOUR(E86)),"00")</f>
        <v>00</v>
      </c>
      <c r="M86" s="2" t="str" cm="1">
        <f t="array" ref="M86">TEXT(_xlfn.SWITCH(TRUE,E86="P","00",AND(E86="",K86&lt;&gt;"TERMINAL"),"00",TRUE,MINUTE(E86)),"00")</f>
        <v>00</v>
      </c>
      <c r="N86" s="2" t="str" cm="1">
        <f t="array" ref="N86">TEXT(_xlfn.SWITCH(TRUE,E86="P","00",AND(E86="",K86&lt;&gt;"TERMINAL"),"00",TRUE,SECOND(E86)),"00")</f>
        <v>00</v>
      </c>
      <c r="O86" s="2" t="str" cm="1">
        <f t="array" ref="O86">_xlfn.SWITCH(TRUE,AND(L86="00",K86&lt;&gt;"TERMINAL"),TEXT($B$2,"00"),L86=TEXT($B$1,"00"),TEXT($B$1,"00"),L86=TEXT($D$1,"00"),TEXT($D$1,"00"),TRUE,+L86)</f>
        <v>00</v>
      </c>
      <c r="P86" s="2" t="str" cm="1">
        <f t="array" ref="P86">_xlfn.SWITCH(TRUE,OR(L86=TEXT($B$1,"00"),L86=TEXT($D$1,"00")),"00",AND(M86="00",K86&lt;&gt;"TERMINAL"),TEXT($D$2,"00"),TRUE,M86)</f>
        <v>00</v>
      </c>
      <c r="Q86" s="2" t="str" cm="1">
        <f t="array" ref="Q86">_xlfn.SWITCH(TRUE,OR(L86=TEXT($B$1,"00"),L86=TEXT($D$1,"00")),"00",AND(N86="00",K86&lt;&gt;"TERMINAL"),TEXT($F$2,"00"),TRUE,N86)</f>
        <v>00</v>
      </c>
      <c r="R86" s="2" t="str">
        <f t="shared" si="9"/>
        <v>00</v>
      </c>
      <c r="S86" s="2" t="str" cm="1">
        <f t="array" ref="S86">_xlfn.SWITCH(TRUE,F86="T",TEXT($F$1,"00"),AND(F86="",K86&lt;&gt;"TERMINAL"),"00",TRUE,TEXT(HOUR(F86),"00"))</f>
        <v>00</v>
      </c>
      <c r="T86" s="2" t="str" cm="1">
        <f t="array" ref="T86">TEXT(_xlfn.SWITCH(TRUE,F86="T","00",AND(F86="",K86&lt;&gt;"TERMINAL"),"00",TRUE,MINUTE(F86)),"00")</f>
        <v>00</v>
      </c>
      <c r="U86" s="2" t="str" cm="1">
        <f t="array" ref="U86">TEXT(_xlfn.SWITCH(TRUE,F86="T","00",AND(F86="",K86&lt;&gt;"TERMINAL"),"00",TRUE,SECOND(F86)),"00")</f>
        <v>00</v>
      </c>
      <c r="V86" s="2" t="str">
        <f t="shared" si="10"/>
        <v>00</v>
      </c>
      <c r="W86" s="2" t="str" cm="1">
        <f t="array" ref="W86">_xlfn.SWITCH(TRUE,OR(S86=TEXT($B$1,"00"),S86=TEXT($D$1,"00")),"00",AND(T86="00",K86&lt;&gt;"TERMINAL"),TEXT($D$2,"00"),TRUE,T86)</f>
        <v>00</v>
      </c>
      <c r="X86" s="2" t="str" cm="1">
        <f t="array" ref="X86">_xlfn.SWITCH(TRUE,OR(S86=TEXT($B$1,"00"),S86=TEXT($D$1,"00")),"00",AND(U86="00",K86&lt;&gt;"TERMINAL"),TEXT($F$2,"00"),TRUE,U86)</f>
        <v>00</v>
      </c>
      <c r="Y86" s="2" t="str">
        <f t="shared" si="11"/>
        <v>00</v>
      </c>
      <c r="Z86" s="2" t="str">
        <f t="shared" si="14"/>
        <v>FALSE</v>
      </c>
      <c r="AA86" s="2" t="str">
        <f t="shared" si="12"/>
        <v>000000</v>
      </c>
      <c r="AB86" s="2" t="str">
        <f t="shared" si="13"/>
        <v>000000</v>
      </c>
      <c r="AC86" s="2" t="str" cm="1">
        <f t="array" ref="AC86">TEXT($D86,"000")&amp;TEXT(IFERROR(INDEX($D$5:$D$103,_xlfn.AGGREGATE(15,6,ROW($E$5:$E$103)/(($E$5:$E$103&lt;&gt;"p")*($E$5:$E$103&lt;&gt;"t")*(ROW($E$5:$E$103)&gt;ROW($E86))),1)-ROW($E$5)+1),$D86),"000")</f>
        <v>000000</v>
      </c>
      <c r="AD86" s="2" t="str" cm="1">
        <f t="array" ref="AD86">TEXT(_xlfn.XLOOKUP(TRUE, AA87:AA$103&lt;&gt;"250000", AA87:AA$103, "未找到"),"000000")</f>
        <v>000000</v>
      </c>
      <c r="AE86" s="2" t="str" cm="1">
        <f t="array" ref="AE86">_xlfn.SWITCH(TRUE,J86&lt;&gt;"",TEXT(J86,"MMSS"),TRUE,IFERROR(TEXT(E87-F86,"MMSS"),"0000"))</f>
        <v>0000</v>
      </c>
    </row>
    <row r="87" spans="1:31">
      <c r="A87" s="2">
        <v>84</v>
      </c>
      <c r="B87" s="5"/>
      <c r="C87" s="5"/>
      <c r="D87" s="5"/>
      <c r="E87" s="5"/>
      <c r="F87" s="5"/>
      <c r="G87" s="5"/>
      <c r="H87" s="5"/>
      <c r="I87" s="5"/>
      <c r="J87" s="5"/>
      <c r="K87" s="2" t="str">
        <f t="shared" si="8"/>
        <v>terminal</v>
      </c>
      <c r="L87" s="2" t="str" cm="1">
        <f t="array" ref="L87">TEXT(_xlfn.SWITCH(TRUE,E87="P",$B$1,AND(E87="",K87&lt;&gt;"TERMINAL"),$D$1,TRUE,HOUR(E87)),"00")</f>
        <v>00</v>
      </c>
      <c r="M87" s="2" t="str" cm="1">
        <f t="array" ref="M87">TEXT(_xlfn.SWITCH(TRUE,E87="P","00",AND(E87="",K87&lt;&gt;"TERMINAL"),"00",TRUE,MINUTE(E87)),"00")</f>
        <v>00</v>
      </c>
      <c r="N87" s="2" t="str" cm="1">
        <f t="array" ref="N87">TEXT(_xlfn.SWITCH(TRUE,E87="P","00",AND(E87="",K87&lt;&gt;"TERMINAL"),"00",TRUE,SECOND(E87)),"00")</f>
        <v>00</v>
      </c>
      <c r="O87" s="2" t="str" cm="1">
        <f t="array" ref="O87">_xlfn.SWITCH(TRUE,AND(L87="00",K87&lt;&gt;"TERMINAL"),TEXT($B$2,"00"),L87=TEXT($B$1,"00"),TEXT($B$1,"00"),L87=TEXT($D$1,"00"),TEXT($D$1,"00"),TRUE,+L87)</f>
        <v>00</v>
      </c>
      <c r="P87" s="2" t="str" cm="1">
        <f t="array" ref="P87">_xlfn.SWITCH(TRUE,OR(L87=TEXT($B$1,"00"),L87=TEXT($D$1,"00")),"00",AND(M87="00",K87&lt;&gt;"TERMINAL"),TEXT($D$2,"00"),TRUE,M87)</f>
        <v>00</v>
      </c>
      <c r="Q87" s="2" t="str" cm="1">
        <f t="array" ref="Q87">_xlfn.SWITCH(TRUE,OR(L87=TEXT($B$1,"00"),L87=TEXT($D$1,"00")),"00",AND(N87="00",K87&lt;&gt;"TERMINAL"),TEXT($F$2,"00"),TRUE,N87)</f>
        <v>00</v>
      </c>
      <c r="R87" s="2" t="str">
        <f t="shared" si="9"/>
        <v>00</v>
      </c>
      <c r="S87" s="2" t="str" cm="1">
        <f t="array" ref="S87">_xlfn.SWITCH(TRUE,F87="T",TEXT($F$1,"00"),AND(F87="",K87&lt;&gt;"TERMINAL"),"00",TRUE,TEXT(HOUR(F87),"00"))</f>
        <v>00</v>
      </c>
      <c r="T87" s="2" t="str" cm="1">
        <f t="array" ref="T87">TEXT(_xlfn.SWITCH(TRUE,F87="T","00",AND(F87="",K87&lt;&gt;"TERMINAL"),"00",TRUE,MINUTE(F87)),"00")</f>
        <v>00</v>
      </c>
      <c r="U87" s="2" t="str" cm="1">
        <f t="array" ref="U87">TEXT(_xlfn.SWITCH(TRUE,F87="T","00",AND(F87="",K87&lt;&gt;"TERMINAL"),"00",TRUE,SECOND(F87)),"00")</f>
        <v>00</v>
      </c>
      <c r="V87" s="2" t="str">
        <f t="shared" si="10"/>
        <v>00</v>
      </c>
      <c r="W87" s="2" t="str" cm="1">
        <f t="array" ref="W87">_xlfn.SWITCH(TRUE,OR(S87=TEXT($B$1,"00"),S87=TEXT($D$1,"00")),"00",AND(T87="00",K87&lt;&gt;"TERMINAL"),TEXT($D$2,"00"),TRUE,T87)</f>
        <v>00</v>
      </c>
      <c r="X87" s="2" t="str" cm="1">
        <f t="array" ref="X87">_xlfn.SWITCH(TRUE,OR(S87=TEXT($B$1,"00"),S87=TEXT($D$1,"00")),"00",AND(U87="00",K87&lt;&gt;"TERMINAL"),TEXT($F$2,"00"),TRUE,U87)</f>
        <v>00</v>
      </c>
      <c r="Y87" s="2" t="str">
        <f t="shared" si="11"/>
        <v>00</v>
      </c>
      <c r="Z87" s="2" t="str">
        <f t="shared" si="14"/>
        <v>FALSE</v>
      </c>
      <c r="AA87" s="2" t="str">
        <f t="shared" si="12"/>
        <v>000000</v>
      </c>
      <c r="AB87" s="2" t="str">
        <f t="shared" si="13"/>
        <v>000000</v>
      </c>
      <c r="AC87" s="2" t="str" cm="1">
        <f t="array" ref="AC87">TEXT($D87,"000")&amp;TEXT(IFERROR(INDEX($D$5:$D$103,_xlfn.AGGREGATE(15,6,ROW($E$5:$E$103)/(($E$5:$E$103&lt;&gt;"p")*($E$5:$E$103&lt;&gt;"t")*(ROW($E$5:$E$103)&gt;ROW($E87))),1)-ROW($E$5)+1),$D87),"000")</f>
        <v>000000</v>
      </c>
      <c r="AD87" s="2" t="str" cm="1">
        <f t="array" ref="AD87">TEXT(_xlfn.XLOOKUP(TRUE, AA88:AA$103&lt;&gt;"250000", AA88:AA$103, "未找到"),"000000")</f>
        <v>000000</v>
      </c>
      <c r="AE87" s="2" t="str" cm="1">
        <f t="array" ref="AE87">_xlfn.SWITCH(TRUE,J87&lt;&gt;"",TEXT(J87,"MMSS"),TRUE,IFERROR(TEXT(E88-F87,"MMSS"),"0000"))</f>
        <v>0000</v>
      </c>
    </row>
    <row r="88" spans="1:31">
      <c r="A88" s="2">
        <v>85</v>
      </c>
      <c r="B88" s="5"/>
      <c r="C88" s="5"/>
      <c r="D88" s="5"/>
      <c r="E88" s="5"/>
      <c r="F88" s="5"/>
      <c r="G88" s="5"/>
      <c r="H88" s="5"/>
      <c r="I88" s="5"/>
      <c r="J88" s="5"/>
      <c r="K88" s="2" t="str">
        <f t="shared" si="8"/>
        <v>terminal</v>
      </c>
      <c r="L88" s="2" t="str" cm="1">
        <f t="array" ref="L88">TEXT(_xlfn.SWITCH(TRUE,E88="P",$B$1,AND(E88="",K88&lt;&gt;"TERMINAL"),$D$1,TRUE,HOUR(E88)),"00")</f>
        <v>00</v>
      </c>
      <c r="M88" s="2" t="str" cm="1">
        <f t="array" ref="M88">TEXT(_xlfn.SWITCH(TRUE,E88="P","00",AND(E88="",K88&lt;&gt;"TERMINAL"),"00",TRUE,MINUTE(E88)),"00")</f>
        <v>00</v>
      </c>
      <c r="N88" s="2" t="str" cm="1">
        <f t="array" ref="N88">TEXT(_xlfn.SWITCH(TRUE,E88="P","00",AND(E88="",K88&lt;&gt;"TERMINAL"),"00",TRUE,SECOND(E88)),"00")</f>
        <v>00</v>
      </c>
      <c r="O88" s="2" t="str" cm="1">
        <f t="array" ref="O88">_xlfn.SWITCH(TRUE,AND(L88="00",K88&lt;&gt;"TERMINAL"),TEXT($B$2,"00"),L88=TEXT($B$1,"00"),TEXT($B$1,"00"),L88=TEXT($D$1,"00"),TEXT($D$1,"00"),TRUE,+L88)</f>
        <v>00</v>
      </c>
      <c r="P88" s="2" t="str" cm="1">
        <f t="array" ref="P88">_xlfn.SWITCH(TRUE,OR(L88=TEXT($B$1,"00"),L88=TEXT($D$1,"00")),"00",AND(M88="00",K88&lt;&gt;"TERMINAL"),TEXT($D$2,"00"),TRUE,M88)</f>
        <v>00</v>
      </c>
      <c r="Q88" s="2" t="str" cm="1">
        <f t="array" ref="Q88">_xlfn.SWITCH(TRUE,OR(L88=TEXT($B$1,"00"),L88=TEXT($D$1,"00")),"00",AND(N88="00",K88&lt;&gt;"TERMINAL"),TEXT($F$2,"00"),TRUE,N88)</f>
        <v>00</v>
      </c>
      <c r="R88" s="2" t="str">
        <f t="shared" si="9"/>
        <v>00</v>
      </c>
      <c r="S88" s="2" t="str" cm="1">
        <f t="array" ref="S88">_xlfn.SWITCH(TRUE,F88="T",TEXT($F$1,"00"),AND(F88="",K88&lt;&gt;"TERMINAL"),"00",TRUE,TEXT(HOUR(F88),"00"))</f>
        <v>00</v>
      </c>
      <c r="T88" s="2" t="str" cm="1">
        <f t="array" ref="T88">TEXT(_xlfn.SWITCH(TRUE,F88="T","00",AND(F88="",K88&lt;&gt;"TERMINAL"),"00",TRUE,MINUTE(F88)),"00")</f>
        <v>00</v>
      </c>
      <c r="U88" s="2" t="str" cm="1">
        <f t="array" ref="U88">TEXT(_xlfn.SWITCH(TRUE,F88="T","00",AND(F88="",K88&lt;&gt;"TERMINAL"),"00",TRUE,SECOND(F88)),"00")</f>
        <v>00</v>
      </c>
      <c r="V88" s="2" t="str">
        <f t="shared" si="10"/>
        <v>00</v>
      </c>
      <c r="W88" s="2" t="str" cm="1">
        <f t="array" ref="W88">_xlfn.SWITCH(TRUE,OR(S88=TEXT($B$1,"00"),S88=TEXT($D$1,"00")),"00",AND(T88="00",K88&lt;&gt;"TERMINAL"),TEXT($D$2,"00"),TRUE,T88)</f>
        <v>00</v>
      </c>
      <c r="X88" s="2" t="str" cm="1">
        <f t="array" ref="X88">_xlfn.SWITCH(TRUE,OR(S88=TEXT($B$1,"00"),S88=TEXT($D$1,"00")),"00",AND(U88="00",K88&lt;&gt;"TERMINAL"),TEXT($F$2,"00"),TRUE,U88)</f>
        <v>00</v>
      </c>
      <c r="Y88" s="2" t="str">
        <f t="shared" si="11"/>
        <v>00</v>
      </c>
      <c r="Z88" s="2" t="str">
        <f t="shared" si="14"/>
        <v>FALSE</v>
      </c>
      <c r="AA88" s="2" t="str">
        <f t="shared" si="12"/>
        <v>000000</v>
      </c>
      <c r="AB88" s="2" t="str">
        <f t="shared" si="13"/>
        <v>000000</v>
      </c>
      <c r="AC88" s="2" t="str" cm="1">
        <f t="array" ref="AC88">TEXT($D88,"000")&amp;TEXT(IFERROR(INDEX($D$5:$D$103,_xlfn.AGGREGATE(15,6,ROW($E$5:$E$103)/(($E$5:$E$103&lt;&gt;"p")*($E$5:$E$103&lt;&gt;"t")*(ROW($E$5:$E$103)&gt;ROW($E88))),1)-ROW($E$5)+1),$D88),"000")</f>
        <v>000000</v>
      </c>
      <c r="AD88" s="2" t="str" cm="1">
        <f t="array" ref="AD88">TEXT(_xlfn.XLOOKUP(TRUE, AA89:AA$103&lt;&gt;"250000", AA89:AA$103, "未找到"),"000000")</f>
        <v>000000</v>
      </c>
      <c r="AE88" s="2" t="str" cm="1">
        <f t="array" ref="AE88">_xlfn.SWITCH(TRUE,J88&lt;&gt;"",TEXT(J88,"MMSS"),TRUE,IFERROR(TEXT(E89-F88,"MMSS"),"0000"))</f>
        <v>0000</v>
      </c>
    </row>
    <row r="89" spans="1:31">
      <c r="A89" s="2">
        <v>86</v>
      </c>
      <c r="B89" s="5"/>
      <c r="C89" s="5"/>
      <c r="D89" s="5"/>
      <c r="E89" s="5"/>
      <c r="F89" s="5"/>
      <c r="G89" s="5"/>
      <c r="H89" s="5"/>
      <c r="I89" s="5"/>
      <c r="J89" s="5"/>
      <c r="K89" s="2" t="str">
        <f t="shared" si="8"/>
        <v>terminal</v>
      </c>
      <c r="L89" s="2" t="str" cm="1">
        <f t="array" ref="L89">TEXT(_xlfn.SWITCH(TRUE,E89="P",$B$1,AND(E89="",K89&lt;&gt;"TERMINAL"),$D$1,TRUE,HOUR(E89)),"00")</f>
        <v>00</v>
      </c>
      <c r="M89" s="2" t="str" cm="1">
        <f t="array" ref="M89">TEXT(_xlfn.SWITCH(TRUE,E89="P","00",AND(E89="",K89&lt;&gt;"TERMINAL"),"00",TRUE,MINUTE(E89)),"00")</f>
        <v>00</v>
      </c>
      <c r="N89" s="2" t="str" cm="1">
        <f t="array" ref="N89">TEXT(_xlfn.SWITCH(TRUE,E89="P","00",AND(E89="",K89&lt;&gt;"TERMINAL"),"00",TRUE,SECOND(E89)),"00")</f>
        <v>00</v>
      </c>
      <c r="O89" s="2" t="str" cm="1">
        <f t="array" ref="O89">_xlfn.SWITCH(TRUE,AND(L89="00",K89&lt;&gt;"TERMINAL"),TEXT($B$2,"00"),L89=TEXT($B$1,"00"),TEXT($B$1,"00"),L89=TEXT($D$1,"00"),TEXT($D$1,"00"),TRUE,+L89)</f>
        <v>00</v>
      </c>
      <c r="P89" s="2" t="str" cm="1">
        <f t="array" ref="P89">_xlfn.SWITCH(TRUE,OR(L89=TEXT($B$1,"00"),L89=TEXT($D$1,"00")),"00",AND(M89="00",K89&lt;&gt;"TERMINAL"),TEXT($D$2,"00"),TRUE,M89)</f>
        <v>00</v>
      </c>
      <c r="Q89" s="2" t="str" cm="1">
        <f t="array" ref="Q89">_xlfn.SWITCH(TRUE,OR(L89=TEXT($B$1,"00"),L89=TEXT($D$1,"00")),"00",AND(N89="00",K89&lt;&gt;"TERMINAL"),TEXT($F$2,"00"),TRUE,N89)</f>
        <v>00</v>
      </c>
      <c r="R89" s="2" t="str">
        <f t="shared" si="9"/>
        <v>00</v>
      </c>
      <c r="S89" s="2" t="str" cm="1">
        <f t="array" ref="S89">_xlfn.SWITCH(TRUE,F89="T",TEXT($F$1,"00"),AND(F89="",K89&lt;&gt;"TERMINAL"),"00",TRUE,TEXT(HOUR(F89),"00"))</f>
        <v>00</v>
      </c>
      <c r="T89" s="2" t="str" cm="1">
        <f t="array" ref="T89">TEXT(_xlfn.SWITCH(TRUE,F89="T","00",AND(F89="",K89&lt;&gt;"TERMINAL"),"00",TRUE,MINUTE(F89)),"00")</f>
        <v>00</v>
      </c>
      <c r="U89" s="2" t="str" cm="1">
        <f t="array" ref="U89">TEXT(_xlfn.SWITCH(TRUE,F89="T","00",AND(F89="",K89&lt;&gt;"TERMINAL"),"00",TRUE,SECOND(F89)),"00")</f>
        <v>00</v>
      </c>
      <c r="V89" s="2" t="str">
        <f t="shared" si="10"/>
        <v>00</v>
      </c>
      <c r="W89" s="2" t="str" cm="1">
        <f t="array" ref="W89">_xlfn.SWITCH(TRUE,OR(S89=TEXT($B$1,"00"),S89=TEXT($D$1,"00")),"00",AND(T89="00",K89&lt;&gt;"TERMINAL"),TEXT($D$2,"00"),TRUE,T89)</f>
        <v>00</v>
      </c>
      <c r="X89" s="2" t="str" cm="1">
        <f t="array" ref="X89">_xlfn.SWITCH(TRUE,OR(S89=TEXT($B$1,"00"),S89=TEXT($D$1,"00")),"00",AND(U89="00",K89&lt;&gt;"TERMINAL"),TEXT($F$2,"00"),TRUE,U89)</f>
        <v>00</v>
      </c>
      <c r="Y89" s="2" t="str">
        <f t="shared" si="11"/>
        <v>00</v>
      </c>
      <c r="Z89" s="2" t="str">
        <f t="shared" si="14"/>
        <v>FALSE</v>
      </c>
      <c r="AA89" s="2" t="str">
        <f t="shared" si="12"/>
        <v>000000</v>
      </c>
      <c r="AB89" s="2" t="str">
        <f t="shared" si="13"/>
        <v>000000</v>
      </c>
      <c r="AC89" s="2" t="str" cm="1">
        <f t="array" ref="AC89">TEXT($D89,"000")&amp;TEXT(IFERROR(INDEX($D$5:$D$103,_xlfn.AGGREGATE(15,6,ROW($E$5:$E$103)/(($E$5:$E$103&lt;&gt;"p")*($E$5:$E$103&lt;&gt;"t")*(ROW($E$5:$E$103)&gt;ROW($E89))),1)-ROW($E$5)+1),$D89),"000")</f>
        <v>000000</v>
      </c>
      <c r="AD89" s="2" t="str" cm="1">
        <f t="array" ref="AD89">TEXT(_xlfn.XLOOKUP(TRUE, AA90:AA$103&lt;&gt;"250000", AA90:AA$103, "未找到"),"000000")</f>
        <v>000000</v>
      </c>
      <c r="AE89" s="2" t="str" cm="1">
        <f t="array" ref="AE89">_xlfn.SWITCH(TRUE,J89&lt;&gt;"",TEXT(J89,"MMSS"),TRUE,IFERROR(TEXT(E90-F89,"MMSS"),"0000"))</f>
        <v>0000</v>
      </c>
    </row>
    <row r="90" spans="1:31">
      <c r="A90" s="2">
        <v>87</v>
      </c>
      <c r="B90" s="5"/>
      <c r="C90" s="5"/>
      <c r="D90" s="5"/>
      <c r="E90" s="5"/>
      <c r="F90" s="5"/>
      <c r="G90" s="5"/>
      <c r="H90" s="5"/>
      <c r="I90" s="5"/>
      <c r="J90" s="5"/>
      <c r="K90" s="2" t="str">
        <f t="shared" si="8"/>
        <v>terminal</v>
      </c>
      <c r="L90" s="2" t="str" cm="1">
        <f t="array" ref="L90">TEXT(_xlfn.SWITCH(TRUE,E90="P",$B$1,AND(E90="",K90&lt;&gt;"TERMINAL"),$D$1,TRUE,HOUR(E90)),"00")</f>
        <v>00</v>
      </c>
      <c r="M90" s="2" t="str" cm="1">
        <f t="array" ref="M90">TEXT(_xlfn.SWITCH(TRUE,E90="P","00",AND(E90="",K90&lt;&gt;"TERMINAL"),"00",TRUE,MINUTE(E90)),"00")</f>
        <v>00</v>
      </c>
      <c r="N90" s="2" t="str" cm="1">
        <f t="array" ref="N90">TEXT(_xlfn.SWITCH(TRUE,E90="P","00",AND(E90="",K90&lt;&gt;"TERMINAL"),"00",TRUE,SECOND(E90)),"00")</f>
        <v>00</v>
      </c>
      <c r="O90" s="2" t="str" cm="1">
        <f t="array" ref="O90">_xlfn.SWITCH(TRUE,AND(L90="00",K90&lt;&gt;"TERMINAL"),TEXT($B$2,"00"),L90=TEXT($B$1,"00"),TEXT($B$1,"00"),L90=TEXT($D$1,"00"),TEXT($D$1,"00"),TRUE,+L90)</f>
        <v>00</v>
      </c>
      <c r="P90" s="2" t="str" cm="1">
        <f t="array" ref="P90">_xlfn.SWITCH(TRUE,OR(L90=TEXT($B$1,"00"),L90=TEXT($D$1,"00")),"00",AND(M90="00",K90&lt;&gt;"TERMINAL"),TEXT($D$2,"00"),TRUE,M90)</f>
        <v>00</v>
      </c>
      <c r="Q90" s="2" t="str" cm="1">
        <f t="array" ref="Q90">_xlfn.SWITCH(TRUE,OR(L90=TEXT($B$1,"00"),L90=TEXT($D$1,"00")),"00",AND(N90="00",K90&lt;&gt;"TERMINAL"),TEXT($F$2,"00"),TRUE,N90)</f>
        <v>00</v>
      </c>
      <c r="R90" s="2" t="str">
        <f t="shared" si="9"/>
        <v>00</v>
      </c>
      <c r="S90" s="2" t="str" cm="1">
        <f t="array" ref="S90">_xlfn.SWITCH(TRUE,F90="T",TEXT($F$1,"00"),AND(F90="",K90&lt;&gt;"TERMINAL"),"00",TRUE,TEXT(HOUR(F90),"00"))</f>
        <v>00</v>
      </c>
      <c r="T90" s="2" t="str" cm="1">
        <f t="array" ref="T90">TEXT(_xlfn.SWITCH(TRUE,F90="T","00",AND(F90="",K90&lt;&gt;"TERMINAL"),"00",TRUE,MINUTE(F90)),"00")</f>
        <v>00</v>
      </c>
      <c r="U90" s="2" t="str" cm="1">
        <f t="array" ref="U90">TEXT(_xlfn.SWITCH(TRUE,F90="T","00",AND(F90="",K90&lt;&gt;"TERMINAL"),"00",TRUE,SECOND(F90)),"00")</f>
        <v>00</v>
      </c>
      <c r="V90" s="2" t="str">
        <f t="shared" si="10"/>
        <v>00</v>
      </c>
      <c r="W90" s="2" t="str" cm="1">
        <f t="array" ref="W90">_xlfn.SWITCH(TRUE,OR(S90=TEXT($B$1,"00"),S90=TEXT($D$1,"00")),"00",AND(T90="00",K90&lt;&gt;"TERMINAL"),TEXT($D$2,"00"),TRUE,T90)</f>
        <v>00</v>
      </c>
      <c r="X90" s="2" t="str" cm="1">
        <f t="array" ref="X90">_xlfn.SWITCH(TRUE,OR(S90=TEXT($B$1,"00"),S90=TEXT($D$1,"00")),"00",AND(U90="00",K90&lt;&gt;"TERMINAL"),TEXT($F$2,"00"),TRUE,U90)</f>
        <v>00</v>
      </c>
      <c r="Y90" s="2" t="str">
        <f t="shared" si="11"/>
        <v>00</v>
      </c>
      <c r="Z90" s="2" t="str">
        <f t="shared" si="14"/>
        <v>FALSE</v>
      </c>
      <c r="AA90" s="2" t="str">
        <f t="shared" si="12"/>
        <v>000000</v>
      </c>
      <c r="AB90" s="2" t="str">
        <f t="shared" si="13"/>
        <v>000000</v>
      </c>
      <c r="AC90" s="2" t="str" cm="1">
        <f t="array" ref="AC90">TEXT($D90,"000")&amp;TEXT(IFERROR(INDEX($D$5:$D$103,_xlfn.AGGREGATE(15,6,ROW($E$5:$E$103)/(($E$5:$E$103&lt;&gt;"p")*($E$5:$E$103&lt;&gt;"t")*(ROW($E$5:$E$103)&gt;ROW($E90))),1)-ROW($E$5)+1),$D90),"000")</f>
        <v>000000</v>
      </c>
      <c r="AD90" s="2" t="str" cm="1">
        <f t="array" ref="AD90">TEXT(_xlfn.XLOOKUP(TRUE, AA91:AA$103&lt;&gt;"250000", AA91:AA$103, "未找到"),"000000")</f>
        <v>000000</v>
      </c>
      <c r="AE90" s="2" t="str" cm="1">
        <f t="array" ref="AE90">_xlfn.SWITCH(TRUE,J90&lt;&gt;"",TEXT(J90,"MMSS"),TRUE,IFERROR(TEXT(E91-F90,"MMSS"),"0000"))</f>
        <v>0000</v>
      </c>
    </row>
    <row r="91" spans="1:31">
      <c r="A91" s="2">
        <v>88</v>
      </c>
      <c r="B91" s="5"/>
      <c r="C91" s="5"/>
      <c r="D91" s="5"/>
      <c r="E91" s="5"/>
      <c r="F91" s="5"/>
      <c r="G91" s="5"/>
      <c r="H91" s="5"/>
      <c r="I91" s="5"/>
      <c r="J91" s="5"/>
      <c r="K91" s="2" t="str">
        <f t="shared" si="8"/>
        <v>terminal</v>
      </c>
      <c r="L91" s="2" t="str" cm="1">
        <f t="array" ref="L91">TEXT(_xlfn.SWITCH(TRUE,E91="P",$B$1,AND(E91="",K91&lt;&gt;"TERMINAL"),$D$1,TRUE,HOUR(E91)),"00")</f>
        <v>00</v>
      </c>
      <c r="M91" s="2" t="str" cm="1">
        <f t="array" ref="M91">TEXT(_xlfn.SWITCH(TRUE,E91="P","00",AND(E91="",K91&lt;&gt;"TERMINAL"),"00",TRUE,MINUTE(E91)),"00")</f>
        <v>00</v>
      </c>
      <c r="N91" s="2" t="str" cm="1">
        <f t="array" ref="N91">TEXT(_xlfn.SWITCH(TRUE,E91="P","00",AND(E91="",K91&lt;&gt;"TERMINAL"),"00",TRUE,SECOND(E91)),"00")</f>
        <v>00</v>
      </c>
      <c r="O91" s="2" t="str" cm="1">
        <f t="array" ref="O91">_xlfn.SWITCH(TRUE,AND(L91="00",K91&lt;&gt;"TERMINAL"),TEXT($B$2,"00"),L91=TEXT($B$1,"00"),TEXT($B$1,"00"),L91=TEXT($D$1,"00"),TEXT($D$1,"00"),TRUE,+L91)</f>
        <v>00</v>
      </c>
      <c r="P91" s="2" t="str" cm="1">
        <f t="array" ref="P91">_xlfn.SWITCH(TRUE,OR(L91=TEXT($B$1,"00"),L91=TEXT($D$1,"00")),"00",AND(M91="00",K91&lt;&gt;"TERMINAL"),TEXT($D$2,"00"),TRUE,M91)</f>
        <v>00</v>
      </c>
      <c r="Q91" s="2" t="str" cm="1">
        <f t="array" ref="Q91">_xlfn.SWITCH(TRUE,OR(L91=TEXT($B$1,"00"),L91=TEXT($D$1,"00")),"00",AND(N91="00",K91&lt;&gt;"TERMINAL"),TEXT($F$2,"00"),TRUE,N91)</f>
        <v>00</v>
      </c>
      <c r="R91" s="2" t="str">
        <f t="shared" si="9"/>
        <v>00</v>
      </c>
      <c r="S91" s="2" t="str" cm="1">
        <f t="array" ref="S91">_xlfn.SWITCH(TRUE,F91="T",TEXT($F$1,"00"),AND(F91="",K91&lt;&gt;"TERMINAL"),"00",TRUE,TEXT(HOUR(F91),"00"))</f>
        <v>00</v>
      </c>
      <c r="T91" s="2" t="str" cm="1">
        <f t="array" ref="T91">TEXT(_xlfn.SWITCH(TRUE,F91="T","00",AND(F91="",K91&lt;&gt;"TERMINAL"),"00",TRUE,MINUTE(F91)),"00")</f>
        <v>00</v>
      </c>
      <c r="U91" s="2" t="str" cm="1">
        <f t="array" ref="U91">TEXT(_xlfn.SWITCH(TRUE,F91="T","00",AND(F91="",K91&lt;&gt;"TERMINAL"),"00",TRUE,SECOND(F91)),"00")</f>
        <v>00</v>
      </c>
      <c r="V91" s="2" t="str">
        <f t="shared" si="10"/>
        <v>00</v>
      </c>
      <c r="W91" s="2" t="str" cm="1">
        <f t="array" ref="W91">_xlfn.SWITCH(TRUE,OR(S91=TEXT($B$1,"00"),S91=TEXT($D$1,"00")),"00",AND(T91="00",K91&lt;&gt;"TERMINAL"),TEXT($D$2,"00"),TRUE,T91)</f>
        <v>00</v>
      </c>
      <c r="X91" s="2" t="str" cm="1">
        <f t="array" ref="X91">_xlfn.SWITCH(TRUE,OR(S91=TEXT($B$1,"00"),S91=TEXT($D$1,"00")),"00",AND(U91="00",K91&lt;&gt;"TERMINAL"),TEXT($F$2,"00"),TRUE,U91)</f>
        <v>00</v>
      </c>
      <c r="Y91" s="2" t="str">
        <f t="shared" si="11"/>
        <v>00</v>
      </c>
      <c r="Z91" s="2" t="str">
        <f t="shared" si="14"/>
        <v>FALSE</v>
      </c>
      <c r="AA91" s="2" t="str">
        <f t="shared" si="12"/>
        <v>000000</v>
      </c>
      <c r="AB91" s="2" t="str">
        <f t="shared" si="13"/>
        <v>000000</v>
      </c>
      <c r="AC91" s="2" t="str" cm="1">
        <f t="array" ref="AC91">TEXT($D91,"000")&amp;TEXT(IFERROR(INDEX($D$5:$D$103,_xlfn.AGGREGATE(15,6,ROW($E$5:$E$103)/(($E$5:$E$103&lt;&gt;"p")*($E$5:$E$103&lt;&gt;"t")*(ROW($E$5:$E$103)&gt;ROW($E91))),1)-ROW($E$5)+1),$D91),"000")</f>
        <v>000000</v>
      </c>
      <c r="AD91" s="2" t="str" cm="1">
        <f t="array" ref="AD91">TEXT(_xlfn.XLOOKUP(TRUE, AA92:AA$103&lt;&gt;"250000", AA92:AA$103, "未找到"),"000000")</f>
        <v>000000</v>
      </c>
      <c r="AE91" s="2" t="str" cm="1">
        <f t="array" ref="AE91">_xlfn.SWITCH(TRUE,J91&lt;&gt;"",TEXT(J91,"MMSS"),TRUE,IFERROR(TEXT(E92-F91,"MMSS"),"0000"))</f>
        <v>0000</v>
      </c>
    </row>
    <row r="92" spans="1:31">
      <c r="A92" s="2">
        <v>89</v>
      </c>
      <c r="B92" s="5"/>
      <c r="C92" s="5"/>
      <c r="D92" s="5"/>
      <c r="E92" s="5"/>
      <c r="F92" s="5"/>
      <c r="G92" s="5"/>
      <c r="H92" s="5"/>
      <c r="I92" s="5"/>
      <c r="J92" s="5"/>
      <c r="K92" s="2" t="str">
        <f t="shared" si="8"/>
        <v>terminal</v>
      </c>
      <c r="L92" s="2" t="str" cm="1">
        <f t="array" ref="L92">TEXT(_xlfn.SWITCH(TRUE,E92="P",$B$1,AND(E92="",K92&lt;&gt;"TERMINAL"),$D$1,TRUE,HOUR(E92)),"00")</f>
        <v>00</v>
      </c>
      <c r="M92" s="2" t="str" cm="1">
        <f t="array" ref="M92">TEXT(_xlfn.SWITCH(TRUE,E92="P","00",AND(E92="",K92&lt;&gt;"TERMINAL"),"00",TRUE,MINUTE(E92)),"00")</f>
        <v>00</v>
      </c>
      <c r="N92" s="2" t="str" cm="1">
        <f t="array" ref="N92">TEXT(_xlfn.SWITCH(TRUE,E92="P","00",AND(E92="",K92&lt;&gt;"TERMINAL"),"00",TRUE,SECOND(E92)),"00")</f>
        <v>00</v>
      </c>
      <c r="O92" s="2" t="str" cm="1">
        <f t="array" ref="O92">_xlfn.SWITCH(TRUE,AND(L92="00",K92&lt;&gt;"TERMINAL"),TEXT($B$2,"00"),L92=TEXT($B$1,"00"),TEXT($B$1,"00"),L92=TEXT($D$1,"00"),TEXT($D$1,"00"),TRUE,+L92)</f>
        <v>00</v>
      </c>
      <c r="P92" s="2" t="str" cm="1">
        <f t="array" ref="P92">_xlfn.SWITCH(TRUE,OR(L92=TEXT($B$1,"00"),L92=TEXT($D$1,"00")),"00",AND(M92="00",K92&lt;&gt;"TERMINAL"),TEXT($D$2,"00"),TRUE,M92)</f>
        <v>00</v>
      </c>
      <c r="Q92" s="2" t="str" cm="1">
        <f t="array" ref="Q92">_xlfn.SWITCH(TRUE,OR(L92=TEXT($B$1,"00"),L92=TEXT($D$1,"00")),"00",AND(N92="00",K92&lt;&gt;"TERMINAL"),TEXT($F$2,"00"),TRUE,N92)</f>
        <v>00</v>
      </c>
      <c r="R92" s="2" t="str">
        <f t="shared" si="9"/>
        <v>00</v>
      </c>
      <c r="S92" s="2" t="str" cm="1">
        <f t="array" ref="S92">_xlfn.SWITCH(TRUE,F92="T",TEXT($F$1,"00"),AND(F92="",K92&lt;&gt;"TERMINAL"),"00",TRUE,TEXT(HOUR(F92),"00"))</f>
        <v>00</v>
      </c>
      <c r="T92" s="2" t="str" cm="1">
        <f t="array" ref="T92">TEXT(_xlfn.SWITCH(TRUE,F92="T","00",AND(F92="",K92&lt;&gt;"TERMINAL"),"00",TRUE,MINUTE(F92)),"00")</f>
        <v>00</v>
      </c>
      <c r="U92" s="2" t="str" cm="1">
        <f t="array" ref="U92">TEXT(_xlfn.SWITCH(TRUE,F92="T","00",AND(F92="",K92&lt;&gt;"TERMINAL"),"00",TRUE,SECOND(F92)),"00")</f>
        <v>00</v>
      </c>
      <c r="V92" s="2" t="str">
        <f t="shared" si="10"/>
        <v>00</v>
      </c>
      <c r="W92" s="2" t="str" cm="1">
        <f t="array" ref="W92">_xlfn.SWITCH(TRUE,OR(S92=TEXT($B$1,"00"),S92=TEXT($D$1,"00")),"00",AND(T92="00",K92&lt;&gt;"TERMINAL"),TEXT($D$2,"00"),TRUE,T92)</f>
        <v>00</v>
      </c>
      <c r="X92" s="2" t="str" cm="1">
        <f t="array" ref="X92">_xlfn.SWITCH(TRUE,OR(S92=TEXT($B$1,"00"),S92=TEXT($D$1,"00")),"00",AND(U92="00",K92&lt;&gt;"TERMINAL"),TEXT($F$2,"00"),TRUE,U92)</f>
        <v>00</v>
      </c>
      <c r="Y92" s="2" t="str">
        <f t="shared" si="11"/>
        <v>00</v>
      </c>
      <c r="Z92" s="2" t="str">
        <f t="shared" si="14"/>
        <v>FALSE</v>
      </c>
      <c r="AA92" s="2" t="str">
        <f t="shared" si="12"/>
        <v>000000</v>
      </c>
      <c r="AB92" s="2" t="str">
        <f t="shared" si="13"/>
        <v>000000</v>
      </c>
      <c r="AC92" s="2" t="str" cm="1">
        <f t="array" ref="AC92">TEXT($D92,"000")&amp;TEXT(IFERROR(INDEX($D$5:$D$103,_xlfn.AGGREGATE(15,6,ROW($E$5:$E$103)/(($E$5:$E$103&lt;&gt;"p")*($E$5:$E$103&lt;&gt;"t")*(ROW($E$5:$E$103)&gt;ROW($E92))),1)-ROW($E$5)+1),$D92),"000")</f>
        <v>000000</v>
      </c>
      <c r="AD92" s="2" t="str" cm="1">
        <f t="array" ref="AD92">TEXT(_xlfn.XLOOKUP(TRUE, AA93:AA$103&lt;&gt;"250000", AA93:AA$103, "未找到"),"000000")</f>
        <v>000000</v>
      </c>
      <c r="AE92" s="2" t="str" cm="1">
        <f t="array" ref="AE92">_xlfn.SWITCH(TRUE,J92&lt;&gt;"",TEXT(J92,"MMSS"),TRUE,IFERROR(TEXT(E93-F92,"MMSS"),"0000"))</f>
        <v>0000</v>
      </c>
    </row>
    <row r="93" spans="1:31">
      <c r="A93" s="2">
        <v>90</v>
      </c>
      <c r="B93" s="5"/>
      <c r="C93" s="5"/>
      <c r="D93" s="5"/>
      <c r="E93" s="5"/>
      <c r="F93" s="5"/>
      <c r="G93" s="5"/>
      <c r="H93" s="5"/>
      <c r="I93" s="5"/>
      <c r="J93" s="5"/>
      <c r="K93" s="2" t="str">
        <f t="shared" si="8"/>
        <v>terminal</v>
      </c>
      <c r="L93" s="2" t="str" cm="1">
        <f t="array" ref="L93">TEXT(_xlfn.SWITCH(TRUE,E93="P",$B$1,AND(E93="",K93&lt;&gt;"TERMINAL"),$D$1,TRUE,HOUR(E93)),"00")</f>
        <v>00</v>
      </c>
      <c r="M93" s="2" t="str" cm="1">
        <f t="array" ref="M93">TEXT(_xlfn.SWITCH(TRUE,E93="P","00",AND(E93="",K93&lt;&gt;"TERMINAL"),"00",TRUE,MINUTE(E93)),"00")</f>
        <v>00</v>
      </c>
      <c r="N93" s="2" t="str" cm="1">
        <f t="array" ref="N93">TEXT(_xlfn.SWITCH(TRUE,E93="P","00",AND(E93="",K93&lt;&gt;"TERMINAL"),"00",TRUE,SECOND(E93)),"00")</f>
        <v>00</v>
      </c>
      <c r="O93" s="2" t="str" cm="1">
        <f t="array" ref="O93">_xlfn.SWITCH(TRUE,AND(L93="00",K93&lt;&gt;"TERMINAL"),TEXT($B$2,"00"),L93=TEXT($B$1,"00"),TEXT($B$1,"00"),L93=TEXT($D$1,"00"),TEXT($D$1,"00"),TRUE,+L93)</f>
        <v>00</v>
      </c>
      <c r="P93" s="2" t="str" cm="1">
        <f t="array" ref="P93">_xlfn.SWITCH(TRUE,OR(L93=TEXT($B$1,"00"),L93=TEXT($D$1,"00")),"00",AND(M93="00",K93&lt;&gt;"TERMINAL"),TEXT($D$2,"00"),TRUE,M93)</f>
        <v>00</v>
      </c>
      <c r="Q93" s="2" t="str" cm="1">
        <f t="array" ref="Q93">_xlfn.SWITCH(TRUE,OR(L93=TEXT($B$1,"00"),L93=TEXT($D$1,"00")),"00",AND(N93="00",K93&lt;&gt;"TERMINAL"),TEXT($F$2,"00"),TRUE,N93)</f>
        <v>00</v>
      </c>
      <c r="R93" s="2" t="str">
        <f t="shared" si="9"/>
        <v>00</v>
      </c>
      <c r="S93" s="2" t="str" cm="1">
        <f t="array" ref="S93">_xlfn.SWITCH(TRUE,F93="T",TEXT($F$1,"00"),AND(F93="",K93&lt;&gt;"TERMINAL"),"00",TRUE,TEXT(HOUR(F93),"00"))</f>
        <v>00</v>
      </c>
      <c r="T93" s="2" t="str" cm="1">
        <f t="array" ref="T93">TEXT(_xlfn.SWITCH(TRUE,F93="T","00",AND(F93="",K93&lt;&gt;"TERMINAL"),"00",TRUE,MINUTE(F93)),"00")</f>
        <v>00</v>
      </c>
      <c r="U93" s="2" t="str" cm="1">
        <f t="array" ref="U93">TEXT(_xlfn.SWITCH(TRUE,F93="T","00",AND(F93="",K93&lt;&gt;"TERMINAL"),"00",TRUE,SECOND(F93)),"00")</f>
        <v>00</v>
      </c>
      <c r="V93" s="2" t="str">
        <f t="shared" si="10"/>
        <v>00</v>
      </c>
      <c r="W93" s="2" t="str" cm="1">
        <f t="array" ref="W93">_xlfn.SWITCH(TRUE,OR(S93=TEXT($B$1,"00"),S93=TEXT($D$1,"00")),"00",AND(T93="00",K93&lt;&gt;"TERMINAL"),TEXT($D$2,"00"),TRUE,T93)</f>
        <v>00</v>
      </c>
      <c r="X93" s="2" t="str" cm="1">
        <f t="array" ref="X93">_xlfn.SWITCH(TRUE,OR(S93=TEXT($B$1,"00"),S93=TEXT($D$1,"00")),"00",AND(U93="00",K93&lt;&gt;"TERMINAL"),TEXT($F$2,"00"),TRUE,U93)</f>
        <v>00</v>
      </c>
      <c r="Y93" s="2" t="str">
        <f t="shared" si="11"/>
        <v>00</v>
      </c>
      <c r="Z93" s="2" t="str">
        <f t="shared" si="14"/>
        <v>FALSE</v>
      </c>
      <c r="AA93" s="2" t="str">
        <f t="shared" si="12"/>
        <v>000000</v>
      </c>
      <c r="AB93" s="2" t="str">
        <f t="shared" si="13"/>
        <v>000000</v>
      </c>
      <c r="AC93" s="2" t="str" cm="1">
        <f t="array" ref="AC93">TEXT($D93,"000")&amp;TEXT(IFERROR(INDEX($D$5:$D$103,_xlfn.AGGREGATE(15,6,ROW($E$5:$E$103)/(($E$5:$E$103&lt;&gt;"p")*($E$5:$E$103&lt;&gt;"t")*(ROW($E$5:$E$103)&gt;ROW($E93))),1)-ROW($E$5)+1),$D93),"000")</f>
        <v>000000</v>
      </c>
      <c r="AD93" s="2" t="str" cm="1">
        <f t="array" ref="AD93">TEXT(_xlfn.XLOOKUP(TRUE, AA94:AA$103&lt;&gt;"250000", AA94:AA$103, "未找到"),"000000")</f>
        <v>000000</v>
      </c>
      <c r="AE93" s="2" t="str" cm="1">
        <f t="array" ref="AE93">_xlfn.SWITCH(TRUE,J93&lt;&gt;"",TEXT(J93,"MMSS"),TRUE,IFERROR(TEXT(E94-F93,"MMSS"),"0000"))</f>
        <v>0000</v>
      </c>
    </row>
    <row r="94" spans="1:31">
      <c r="A94" s="2">
        <v>91</v>
      </c>
      <c r="B94" s="5"/>
      <c r="C94" s="5"/>
      <c r="D94" s="5"/>
      <c r="E94" s="5"/>
      <c r="F94" s="5"/>
      <c r="G94" s="5"/>
      <c r="H94" s="5"/>
      <c r="I94" s="5"/>
      <c r="J94" s="5"/>
      <c r="K94" s="2" t="str">
        <f t="shared" si="8"/>
        <v>terminal</v>
      </c>
      <c r="L94" s="2" t="str" cm="1">
        <f t="array" ref="L94">TEXT(_xlfn.SWITCH(TRUE,E94="P",$B$1,AND(E94="",K94&lt;&gt;"TERMINAL"),$D$1,TRUE,HOUR(E94)),"00")</f>
        <v>00</v>
      </c>
      <c r="M94" s="2" t="str" cm="1">
        <f t="array" ref="M94">TEXT(_xlfn.SWITCH(TRUE,E94="P","00",AND(E94="",K94&lt;&gt;"TERMINAL"),"00",TRUE,MINUTE(E94)),"00")</f>
        <v>00</v>
      </c>
      <c r="N94" s="2" t="str" cm="1">
        <f t="array" ref="N94">TEXT(_xlfn.SWITCH(TRUE,E94="P","00",AND(E94="",K94&lt;&gt;"TERMINAL"),"00",TRUE,SECOND(E94)),"00")</f>
        <v>00</v>
      </c>
      <c r="O94" s="2" t="str" cm="1">
        <f t="array" ref="O94">_xlfn.SWITCH(TRUE,AND(L94="00",K94&lt;&gt;"TERMINAL"),TEXT($B$2,"00"),L94=TEXT($B$1,"00"),TEXT($B$1,"00"),L94=TEXT($D$1,"00"),TEXT($D$1,"00"),TRUE,+L94)</f>
        <v>00</v>
      </c>
      <c r="P94" s="2" t="str" cm="1">
        <f t="array" ref="P94">_xlfn.SWITCH(TRUE,OR(L94=TEXT($B$1,"00"),L94=TEXT($D$1,"00")),"00",AND(M94="00",K94&lt;&gt;"TERMINAL"),TEXT($D$2,"00"),TRUE,M94)</f>
        <v>00</v>
      </c>
      <c r="Q94" s="2" t="str" cm="1">
        <f t="array" ref="Q94">_xlfn.SWITCH(TRUE,OR(L94=TEXT($B$1,"00"),L94=TEXT($D$1,"00")),"00",AND(N94="00",K94&lt;&gt;"TERMINAL"),TEXT($F$2,"00"),TRUE,N94)</f>
        <v>00</v>
      </c>
      <c r="R94" s="2" t="str">
        <f t="shared" si="9"/>
        <v>00</v>
      </c>
      <c r="S94" s="2" t="str" cm="1">
        <f t="array" ref="S94">_xlfn.SWITCH(TRUE,F94="T",TEXT($F$1,"00"),AND(F94="",K94&lt;&gt;"TERMINAL"),"00",TRUE,TEXT(HOUR(F94),"00"))</f>
        <v>00</v>
      </c>
      <c r="T94" s="2" t="str" cm="1">
        <f t="array" ref="T94">TEXT(_xlfn.SWITCH(TRUE,F94="T","00",AND(F94="",K94&lt;&gt;"TERMINAL"),"00",TRUE,MINUTE(F94)),"00")</f>
        <v>00</v>
      </c>
      <c r="U94" s="2" t="str" cm="1">
        <f t="array" ref="U94">TEXT(_xlfn.SWITCH(TRUE,F94="T","00",AND(F94="",K94&lt;&gt;"TERMINAL"),"00",TRUE,SECOND(F94)),"00")</f>
        <v>00</v>
      </c>
      <c r="V94" s="2" t="str">
        <f t="shared" si="10"/>
        <v>00</v>
      </c>
      <c r="W94" s="2" t="str" cm="1">
        <f t="array" ref="W94">_xlfn.SWITCH(TRUE,OR(S94=TEXT($B$1,"00"),S94=TEXT($D$1,"00")),"00",AND(T94="00",K94&lt;&gt;"TERMINAL"),TEXT($D$2,"00"),TRUE,T94)</f>
        <v>00</v>
      </c>
      <c r="X94" s="2" t="str" cm="1">
        <f t="array" ref="X94">_xlfn.SWITCH(TRUE,OR(S94=TEXT($B$1,"00"),S94=TEXT($D$1,"00")),"00",AND(U94="00",K94&lt;&gt;"TERMINAL"),TEXT($F$2,"00"),TRUE,U94)</f>
        <v>00</v>
      </c>
      <c r="Y94" s="2" t="str">
        <f t="shared" si="11"/>
        <v>00</v>
      </c>
      <c r="Z94" s="2" t="str">
        <f t="shared" si="14"/>
        <v>FALSE</v>
      </c>
      <c r="AA94" s="2" t="str">
        <f t="shared" si="12"/>
        <v>000000</v>
      </c>
      <c r="AB94" s="2" t="str">
        <f t="shared" si="13"/>
        <v>000000</v>
      </c>
      <c r="AC94" s="2" t="str" cm="1">
        <f t="array" ref="AC94">TEXT($D94,"000")&amp;TEXT(IFERROR(INDEX($D$5:$D$103,_xlfn.AGGREGATE(15,6,ROW($E$5:$E$103)/(($E$5:$E$103&lt;&gt;"p")*($E$5:$E$103&lt;&gt;"t")*(ROW($E$5:$E$103)&gt;ROW($E94))),1)-ROW($E$5)+1),$D94),"000")</f>
        <v>000000</v>
      </c>
      <c r="AD94" s="2" t="str" cm="1">
        <f t="array" ref="AD94">TEXT(_xlfn.XLOOKUP(TRUE, AA95:AA$103&lt;&gt;"250000", AA95:AA$103, "未找到"),"000000")</f>
        <v>000000</v>
      </c>
      <c r="AE94" s="2" t="str" cm="1">
        <f t="array" ref="AE94">_xlfn.SWITCH(TRUE,J94&lt;&gt;"",TEXT(J94,"MMSS"),TRUE,IFERROR(TEXT(E95-F94,"MMSS"),"0000"))</f>
        <v>0000</v>
      </c>
    </row>
    <row r="95" spans="1:31">
      <c r="A95" s="2">
        <v>92</v>
      </c>
      <c r="B95" s="5"/>
      <c r="C95" s="5"/>
      <c r="D95" s="5"/>
      <c r="E95" s="5"/>
      <c r="F95" s="5"/>
      <c r="G95" s="5"/>
      <c r="H95" s="5"/>
      <c r="I95" s="5"/>
      <c r="J95" s="5"/>
      <c r="K95" s="2" t="str">
        <f t="shared" si="8"/>
        <v>terminal</v>
      </c>
      <c r="L95" s="2" t="str" cm="1">
        <f t="array" ref="L95">TEXT(_xlfn.SWITCH(TRUE,E95="P",$B$1,AND(E95="",K95&lt;&gt;"TERMINAL"),$D$1,TRUE,HOUR(E95)),"00")</f>
        <v>00</v>
      </c>
      <c r="M95" s="2" t="str" cm="1">
        <f t="array" ref="M95">TEXT(_xlfn.SWITCH(TRUE,E95="P","00",AND(E95="",K95&lt;&gt;"TERMINAL"),"00",TRUE,MINUTE(E95)),"00")</f>
        <v>00</v>
      </c>
      <c r="N95" s="2" t="str" cm="1">
        <f t="array" ref="N95">TEXT(_xlfn.SWITCH(TRUE,E95="P","00",AND(E95="",K95&lt;&gt;"TERMINAL"),"00",TRUE,SECOND(E95)),"00")</f>
        <v>00</v>
      </c>
      <c r="O95" s="2" t="str" cm="1">
        <f t="array" ref="O95">_xlfn.SWITCH(TRUE,AND(L95="00",K95&lt;&gt;"TERMINAL"),TEXT($B$2,"00"),L95=TEXT($B$1,"00"),TEXT($B$1,"00"),L95=TEXT($D$1,"00"),TEXT($D$1,"00"),TRUE,+L95)</f>
        <v>00</v>
      </c>
      <c r="P95" s="2" t="str" cm="1">
        <f t="array" ref="P95">_xlfn.SWITCH(TRUE,OR(L95=TEXT($B$1,"00"),L95=TEXT($D$1,"00")),"00",AND(M95="00",K95&lt;&gt;"TERMINAL"),TEXT($D$2,"00"),TRUE,M95)</f>
        <v>00</v>
      </c>
      <c r="Q95" s="2" t="str" cm="1">
        <f t="array" ref="Q95">_xlfn.SWITCH(TRUE,OR(L95=TEXT($B$1,"00"),L95=TEXT($D$1,"00")),"00",AND(N95="00",K95&lt;&gt;"TERMINAL"),TEXT($F$2,"00"),TRUE,N95)</f>
        <v>00</v>
      </c>
      <c r="R95" s="2" t="str">
        <f t="shared" si="9"/>
        <v>00</v>
      </c>
      <c r="S95" s="2" t="str" cm="1">
        <f t="array" ref="S95">_xlfn.SWITCH(TRUE,F95="T",TEXT($F$1,"00"),AND(F95="",K95&lt;&gt;"TERMINAL"),"00",TRUE,TEXT(HOUR(F95),"00"))</f>
        <v>00</v>
      </c>
      <c r="T95" s="2" t="str" cm="1">
        <f t="array" ref="T95">TEXT(_xlfn.SWITCH(TRUE,F95="T","00",AND(F95="",K95&lt;&gt;"TERMINAL"),"00",TRUE,MINUTE(F95)),"00")</f>
        <v>00</v>
      </c>
      <c r="U95" s="2" t="str" cm="1">
        <f t="array" ref="U95">TEXT(_xlfn.SWITCH(TRUE,F95="T","00",AND(F95="",K95&lt;&gt;"TERMINAL"),"00",TRUE,SECOND(F95)),"00")</f>
        <v>00</v>
      </c>
      <c r="V95" s="2" t="str">
        <f t="shared" si="10"/>
        <v>00</v>
      </c>
      <c r="W95" s="2" t="str" cm="1">
        <f t="array" ref="W95">_xlfn.SWITCH(TRUE,OR(S95=TEXT($B$1,"00"),S95=TEXT($D$1,"00")),"00",AND(T95="00",K95&lt;&gt;"TERMINAL"),TEXT($D$2,"00"),TRUE,T95)</f>
        <v>00</v>
      </c>
      <c r="X95" s="2" t="str" cm="1">
        <f t="array" ref="X95">_xlfn.SWITCH(TRUE,OR(S95=TEXT($B$1,"00"),S95=TEXT($D$1,"00")),"00",AND(U95="00",K95&lt;&gt;"TERMINAL"),TEXT($F$2,"00"),TRUE,U95)</f>
        <v>00</v>
      </c>
      <c r="Y95" s="2" t="str">
        <f t="shared" si="11"/>
        <v>00</v>
      </c>
      <c r="Z95" s="2" t="str">
        <f t="shared" si="14"/>
        <v>FALSE</v>
      </c>
      <c r="AA95" s="2" t="str">
        <f t="shared" si="12"/>
        <v>000000</v>
      </c>
      <c r="AB95" s="2" t="str">
        <f t="shared" si="13"/>
        <v>000000</v>
      </c>
      <c r="AC95" s="2" t="str" cm="1">
        <f t="array" ref="AC95">TEXT($D95,"000")&amp;TEXT(IFERROR(INDEX($D$5:$D$103,_xlfn.AGGREGATE(15,6,ROW($E$5:$E$103)/(($E$5:$E$103&lt;&gt;"p")*($E$5:$E$103&lt;&gt;"t")*(ROW($E$5:$E$103)&gt;ROW($E95))),1)-ROW($E$5)+1),$D95),"000")</f>
        <v>000000</v>
      </c>
      <c r="AD95" s="2" t="str" cm="1">
        <f t="array" ref="AD95">TEXT(_xlfn.XLOOKUP(TRUE, AA96:AA$103&lt;&gt;"250000", AA96:AA$103, "未找到"),"000000")</f>
        <v>000000</v>
      </c>
      <c r="AE95" s="2" t="str" cm="1">
        <f t="array" ref="AE95">_xlfn.SWITCH(TRUE,J95&lt;&gt;"",TEXT(J95,"MMSS"),TRUE,IFERROR(TEXT(E96-F95,"MMSS"),"0000"))</f>
        <v>0000</v>
      </c>
    </row>
    <row r="96" spans="1:31">
      <c r="A96" s="2">
        <v>93</v>
      </c>
      <c r="B96" s="5"/>
      <c r="C96" s="5"/>
      <c r="D96" s="5"/>
      <c r="E96" s="5"/>
      <c r="F96" s="5"/>
      <c r="G96" s="5"/>
      <c r="H96" s="5"/>
      <c r="I96" s="5"/>
      <c r="J96" s="5"/>
      <c r="K96" s="2" t="str">
        <f t="shared" si="8"/>
        <v>terminal</v>
      </c>
      <c r="L96" s="2" t="str" cm="1">
        <f t="array" ref="L96">TEXT(_xlfn.SWITCH(TRUE,E96="P",$B$1,AND(E96="",K96&lt;&gt;"TERMINAL"),$D$1,TRUE,HOUR(E96)),"00")</f>
        <v>00</v>
      </c>
      <c r="M96" s="2" t="str" cm="1">
        <f t="array" ref="M96">TEXT(_xlfn.SWITCH(TRUE,E96="P","00",AND(E96="",K96&lt;&gt;"TERMINAL"),"00",TRUE,MINUTE(E96)),"00")</f>
        <v>00</v>
      </c>
      <c r="N96" s="2" t="str" cm="1">
        <f t="array" ref="N96">TEXT(_xlfn.SWITCH(TRUE,E96="P","00",AND(E96="",K96&lt;&gt;"TERMINAL"),"00",TRUE,SECOND(E96)),"00")</f>
        <v>00</v>
      </c>
      <c r="O96" s="2" t="str" cm="1">
        <f t="array" ref="O96">_xlfn.SWITCH(TRUE,AND(L96="00",K96&lt;&gt;"TERMINAL"),TEXT($B$2,"00"),L96=TEXT($B$1,"00"),TEXT($B$1,"00"),L96=TEXT($D$1,"00"),TEXT($D$1,"00"),TRUE,+L96)</f>
        <v>00</v>
      </c>
      <c r="P96" s="2" t="str" cm="1">
        <f t="array" ref="P96">_xlfn.SWITCH(TRUE,OR(L96=TEXT($B$1,"00"),L96=TEXT($D$1,"00")),"00",AND(M96="00",K96&lt;&gt;"TERMINAL"),TEXT($D$2,"00"),TRUE,M96)</f>
        <v>00</v>
      </c>
      <c r="Q96" s="2" t="str" cm="1">
        <f t="array" ref="Q96">_xlfn.SWITCH(TRUE,OR(L96=TEXT($B$1,"00"),L96=TEXT($D$1,"00")),"00",AND(N96="00",K96&lt;&gt;"TERMINAL"),TEXT($F$2,"00"),TRUE,N96)</f>
        <v>00</v>
      </c>
      <c r="R96" s="2" t="str">
        <f t="shared" si="9"/>
        <v>00</v>
      </c>
      <c r="S96" s="2" t="str" cm="1">
        <f t="array" ref="S96">_xlfn.SWITCH(TRUE,F96="T",TEXT($F$1,"00"),AND(F96="",K96&lt;&gt;"TERMINAL"),"00",TRUE,TEXT(HOUR(F96),"00"))</f>
        <v>00</v>
      </c>
      <c r="T96" s="2" t="str" cm="1">
        <f t="array" ref="T96">TEXT(_xlfn.SWITCH(TRUE,F96="T","00",AND(F96="",K96&lt;&gt;"TERMINAL"),"00",TRUE,MINUTE(F96)),"00")</f>
        <v>00</v>
      </c>
      <c r="U96" s="2" t="str" cm="1">
        <f t="array" ref="U96">TEXT(_xlfn.SWITCH(TRUE,F96="T","00",AND(F96="",K96&lt;&gt;"TERMINAL"),"00",TRUE,SECOND(F96)),"00")</f>
        <v>00</v>
      </c>
      <c r="V96" s="2" t="str">
        <f t="shared" si="10"/>
        <v>00</v>
      </c>
      <c r="W96" s="2" t="str" cm="1">
        <f t="array" ref="W96">_xlfn.SWITCH(TRUE,OR(S96=TEXT($B$1,"00"),S96=TEXT($D$1,"00")),"00",AND(T96="00",K96&lt;&gt;"TERMINAL"),TEXT($D$2,"00"),TRUE,T96)</f>
        <v>00</v>
      </c>
      <c r="X96" s="2" t="str" cm="1">
        <f t="array" ref="X96">_xlfn.SWITCH(TRUE,OR(S96=TEXT($B$1,"00"),S96=TEXT($D$1,"00")),"00",AND(U96="00",K96&lt;&gt;"TERMINAL"),TEXT($F$2,"00"),TRUE,U96)</f>
        <v>00</v>
      </c>
      <c r="Y96" s="2" t="str">
        <f t="shared" si="11"/>
        <v>00</v>
      </c>
      <c r="Z96" s="2" t="str">
        <f t="shared" si="14"/>
        <v>FALSE</v>
      </c>
      <c r="AA96" s="2" t="str">
        <f t="shared" si="12"/>
        <v>000000</v>
      </c>
      <c r="AB96" s="2" t="str">
        <f t="shared" si="13"/>
        <v>000000</v>
      </c>
      <c r="AC96" s="2" t="str" cm="1">
        <f t="array" ref="AC96">TEXT($D96,"000")&amp;TEXT(IFERROR(INDEX($D$5:$D$103,_xlfn.AGGREGATE(15,6,ROW($E$5:$E$103)/(($E$5:$E$103&lt;&gt;"p")*($E$5:$E$103&lt;&gt;"t")*(ROW($E$5:$E$103)&gt;ROW($E96))),1)-ROW($E$5)+1),$D96),"000")</f>
        <v>000000</v>
      </c>
      <c r="AD96" s="2" t="str" cm="1">
        <f t="array" ref="AD96">TEXT(_xlfn.XLOOKUP(TRUE, AA97:AA$103&lt;&gt;"250000", AA97:AA$103, "未找到"),"000000")</f>
        <v>000000</v>
      </c>
      <c r="AE96" s="2" t="str" cm="1">
        <f t="array" ref="AE96">_xlfn.SWITCH(TRUE,J96&lt;&gt;"",TEXT(J96,"MMSS"),TRUE,IFERROR(TEXT(E97-F96,"MMSS"),"0000"))</f>
        <v>0000</v>
      </c>
    </row>
    <row r="97" spans="1:31">
      <c r="A97" s="2">
        <v>94</v>
      </c>
      <c r="B97" s="5"/>
      <c r="C97" s="5"/>
      <c r="D97" s="5"/>
      <c r="E97" s="5"/>
      <c r="F97" s="5"/>
      <c r="G97" s="5"/>
      <c r="H97" s="5"/>
      <c r="I97" s="5"/>
      <c r="J97" s="5"/>
      <c r="K97" s="2" t="str">
        <f t="shared" si="8"/>
        <v>terminal</v>
      </c>
      <c r="L97" s="2" t="str" cm="1">
        <f t="array" ref="L97">TEXT(_xlfn.SWITCH(TRUE,E97="P",$B$1,AND(E97="",K97&lt;&gt;"TERMINAL"),$D$1,TRUE,HOUR(E97)),"00")</f>
        <v>00</v>
      </c>
      <c r="M97" s="2" t="str" cm="1">
        <f t="array" ref="M97">TEXT(_xlfn.SWITCH(TRUE,E97="P","00",AND(E97="",K97&lt;&gt;"TERMINAL"),"00",TRUE,MINUTE(E97)),"00")</f>
        <v>00</v>
      </c>
      <c r="N97" s="2" t="str" cm="1">
        <f t="array" ref="N97">TEXT(_xlfn.SWITCH(TRUE,E97="P","00",AND(E97="",K97&lt;&gt;"TERMINAL"),"00",TRUE,SECOND(E97)),"00")</f>
        <v>00</v>
      </c>
      <c r="O97" s="2" t="str" cm="1">
        <f t="array" ref="O97">_xlfn.SWITCH(TRUE,AND(L97="00",K97&lt;&gt;"TERMINAL"),TEXT($B$2,"00"),L97=TEXT($B$1,"00"),TEXT($B$1,"00"),L97=TEXT($D$1,"00"),TEXT($D$1,"00"),TRUE,+L97)</f>
        <v>00</v>
      </c>
      <c r="P97" s="2" t="str" cm="1">
        <f t="array" ref="P97">_xlfn.SWITCH(TRUE,OR(L97=TEXT($B$1,"00"),L97=TEXT($D$1,"00")),"00",AND(M97="00",K97&lt;&gt;"TERMINAL"),TEXT($D$2,"00"),TRUE,M97)</f>
        <v>00</v>
      </c>
      <c r="Q97" s="2" t="str" cm="1">
        <f t="array" ref="Q97">_xlfn.SWITCH(TRUE,OR(L97=TEXT($B$1,"00"),L97=TEXT($D$1,"00")),"00",AND(N97="00",K97&lt;&gt;"TERMINAL"),TEXT($F$2,"00"),TRUE,N97)</f>
        <v>00</v>
      </c>
      <c r="R97" s="2" t="str">
        <f t="shared" si="9"/>
        <v>00</v>
      </c>
      <c r="S97" s="2" t="str" cm="1">
        <f t="array" ref="S97">_xlfn.SWITCH(TRUE,F97="T",TEXT($F$1,"00"),AND(F97="",K97&lt;&gt;"TERMINAL"),"00",TRUE,TEXT(HOUR(F97),"00"))</f>
        <v>00</v>
      </c>
      <c r="T97" s="2" t="str" cm="1">
        <f t="array" ref="T97">TEXT(_xlfn.SWITCH(TRUE,F97="T","00",AND(F97="",K97&lt;&gt;"TERMINAL"),"00",TRUE,MINUTE(F97)),"00")</f>
        <v>00</v>
      </c>
      <c r="U97" s="2" t="str" cm="1">
        <f t="array" ref="U97">TEXT(_xlfn.SWITCH(TRUE,F97="T","00",AND(F97="",K97&lt;&gt;"TERMINAL"),"00",TRUE,SECOND(F97)),"00")</f>
        <v>00</v>
      </c>
      <c r="V97" s="2" t="str">
        <f t="shared" si="10"/>
        <v>00</v>
      </c>
      <c r="W97" s="2" t="str" cm="1">
        <f t="array" ref="W97">_xlfn.SWITCH(TRUE,OR(S97=TEXT($B$1,"00"),S97=TEXT($D$1,"00")),"00",AND(T97="00",K97&lt;&gt;"TERMINAL"),TEXT($D$2,"00"),TRUE,T97)</f>
        <v>00</v>
      </c>
      <c r="X97" s="2" t="str" cm="1">
        <f t="array" ref="X97">_xlfn.SWITCH(TRUE,OR(S97=TEXT($B$1,"00"),S97=TEXT($D$1,"00")),"00",AND(U97="00",K97&lt;&gt;"TERMINAL"),TEXT($F$2,"00"),TRUE,U97)</f>
        <v>00</v>
      </c>
      <c r="Y97" s="2" t="str">
        <f t="shared" si="11"/>
        <v>00</v>
      </c>
      <c r="Z97" s="2" t="str">
        <f t="shared" si="14"/>
        <v>FALSE</v>
      </c>
      <c r="AA97" s="2" t="str">
        <f t="shared" si="12"/>
        <v>000000</v>
      </c>
      <c r="AB97" s="2" t="str">
        <f t="shared" si="13"/>
        <v>000000</v>
      </c>
      <c r="AC97" s="2" t="str" cm="1">
        <f t="array" ref="AC97">TEXT($D97,"000")&amp;TEXT(IFERROR(INDEX($D$5:$D$103,_xlfn.AGGREGATE(15,6,ROW($E$5:$E$103)/(($E$5:$E$103&lt;&gt;"p")*($E$5:$E$103&lt;&gt;"t")*(ROW($E$5:$E$103)&gt;ROW($E97))),1)-ROW($E$5)+1),$D97),"000")</f>
        <v>000000</v>
      </c>
      <c r="AD97" s="2" t="str" cm="1">
        <f t="array" ref="AD97">TEXT(_xlfn.XLOOKUP(TRUE, AA98:AA$103&lt;&gt;"250000", AA98:AA$103, "未找到"),"000000")</f>
        <v>000000</v>
      </c>
      <c r="AE97" s="2" t="str" cm="1">
        <f t="array" ref="AE97">_xlfn.SWITCH(TRUE,J97&lt;&gt;"",TEXT(J97,"MMSS"),TRUE,IFERROR(TEXT(E98-F97,"MMSS"),"0000"))</f>
        <v>0000</v>
      </c>
    </row>
    <row r="98" spans="1:31">
      <c r="A98" s="2">
        <v>95</v>
      </c>
      <c r="B98" s="5"/>
      <c r="C98" s="5"/>
      <c r="D98" s="5"/>
      <c r="E98" s="5"/>
      <c r="F98" s="5"/>
      <c r="G98" s="5"/>
      <c r="H98" s="5"/>
      <c r="I98" s="5"/>
      <c r="J98" s="5"/>
      <c r="K98" s="2" t="str">
        <f t="shared" si="8"/>
        <v>terminal</v>
      </c>
      <c r="L98" s="2" t="str" cm="1">
        <f t="array" ref="L98">TEXT(_xlfn.SWITCH(TRUE,E98="P",$B$1,AND(E98="",K98&lt;&gt;"TERMINAL"),$D$1,TRUE,HOUR(E98)),"00")</f>
        <v>00</v>
      </c>
      <c r="M98" s="2" t="str" cm="1">
        <f t="array" ref="M98">TEXT(_xlfn.SWITCH(TRUE,E98="P","00",AND(E98="",K98&lt;&gt;"TERMINAL"),"00",TRUE,MINUTE(E98)),"00")</f>
        <v>00</v>
      </c>
      <c r="N98" s="2" t="str" cm="1">
        <f t="array" ref="N98">TEXT(_xlfn.SWITCH(TRUE,E98="P","00",AND(E98="",K98&lt;&gt;"TERMINAL"),"00",TRUE,SECOND(E98)),"00")</f>
        <v>00</v>
      </c>
      <c r="O98" s="2" t="str" cm="1">
        <f t="array" ref="O98">_xlfn.SWITCH(TRUE,AND(L98="00",K98&lt;&gt;"TERMINAL"),TEXT($B$2,"00"),L98=TEXT($B$1,"00"),TEXT($B$1,"00"),L98=TEXT($D$1,"00"),TEXT($D$1,"00"),TRUE,+L98)</f>
        <v>00</v>
      </c>
      <c r="P98" s="2" t="str" cm="1">
        <f t="array" ref="P98">_xlfn.SWITCH(TRUE,OR(L98=TEXT($B$1,"00"),L98=TEXT($D$1,"00")),"00",AND(M98="00",K98&lt;&gt;"TERMINAL"),TEXT($D$2,"00"),TRUE,M98)</f>
        <v>00</v>
      </c>
      <c r="Q98" s="2" t="str" cm="1">
        <f t="array" ref="Q98">_xlfn.SWITCH(TRUE,OR(L98=TEXT($B$1,"00"),L98=TEXT($D$1,"00")),"00",AND(N98="00",K98&lt;&gt;"TERMINAL"),TEXT($F$2,"00"),TRUE,N98)</f>
        <v>00</v>
      </c>
      <c r="R98" s="2" t="str">
        <f t="shared" si="9"/>
        <v>00</v>
      </c>
      <c r="S98" s="2" t="str" cm="1">
        <f t="array" ref="S98">_xlfn.SWITCH(TRUE,F98="T",TEXT($F$1,"00"),AND(F98="",K98&lt;&gt;"TERMINAL"),"00",TRUE,TEXT(HOUR(F98),"00"))</f>
        <v>00</v>
      </c>
      <c r="T98" s="2" t="str" cm="1">
        <f t="array" ref="T98">TEXT(_xlfn.SWITCH(TRUE,F98="T","00",AND(F98="",K98&lt;&gt;"TERMINAL"),"00",TRUE,MINUTE(F98)),"00")</f>
        <v>00</v>
      </c>
      <c r="U98" s="2" t="str" cm="1">
        <f t="array" ref="U98">TEXT(_xlfn.SWITCH(TRUE,F98="T","00",AND(F98="",K98&lt;&gt;"TERMINAL"),"00",TRUE,SECOND(F98)),"00")</f>
        <v>00</v>
      </c>
      <c r="V98" s="2" t="str">
        <f t="shared" si="10"/>
        <v>00</v>
      </c>
      <c r="W98" s="2" t="str" cm="1">
        <f t="array" ref="W98">_xlfn.SWITCH(TRUE,OR(S98=TEXT($B$1,"00"),S98=TEXT($D$1,"00")),"00",AND(T98="00",K98&lt;&gt;"TERMINAL"),TEXT($D$2,"00"),TRUE,T98)</f>
        <v>00</v>
      </c>
      <c r="X98" s="2" t="str" cm="1">
        <f t="array" ref="X98">_xlfn.SWITCH(TRUE,OR(S98=TEXT($B$1,"00"),S98=TEXT($D$1,"00")),"00",AND(U98="00",K98&lt;&gt;"TERMINAL"),TEXT($F$2,"00"),TRUE,U98)</f>
        <v>00</v>
      </c>
      <c r="Y98" s="2" t="str">
        <f t="shared" si="11"/>
        <v>00</v>
      </c>
      <c r="Z98" s="2" t="str">
        <f t="shared" si="14"/>
        <v>FALSE</v>
      </c>
      <c r="AA98" s="2" t="str">
        <f t="shared" si="12"/>
        <v>000000</v>
      </c>
      <c r="AB98" s="2" t="str">
        <f t="shared" si="13"/>
        <v>000000</v>
      </c>
      <c r="AC98" s="2" t="str" cm="1">
        <f t="array" ref="AC98">TEXT($D98,"000")&amp;TEXT(IFERROR(INDEX($D$5:$D$103,_xlfn.AGGREGATE(15,6,ROW($E$5:$E$103)/(($E$5:$E$103&lt;&gt;"p")*($E$5:$E$103&lt;&gt;"t")*(ROW($E$5:$E$103)&gt;ROW($E98))),1)-ROW($E$5)+1),$D98),"000")</f>
        <v>000000</v>
      </c>
      <c r="AD98" s="2" t="str" cm="1">
        <f t="array" ref="AD98">TEXT(_xlfn.XLOOKUP(TRUE, AA99:AA$103&lt;&gt;"250000", AA99:AA$103, "未找到"),"000000")</f>
        <v>000000</v>
      </c>
      <c r="AE98" s="2" t="str" cm="1">
        <f t="array" ref="AE98">_xlfn.SWITCH(TRUE,J98&lt;&gt;"",TEXT(J98,"MMSS"),TRUE,IFERROR(TEXT(E99-F98,"MMSS"),"0000"))</f>
        <v>0000</v>
      </c>
    </row>
    <row r="99" spans="1:31">
      <c r="A99" s="2">
        <v>96</v>
      </c>
      <c r="B99" s="5"/>
      <c r="C99" s="5"/>
      <c r="D99" s="5"/>
      <c r="E99" s="5"/>
      <c r="F99" s="5"/>
      <c r="G99" s="5"/>
      <c r="H99" s="5"/>
      <c r="I99" s="5"/>
      <c r="J99" s="5"/>
      <c r="K99" s="2" t="str">
        <f t="shared" si="8"/>
        <v>terminal</v>
      </c>
      <c r="L99" s="2" t="str" cm="1">
        <f t="array" ref="L99">TEXT(_xlfn.SWITCH(TRUE,E99="P",$B$1,AND(E99="",K99&lt;&gt;"TERMINAL"),$D$1,TRUE,HOUR(E99)),"00")</f>
        <v>00</v>
      </c>
      <c r="M99" s="2" t="str" cm="1">
        <f t="array" ref="M99">TEXT(_xlfn.SWITCH(TRUE,E99="P","00",AND(E99="",K99&lt;&gt;"TERMINAL"),"00",TRUE,MINUTE(E99)),"00")</f>
        <v>00</v>
      </c>
      <c r="N99" s="2" t="str" cm="1">
        <f t="array" ref="N99">TEXT(_xlfn.SWITCH(TRUE,E99="P","00",AND(E99="",K99&lt;&gt;"TERMINAL"),"00",TRUE,SECOND(E99)),"00")</f>
        <v>00</v>
      </c>
      <c r="O99" s="2" t="str" cm="1">
        <f t="array" ref="O99">_xlfn.SWITCH(TRUE,AND(L99="00",K99&lt;&gt;"TERMINAL"),TEXT($B$2,"00"),L99=TEXT($B$1,"00"),TEXT($B$1,"00"),L99=TEXT($D$1,"00"),TEXT($D$1,"00"),TRUE,+L99)</f>
        <v>00</v>
      </c>
      <c r="P99" s="2" t="str" cm="1">
        <f t="array" ref="P99">_xlfn.SWITCH(TRUE,OR(L99=TEXT($B$1,"00"),L99=TEXT($D$1,"00")),"00",AND(M99="00",K99&lt;&gt;"TERMINAL"),TEXT($D$2,"00"),TRUE,M99)</f>
        <v>00</v>
      </c>
      <c r="Q99" s="2" t="str" cm="1">
        <f t="array" ref="Q99">_xlfn.SWITCH(TRUE,OR(L99=TEXT($B$1,"00"),L99=TEXT($D$1,"00")),"00",AND(N99="00",K99&lt;&gt;"TERMINAL"),TEXT($F$2,"00"),TRUE,N99)</f>
        <v>00</v>
      </c>
      <c r="R99" s="2" t="str">
        <f t="shared" si="9"/>
        <v>00</v>
      </c>
      <c r="S99" s="2" t="str" cm="1">
        <f t="array" ref="S99">_xlfn.SWITCH(TRUE,F99="T",TEXT($F$1,"00"),AND(F99="",K99&lt;&gt;"TERMINAL"),"00",TRUE,TEXT(HOUR(F99),"00"))</f>
        <v>00</v>
      </c>
      <c r="T99" s="2" t="str" cm="1">
        <f t="array" ref="T99">TEXT(_xlfn.SWITCH(TRUE,F99="T","00",AND(F99="",K99&lt;&gt;"TERMINAL"),"00",TRUE,MINUTE(F99)),"00")</f>
        <v>00</v>
      </c>
      <c r="U99" s="2" t="str" cm="1">
        <f t="array" ref="U99">TEXT(_xlfn.SWITCH(TRUE,F99="T","00",AND(F99="",K99&lt;&gt;"TERMINAL"),"00",TRUE,SECOND(F99)),"00")</f>
        <v>00</v>
      </c>
      <c r="V99" s="2" t="str">
        <f t="shared" si="10"/>
        <v>00</v>
      </c>
      <c r="W99" s="2" t="str" cm="1">
        <f t="array" ref="W99">_xlfn.SWITCH(TRUE,OR(S99=TEXT($B$1,"00"),S99=TEXT($D$1,"00")),"00",AND(T99="00",K99&lt;&gt;"TERMINAL"),TEXT($D$2,"00"),TRUE,T99)</f>
        <v>00</v>
      </c>
      <c r="X99" s="2" t="str" cm="1">
        <f t="array" ref="X99">_xlfn.SWITCH(TRUE,OR(S99=TEXT($B$1,"00"),S99=TEXT($D$1,"00")),"00",AND(U99="00",K99&lt;&gt;"TERMINAL"),TEXT($F$2,"00"),TRUE,U99)</f>
        <v>00</v>
      </c>
      <c r="Y99" s="2" t="str">
        <f t="shared" si="11"/>
        <v>00</v>
      </c>
      <c r="Z99" s="2" t="str">
        <f t="shared" si="14"/>
        <v>FALSE</v>
      </c>
      <c r="AA99" s="2" t="str">
        <f t="shared" si="12"/>
        <v>000000</v>
      </c>
      <c r="AB99" s="2" t="str">
        <f t="shared" si="13"/>
        <v>000000</v>
      </c>
      <c r="AC99" s="2" t="str" cm="1">
        <f t="array" ref="AC99">TEXT($D99,"000")&amp;TEXT(IFERROR(INDEX($D$5:$D$103,_xlfn.AGGREGATE(15,6,ROW($E$5:$E$103)/(($E$5:$E$103&lt;&gt;"p")*($E$5:$E$103&lt;&gt;"t")*(ROW($E$5:$E$103)&gt;ROW($E99))),1)-ROW($E$5)+1),$D99),"000")</f>
        <v>000000</v>
      </c>
      <c r="AD99" s="2" t="str" cm="1">
        <f t="array" ref="AD99">TEXT(_xlfn.XLOOKUP(TRUE, AA100:AA$103&lt;&gt;"250000", AA100:AA$103, "未找到"),"000000")</f>
        <v>000000</v>
      </c>
      <c r="AE99" s="2" t="str" cm="1">
        <f t="array" ref="AE99">_xlfn.SWITCH(TRUE,J99&lt;&gt;"",TEXT(J99,"MMSS"),TRUE,IFERROR(TEXT(E100-F99,"MMSS"),"0000"))</f>
        <v>0000</v>
      </c>
    </row>
    <row r="100" spans="1:31">
      <c r="A100" s="2">
        <v>97</v>
      </c>
      <c r="B100" s="5"/>
      <c r="C100" s="5"/>
      <c r="D100" s="5"/>
      <c r="E100" s="5"/>
      <c r="F100" s="5"/>
      <c r="G100" s="5"/>
      <c r="H100" s="5"/>
      <c r="I100" s="5"/>
      <c r="J100" s="5"/>
      <c r="K100" s="2" t="str">
        <f t="shared" si="8"/>
        <v>terminal</v>
      </c>
      <c r="L100" s="2" t="str" cm="1">
        <f t="array" ref="L100">TEXT(_xlfn.SWITCH(TRUE,E100="P",$B$1,AND(E100="",K100&lt;&gt;"TERMINAL"),$D$1,TRUE,HOUR(E100)),"00")</f>
        <v>00</v>
      </c>
      <c r="M100" s="2" t="str" cm="1">
        <f t="array" ref="M100">TEXT(_xlfn.SWITCH(TRUE,E100="P","00",AND(E100="",K100&lt;&gt;"TERMINAL"),"00",TRUE,MINUTE(E100)),"00")</f>
        <v>00</v>
      </c>
      <c r="N100" s="2" t="str" cm="1">
        <f t="array" ref="N100">TEXT(_xlfn.SWITCH(TRUE,E100="P","00",AND(E100="",K100&lt;&gt;"TERMINAL"),"00",TRUE,SECOND(E100)),"00")</f>
        <v>00</v>
      </c>
      <c r="O100" s="2" t="str" cm="1">
        <f t="array" ref="O100">_xlfn.SWITCH(TRUE,AND(L100="00",K100&lt;&gt;"TERMINAL"),TEXT($B$2,"00"),L100=TEXT($B$1,"00"),TEXT($B$1,"00"),L100=TEXT($D$1,"00"),TEXT($D$1,"00"),TRUE,+L100)</f>
        <v>00</v>
      </c>
      <c r="P100" s="2" t="str" cm="1">
        <f t="array" ref="P100">_xlfn.SWITCH(TRUE,OR(L100=TEXT($B$1,"00"),L100=TEXT($D$1,"00")),"00",AND(M100="00",K100&lt;&gt;"TERMINAL"),TEXT($D$2,"00"),TRUE,M100)</f>
        <v>00</v>
      </c>
      <c r="Q100" s="2" t="str" cm="1">
        <f t="array" ref="Q100">_xlfn.SWITCH(TRUE,OR(L100=TEXT($B$1,"00"),L100=TEXT($D$1,"00")),"00",AND(N100="00",K100&lt;&gt;"TERMINAL"),TEXT($F$2,"00"),TRUE,N100)</f>
        <v>00</v>
      </c>
      <c r="R100" s="2" t="str">
        <f t="shared" si="9"/>
        <v>00</v>
      </c>
      <c r="S100" s="2" t="str" cm="1">
        <f t="array" ref="S100">_xlfn.SWITCH(TRUE,F100="T",TEXT($F$1,"00"),AND(F100="",K100&lt;&gt;"TERMINAL"),"00",TRUE,TEXT(HOUR(F100),"00"))</f>
        <v>00</v>
      </c>
      <c r="T100" s="2" t="str" cm="1">
        <f t="array" ref="T100">TEXT(_xlfn.SWITCH(TRUE,F100="T","00",AND(F100="",K100&lt;&gt;"TERMINAL"),"00",TRUE,MINUTE(F100)),"00")</f>
        <v>00</v>
      </c>
      <c r="U100" s="2" t="str" cm="1">
        <f t="array" ref="U100">TEXT(_xlfn.SWITCH(TRUE,F100="T","00",AND(F100="",K100&lt;&gt;"TERMINAL"),"00",TRUE,SECOND(F100)),"00")</f>
        <v>00</v>
      </c>
      <c r="V100" s="2" t="str">
        <f t="shared" si="10"/>
        <v>00</v>
      </c>
      <c r="W100" s="2" t="str" cm="1">
        <f t="array" ref="W100">_xlfn.SWITCH(TRUE,OR(S100=TEXT($B$1,"00"),S100=TEXT($D$1,"00")),"00",AND(T100="00",K100&lt;&gt;"TERMINAL"),TEXT($D$2,"00"),TRUE,T100)</f>
        <v>00</v>
      </c>
      <c r="X100" s="2" t="str" cm="1">
        <f t="array" ref="X100">_xlfn.SWITCH(TRUE,OR(S100=TEXT($B$1,"00"),S100=TEXT($D$1,"00")),"00",AND(U100="00",K100&lt;&gt;"TERMINAL"),TEXT($F$2,"00"),TRUE,U100)</f>
        <v>00</v>
      </c>
      <c r="Y100" s="2" t="str">
        <f t="shared" si="11"/>
        <v>00</v>
      </c>
      <c r="Z100" s="2" t="str">
        <f t="shared" si="14"/>
        <v>FALSE</v>
      </c>
      <c r="AA100" s="2" t="str">
        <f t="shared" si="12"/>
        <v>000000</v>
      </c>
      <c r="AB100" s="2" t="str">
        <f t="shared" si="13"/>
        <v>000000</v>
      </c>
      <c r="AC100" s="2" t="str" cm="1">
        <f t="array" ref="AC100">TEXT($D100,"000")&amp;TEXT(IFERROR(INDEX($D$5:$D$103,_xlfn.AGGREGATE(15,6,ROW($E$5:$E$103)/(($E$5:$E$103&lt;&gt;"p")*($E$5:$E$103&lt;&gt;"t")*(ROW($E$5:$E$103)&gt;ROW($E100))),1)-ROW($E$5)+1),$D100),"000")</f>
        <v>000000</v>
      </c>
      <c r="AD100" s="2" t="str" cm="1">
        <f t="array" ref="AD100">TEXT(_xlfn.XLOOKUP(TRUE, AA101:AA$103&lt;&gt;"250000", AA101:AA$103, "未找到"),"000000")</f>
        <v>000000</v>
      </c>
      <c r="AE100" s="2" t="str" cm="1">
        <f t="array" ref="AE100">_xlfn.SWITCH(TRUE,J100&lt;&gt;"",TEXT(J100,"MMSS"),TRUE,IFERROR(TEXT(E101-F100,"MMSS"),"0000"))</f>
        <v>0000</v>
      </c>
    </row>
    <row r="101" spans="1:31">
      <c r="A101" s="2">
        <v>98</v>
      </c>
      <c r="B101" s="5"/>
      <c r="C101" s="5"/>
      <c r="D101" s="5"/>
      <c r="E101" s="5"/>
      <c r="F101" s="5"/>
      <c r="G101" s="5"/>
      <c r="H101" s="5"/>
      <c r="I101" s="5"/>
      <c r="J101" s="5"/>
      <c r="K101" s="2" t="str">
        <f t="shared" si="8"/>
        <v>terminal</v>
      </c>
      <c r="L101" s="2" t="str" cm="1">
        <f t="array" ref="L101">TEXT(_xlfn.SWITCH(TRUE,E101="P",$B$1,AND(E101="",K101&lt;&gt;"TERMINAL"),$D$1,TRUE,HOUR(E101)),"00")</f>
        <v>00</v>
      </c>
      <c r="M101" s="2" t="str" cm="1">
        <f t="array" ref="M101">TEXT(_xlfn.SWITCH(TRUE,E101="P","00",AND(E101="",K101&lt;&gt;"TERMINAL"),"00",TRUE,MINUTE(E101)),"00")</f>
        <v>00</v>
      </c>
      <c r="N101" s="2" t="str" cm="1">
        <f t="array" ref="N101">TEXT(_xlfn.SWITCH(TRUE,E101="P","00",AND(E101="",K101&lt;&gt;"TERMINAL"),"00",TRUE,SECOND(E101)),"00")</f>
        <v>00</v>
      </c>
      <c r="O101" s="2" t="str" cm="1">
        <f t="array" ref="O101">_xlfn.SWITCH(TRUE,AND(L101="00",K101&lt;&gt;"TERMINAL"),TEXT($B$2,"00"),L101=TEXT($B$1,"00"),TEXT($B$1,"00"),L101=TEXT($D$1,"00"),TEXT($D$1,"00"),TRUE,+L101)</f>
        <v>00</v>
      </c>
      <c r="P101" s="2" t="str" cm="1">
        <f t="array" ref="P101">_xlfn.SWITCH(TRUE,OR(L101=TEXT($B$1,"00"),L101=TEXT($D$1,"00")),"00",AND(M101="00",K101&lt;&gt;"TERMINAL"),TEXT($D$2,"00"),TRUE,M101)</f>
        <v>00</v>
      </c>
      <c r="Q101" s="2" t="str" cm="1">
        <f t="array" ref="Q101">_xlfn.SWITCH(TRUE,OR(L101=TEXT($B$1,"00"),L101=TEXT($D$1,"00")),"00",AND(N101="00",K101&lt;&gt;"TERMINAL"),TEXT($F$2,"00"),TRUE,N101)</f>
        <v>00</v>
      </c>
      <c r="R101" s="2" t="str">
        <f t="shared" si="9"/>
        <v>00</v>
      </c>
      <c r="S101" s="2" t="str" cm="1">
        <f t="array" ref="S101">_xlfn.SWITCH(TRUE,F101="T",TEXT($F$1,"00"),AND(F101="",K101&lt;&gt;"TERMINAL"),"00",TRUE,TEXT(HOUR(F101),"00"))</f>
        <v>00</v>
      </c>
      <c r="T101" s="2" t="str" cm="1">
        <f t="array" ref="T101">TEXT(_xlfn.SWITCH(TRUE,F101="T","00",AND(F101="",K101&lt;&gt;"TERMINAL"),"00",TRUE,MINUTE(F101)),"00")</f>
        <v>00</v>
      </c>
      <c r="U101" s="2" t="str" cm="1">
        <f t="array" ref="U101">TEXT(_xlfn.SWITCH(TRUE,F101="T","00",AND(F101="",K101&lt;&gt;"TERMINAL"),"00",TRUE,SECOND(F101)),"00")</f>
        <v>00</v>
      </c>
      <c r="V101" s="2" t="str">
        <f t="shared" si="10"/>
        <v>00</v>
      </c>
      <c r="W101" s="2" t="str" cm="1">
        <f t="array" ref="W101">_xlfn.SWITCH(TRUE,OR(S101=TEXT($B$1,"00"),S101=TEXT($D$1,"00")),"00",AND(T101="00",K101&lt;&gt;"TERMINAL"),TEXT($D$2,"00"),TRUE,T101)</f>
        <v>00</v>
      </c>
      <c r="X101" s="2" t="str" cm="1">
        <f t="array" ref="X101">_xlfn.SWITCH(TRUE,OR(S101=TEXT($B$1,"00"),S101=TEXT($D$1,"00")),"00",AND(U101="00",K101&lt;&gt;"TERMINAL"),TEXT($F$2,"00"),TRUE,U101)</f>
        <v>00</v>
      </c>
      <c r="Y101" s="2" t="str">
        <f t="shared" si="11"/>
        <v>00</v>
      </c>
      <c r="Z101" s="2" t="str">
        <f t="shared" si="14"/>
        <v>FALSE</v>
      </c>
      <c r="AA101" s="2" t="str">
        <f t="shared" si="12"/>
        <v>000000</v>
      </c>
      <c r="AB101" s="2" t="str">
        <f t="shared" si="13"/>
        <v>000000</v>
      </c>
      <c r="AC101" s="2" t="str" cm="1">
        <f t="array" ref="AC101">TEXT($D101,"000")&amp;TEXT(IFERROR(INDEX($D$5:$D$103,_xlfn.AGGREGATE(15,6,ROW($E$5:$E$103)/(($E$5:$E$103&lt;&gt;"p")*($E$5:$E$103&lt;&gt;"t")*(ROW($E$5:$E$103)&gt;ROW($E101))),1)-ROW($E$5)+1),$D101),"000")</f>
        <v>000000</v>
      </c>
      <c r="AD101" s="2" t="str" cm="1">
        <f t="array" ref="AD101">TEXT(_xlfn.XLOOKUP(TRUE, AA102:AA$103&lt;&gt;"250000", AA102:AA$103, "未找到"),"000000")</f>
        <v>000000</v>
      </c>
      <c r="AE101" s="2" t="str" cm="1">
        <f t="array" ref="AE101">_xlfn.SWITCH(TRUE,J101&lt;&gt;"",TEXT(J101,"MMSS"),TRUE,IFERROR(TEXT(E102-F101,"MMSS"),"0000"))</f>
        <v>0000</v>
      </c>
    </row>
    <row r="102" spans="1:31">
      <c r="A102" s="2">
        <v>99</v>
      </c>
      <c r="B102" s="5"/>
      <c r="C102" s="5"/>
      <c r="D102" s="5"/>
      <c r="E102" s="5"/>
      <c r="F102" s="5"/>
      <c r="G102" s="5"/>
      <c r="H102" s="5"/>
      <c r="I102" s="5"/>
      <c r="J102" s="5"/>
      <c r="K102" s="2" t="str">
        <f t="shared" si="8"/>
        <v>terminal</v>
      </c>
      <c r="L102" s="2" t="str" cm="1">
        <f t="array" ref="L102">TEXT(_xlfn.SWITCH(TRUE,E102="P",$B$1,AND(E102="",K102&lt;&gt;"TERMINAL"),$D$1,TRUE,HOUR(E102)),"00")</f>
        <v>00</v>
      </c>
      <c r="M102" s="2" t="str" cm="1">
        <f t="array" ref="M102">TEXT(_xlfn.SWITCH(TRUE,E102="P","00",AND(E102="",K102&lt;&gt;"TERMINAL"),"00",TRUE,MINUTE(E102)),"00")</f>
        <v>00</v>
      </c>
      <c r="N102" s="2" t="str" cm="1">
        <f t="array" ref="N102">TEXT(_xlfn.SWITCH(TRUE,E102="P","00",AND(E102="",K102&lt;&gt;"TERMINAL"),"00",TRUE,SECOND(E102)),"00")</f>
        <v>00</v>
      </c>
      <c r="O102" s="2" t="str" cm="1">
        <f t="array" ref="O102">_xlfn.SWITCH(TRUE,AND(L102="00",K102&lt;&gt;"TERMINAL"),TEXT($B$2,"00"),L102=TEXT($B$1,"00"),TEXT($B$1,"00"),L102=TEXT($D$1,"00"),TEXT($D$1,"00"),TRUE,+L102)</f>
        <v>00</v>
      </c>
      <c r="P102" s="2" t="str" cm="1">
        <f t="array" ref="P102">_xlfn.SWITCH(TRUE,OR(L102=TEXT($B$1,"00"),L102=TEXT($D$1,"00")),"00",AND(M102="00",K102&lt;&gt;"TERMINAL"),TEXT($D$2,"00"),TRUE,M102)</f>
        <v>00</v>
      </c>
      <c r="Q102" s="2" t="str" cm="1">
        <f t="array" ref="Q102">_xlfn.SWITCH(TRUE,OR(L102=TEXT($B$1,"00"),L102=TEXT($D$1,"00")),"00",AND(N102="00",K102&lt;&gt;"TERMINAL"),TEXT($F$2,"00"),TRUE,N102)</f>
        <v>00</v>
      </c>
      <c r="R102" s="2" t="str">
        <f t="shared" si="9"/>
        <v>00</v>
      </c>
      <c r="S102" s="2" t="str" cm="1">
        <f t="array" ref="S102">_xlfn.SWITCH(TRUE,F102="T",TEXT($F$1,"00"),AND(F102="",K102&lt;&gt;"TERMINAL"),"00",TRUE,TEXT(HOUR(F102),"00"))</f>
        <v>00</v>
      </c>
      <c r="T102" s="2" t="str" cm="1">
        <f t="array" ref="T102">TEXT(_xlfn.SWITCH(TRUE,F102="T","00",AND(F102="",K102&lt;&gt;"TERMINAL"),"00",TRUE,MINUTE(F102)),"00")</f>
        <v>00</v>
      </c>
      <c r="U102" s="2" t="str" cm="1">
        <f t="array" ref="U102">TEXT(_xlfn.SWITCH(TRUE,F102="T","00",AND(F102="",K102&lt;&gt;"TERMINAL"),"00",TRUE,SECOND(F102)),"00")</f>
        <v>00</v>
      </c>
      <c r="V102" s="2" t="str">
        <f t="shared" si="10"/>
        <v>00</v>
      </c>
      <c r="W102" s="2" t="str" cm="1">
        <f t="array" ref="W102">_xlfn.SWITCH(TRUE,OR(S102=TEXT($B$1,"00"),S102=TEXT($D$1,"00")),"00",AND(T102="00",K102&lt;&gt;"TERMINAL"),TEXT($D$2,"00"),TRUE,T102)</f>
        <v>00</v>
      </c>
      <c r="X102" s="2" t="str" cm="1">
        <f t="array" ref="X102">_xlfn.SWITCH(TRUE,OR(S102=TEXT($B$1,"00"),S102=TEXT($D$1,"00")),"00",AND(U102="00",K102&lt;&gt;"TERMINAL"),TEXT($F$2,"00"),TRUE,U102)</f>
        <v>00</v>
      </c>
      <c r="Y102" s="2" t="str">
        <f t="shared" si="11"/>
        <v>00</v>
      </c>
      <c r="Z102" s="2" t="str">
        <f t="shared" si="14"/>
        <v>FALSE</v>
      </c>
      <c r="AA102" s="2" t="str">
        <f t="shared" si="12"/>
        <v>000000</v>
      </c>
      <c r="AB102" s="2" t="str">
        <f t="shared" si="13"/>
        <v>000000</v>
      </c>
      <c r="AC102" s="2" t="str" cm="1">
        <f t="array" ref="AC102">TEXT($D102,"000")&amp;TEXT(IFERROR(INDEX($D$5:$D$103,_xlfn.AGGREGATE(15,6,ROW($E$5:$E$103)/(($E$5:$E$103&lt;&gt;"p")*($E$5:$E$103&lt;&gt;"t")*(ROW($E$5:$E$103)&gt;ROW($E102))),1)-ROW($E$5)+1),$D102),"000")</f>
        <v>000000</v>
      </c>
      <c r="AD102" s="2" t="str" cm="1">
        <f t="array" ref="AD102">TEXT(_xlfn.XLOOKUP(TRUE, AA103:AA$103&lt;&gt;"250000", AA103:AA$103, "未找到"),"000000")</f>
        <v>000000</v>
      </c>
      <c r="AE102" s="2" t="str" cm="1">
        <f t="array" ref="AE102">_xlfn.SWITCH(TRUE,J102&lt;&gt;"",TEXT(J102,"MMSS"),TRUE,IFERROR(TEXT(E103-F102,"MMSS"),"0000"))</f>
        <v>0000</v>
      </c>
    </row>
    <row r="103" spans="1:31">
      <c r="A103" s="2">
        <v>100</v>
      </c>
      <c r="B103" s="5"/>
      <c r="C103" s="5"/>
      <c r="D103" s="5"/>
      <c r="E103" s="5"/>
      <c r="F103" s="5"/>
      <c r="G103" s="5"/>
      <c r="H103" s="5"/>
      <c r="I103" s="5"/>
      <c r="J103" s="5"/>
      <c r="K103" s="2" t="str">
        <f t="shared" si="8"/>
        <v>terminal</v>
      </c>
      <c r="L103" s="2" t="str" cm="1">
        <f t="array" ref="L103">TEXT(_xlfn.SWITCH(TRUE,E103="P",$B$1,AND(E103="",K103&lt;&gt;"TERMINAL"),$D$1,TRUE,HOUR(E103)),"00")</f>
        <v>00</v>
      </c>
      <c r="M103" s="2" t="str" cm="1">
        <f t="array" ref="M103">TEXT(_xlfn.SWITCH(TRUE,E103="P","00",AND(E103="",K103&lt;&gt;"TERMINAL"),"00",TRUE,MINUTE(E103)),"00")</f>
        <v>00</v>
      </c>
      <c r="N103" s="2" t="str" cm="1">
        <f t="array" ref="N103">TEXT(_xlfn.SWITCH(TRUE,E103="P","00",AND(E103="",K103&lt;&gt;"TERMINAL"),"00",TRUE,SECOND(E103)),"00")</f>
        <v>00</v>
      </c>
      <c r="O103" s="2" t="str" cm="1">
        <f t="array" ref="O103">_xlfn.SWITCH(TRUE,AND(L103="00",K103&lt;&gt;"TERMINAL"),TEXT($B$2,"00"),L103=TEXT($B$1,"00"),TEXT($B$1,"00"),L103=TEXT($D$1,"00"),TEXT($D$1,"00"),TRUE,+L103)</f>
        <v>00</v>
      </c>
      <c r="P103" s="2" t="str" cm="1">
        <f t="array" ref="P103">_xlfn.SWITCH(TRUE,OR(L103=TEXT($B$1,"00"),L103=TEXT($D$1,"00")),"00",AND(M103="00",K103&lt;&gt;"TERMINAL"),TEXT($D$2,"00"),TRUE,M103)</f>
        <v>00</v>
      </c>
      <c r="Q103" s="2" t="str" cm="1">
        <f t="array" ref="Q103">_xlfn.SWITCH(TRUE,OR(L103=TEXT($B$1,"00"),L103=TEXT($D$1,"00")),"00",AND(N103="00",K103&lt;&gt;"TERMINAL"),TEXT($F$2,"00"),TRUE,N103)</f>
        <v>00</v>
      </c>
      <c r="R103" s="2" t="str">
        <f t="shared" si="9"/>
        <v>00</v>
      </c>
      <c r="S103" s="2" t="str" cm="1">
        <f t="array" ref="S103">_xlfn.SWITCH(TRUE,F103="T",TEXT($F$1,"00"),AND(F103="",K103&lt;&gt;"TERMINAL"),"00",TRUE,TEXT(HOUR(F103),"00"))</f>
        <v>00</v>
      </c>
      <c r="T103" s="2" t="str" cm="1">
        <f t="array" ref="T103">TEXT(_xlfn.SWITCH(TRUE,F103="T","00",AND(F103="",K103&lt;&gt;"TERMINAL"),"00",TRUE,MINUTE(F103)),"00")</f>
        <v>00</v>
      </c>
      <c r="U103" s="2" t="str" cm="1">
        <f t="array" ref="U103">TEXT(_xlfn.SWITCH(TRUE,F103="T","00",AND(F103="",K103&lt;&gt;"TERMINAL"),"00",TRUE,SECOND(F103)),"00")</f>
        <v>00</v>
      </c>
      <c r="V103" s="2" t="str">
        <f t="shared" si="10"/>
        <v>00</v>
      </c>
      <c r="W103" s="2" t="str" cm="1">
        <f t="array" ref="W103">_xlfn.SWITCH(TRUE,OR(S103=TEXT($B$1,"00"),S103=TEXT($D$1,"00")),"00",AND(T103="00",K103&lt;&gt;"TERMINAL"),TEXT($D$2,"00"),TRUE,T103)</f>
        <v>00</v>
      </c>
      <c r="X103" s="2" t="str" cm="1">
        <f t="array" ref="X103">_xlfn.SWITCH(TRUE,OR(S103=TEXT($B$1,"00"),S103=TEXT($D$1,"00")),"00",AND(U103="00",K103&lt;&gt;"TERMINAL"),TEXT($F$2,"00"),TRUE,U103)</f>
        <v>00</v>
      </c>
      <c r="Y103" s="2" t="str">
        <f t="shared" si="11"/>
        <v>00</v>
      </c>
      <c r="Z103" s="2" t="str">
        <f t="shared" si="14"/>
        <v>FALSE</v>
      </c>
      <c r="AA103" s="2" t="str">
        <f t="shared" si="12"/>
        <v>000000</v>
      </c>
      <c r="AB103" s="2" t="str">
        <f t="shared" si="13"/>
        <v>000000</v>
      </c>
      <c r="AC103" s="2" t="str" cm="1">
        <f t="array" ref="AC103">TEXT($D103,"000")&amp;TEXT(IFERROR(INDEX($D$5:$D$103,_xlfn.AGGREGATE(15,6,ROW($E$5:$E$103)/(($E$5:$E$103&lt;&gt;"p")*($E$5:$E$103&lt;&gt;"t")*(ROW($E$5:$E$103)&gt;ROW($E103))),1)-ROW($E$5)+1),$D103),"000")</f>
        <v>000000</v>
      </c>
      <c r="AD103" s="2" t="str" cm="1">
        <f t="array" ref="AD103">TEXT(_xlfn.XLOOKUP(TRUE, AA$103:AA104&lt;&gt;"250000", AA$103:AA104, "未找到"),"000000")</f>
        <v>000000</v>
      </c>
      <c r="AE103" s="2" t="str" cm="1">
        <f t="array" ref="AE103">_xlfn.SWITCH(TRUE,J103&lt;&gt;"",TEXT(J103,"MMSS"),TRUE,IFERROR(TEXT(E104-F103,"MMSS"),"0000"))</f>
        <v>0000</v>
      </c>
    </row>
    <row r="104" spans="1:31">
      <c r="A104" s="2"/>
      <c r="B104" s="2"/>
      <c r="C104" s="2"/>
      <c r="D104" s="2"/>
      <c r="E104" s="4"/>
      <c r="F104" s="4"/>
      <c r="G104" s="2"/>
      <c r="H104" s="2"/>
      <c r="I104" s="2"/>
      <c r="K104" s="2" t="str">
        <f t="shared" si="8"/>
        <v>terminal</v>
      </c>
      <c r="L104" s="2" t="str" cm="1">
        <f t="array" ref="L104">TEXT(_xlfn.SWITCH(TRUE,E104="P",$B$1,AND(E104="",K104&lt;&gt;"TERMINAL"),$D$1,TRUE,HOUR(E104)),"00")</f>
        <v>00</v>
      </c>
      <c r="M104" s="2" t="str" cm="1">
        <f t="array" ref="M104">TEXT(_xlfn.SWITCH(TRUE,E104="P","00",AND(E104="",K104&lt;&gt;"TERMINAL"),"00",TRUE,MINUTE(E104)),"00")</f>
        <v>00</v>
      </c>
      <c r="N104" s="2" t="str" cm="1">
        <f t="array" ref="N104">TEXT(_xlfn.SWITCH(TRUE,E104="P","00",AND(E104="",K104&lt;&gt;"TERMINAL"),"00",TRUE,SECOND(E104)),"00")</f>
        <v>00</v>
      </c>
      <c r="O104" s="2" t="str" cm="1">
        <f t="array" ref="O104">_xlfn.SWITCH(TRUE,AND(L104="00",K104&lt;&gt;"TERMINAL"),TEXT($B$2,"00"),L104=TEXT($B$1,"00"),TEXT($B$1,"00"),L104=TEXT($D$1,"00"),TEXT($D$1,"00"),TRUE,+L104)</f>
        <v>00</v>
      </c>
      <c r="P104" s="2" t="str" cm="1">
        <f t="array" ref="P104">_xlfn.SWITCH(TRUE,OR(L104=TEXT($B$1,"00"),L104=TEXT($D$1,"00")),"00",AND(M104="00",K104&lt;&gt;"TERMINAL"),TEXT($D$2,"00"),TRUE,M104)</f>
        <v>00</v>
      </c>
      <c r="Q104" s="2" t="str" cm="1">
        <f t="array" ref="Q104">_xlfn.SWITCH(TRUE,OR(L104=TEXT($B$1,"00"),L104=TEXT($D$1,"00")),"00",AND(N104="00",K104&lt;&gt;"TERMINAL"),TEXT($F$2,"00"),TRUE,N104)</f>
        <v>00</v>
      </c>
      <c r="R104" s="2" t="str">
        <f t="shared" si="9"/>
        <v>00</v>
      </c>
      <c r="S104" s="2" t="str" cm="1">
        <f t="array" ref="S104">_xlfn.SWITCH(TRUE,F104="T",TEXT($F$1,"00"),AND(F104="",K104&lt;&gt;"TERMINAL"),"00",TRUE,TEXT(HOUR(F104),"00"))</f>
        <v>00</v>
      </c>
      <c r="T104" s="2" t="str" cm="1">
        <f t="array" ref="T104">TEXT(_xlfn.SWITCH(TRUE,F104="T","00",AND(F104="",K104&lt;&gt;"TERMINAL"),"00",TRUE,MINUTE(F104)),"00")</f>
        <v>00</v>
      </c>
      <c r="U104" s="2" t="str" cm="1">
        <f t="array" ref="U104">TEXT(_xlfn.SWITCH(TRUE,F104="T","00",AND(F104="",K104&lt;&gt;"TERMINAL"),"00",TRUE,SECOND(F104)),"00")</f>
        <v>00</v>
      </c>
      <c r="V104" s="2" t="str">
        <f t="shared" ref="V104:V110" si="15">IF(AND(S104="00",F103&lt;&gt;"t",V103&lt;&gt;"00"),"24",S104)</f>
        <v>00</v>
      </c>
      <c r="W104" s="2" t="str" cm="1">
        <f t="array" ref="W104">_xlfn.SWITCH(TRUE,OR(S104=TEXT($B$1,"00"),S104=TEXT($D$1,"00")),"00",AND(T104="00",K104&lt;&gt;"TERMINAL"),TEXT($D$2,"00"),TRUE,T104)</f>
        <v>00</v>
      </c>
      <c r="X104" s="2" t="str" cm="1">
        <f t="array" ref="X104">_xlfn.SWITCH(TRUE,OR(S104=TEXT($B$1,"00"),S104=TEXT($D$1,"00")),"00",AND(U104="00",K104&lt;&gt;"TERMINAL"),TEXT($F$2,"00"),TRUE,U104)</f>
        <v>00</v>
      </c>
      <c r="Y104" s="2" t="str">
        <f t="shared" ref="Y104:Y110" si="16">IF(OR(S104="27"),S103,S104)</f>
        <v>00</v>
      </c>
      <c r="Z104" s="2" t="str">
        <f t="shared" si="14"/>
        <v>FALSE</v>
      </c>
      <c r="AA104" s="2" t="str">
        <f t="shared" ref="AA104:AA110" si="17">IF(Z104="TRUE",O104&amp;P104&amp;Q104,IF(OR(L104="25",L104="26"),O104&amp;P104&amp;Q104,"00"&amp;P104&amp;Q104))</f>
        <v>000000</v>
      </c>
      <c r="AB104" s="2" t="str">
        <f t="shared" ref="AB104:AB110" si="18">IF(Z104="TRUE",V104&amp;W104&amp;X104,IF(S104="27",V104&amp;W104&amp;X104,"00"&amp;W104&amp;X104))</f>
        <v>000000</v>
      </c>
      <c r="AC104" s="2" t="str" cm="1">
        <f t="array" ref="AC104">TEXT($D104,"000")&amp;TEXT(IFERROR(INDEX($D$5:$D$103,_xlfn.AGGREGATE(15,6,ROW($E$5:$E$103)/(($E$5:$E$103&lt;&gt;"p")*($E$5:$E$103&lt;&gt;"t")*(ROW($E$5:$E$103)&gt;ROW($E104))),1)-ROW($E$5)+1),$D104),"000")</f>
        <v>000000</v>
      </c>
      <c r="AD104" s="2" t="str" cm="1">
        <f t="array" ref="AD104">TEXT(_xlfn.XLOOKUP(TRUE, AA$103:AA105&lt;&gt;"250000", AA$103:AA105, "未找到"),"000000")</f>
        <v>000000</v>
      </c>
      <c r="AE104" s="2" t="str" cm="1">
        <f t="array" ref="AE104">_xlfn.SWITCH(TRUE,J104&lt;&gt;"",TEXT(J104,"MMSS"),TRUE,IFERROR(TEXT(E105-F104,"MMSS"),"0000"))</f>
        <v>0000</v>
      </c>
    </row>
    <row r="105" spans="1:31">
      <c r="A105" s="2"/>
      <c r="B105" s="2"/>
      <c r="C105" s="2"/>
      <c r="D105" s="2"/>
      <c r="E105" s="3"/>
      <c r="F105" s="3"/>
      <c r="G105" s="2"/>
      <c r="H105" s="2"/>
      <c r="I105" s="2"/>
      <c r="K105" s="2" t="str">
        <f t="shared" si="8"/>
        <v>terminal</v>
      </c>
      <c r="L105" s="2" t="str" cm="1">
        <f t="array" ref="L105">TEXT(_xlfn.SWITCH(TRUE,E105="P",$B$1,AND(E105="",K105&lt;&gt;"TERMINAL"),$D$1,TRUE,HOUR(E105)),"00")</f>
        <v>00</v>
      </c>
      <c r="M105" s="2" t="str" cm="1">
        <f t="array" ref="M105">TEXT(_xlfn.SWITCH(TRUE,E105="P","00",AND(E105="",K105&lt;&gt;"TERMINAL"),"00",TRUE,MINUTE(E105)),"00")</f>
        <v>00</v>
      </c>
      <c r="N105" s="2" t="str" cm="1">
        <f t="array" ref="N105">TEXT(_xlfn.SWITCH(TRUE,E105="P","00",AND(E105="",K105&lt;&gt;"TERMINAL"),"00",TRUE,SECOND(E105)),"00")</f>
        <v>00</v>
      </c>
      <c r="O105" s="2" t="str" cm="1">
        <f t="array" ref="O105">_xlfn.SWITCH(TRUE,AND(L105="00",K105&lt;&gt;"TERMINAL"),TEXT($B$2,"00"),L105=TEXT($B$1,"00"),TEXT($B$1,"00"),L105=TEXT($D$1,"00"),TEXT($D$1,"00"),TRUE,+L105)</f>
        <v>00</v>
      </c>
      <c r="P105" s="2" t="str" cm="1">
        <f t="array" ref="P105">_xlfn.SWITCH(TRUE,OR(L105=TEXT($B$1,"00"),L105=TEXT($D$1,"00")),"00",AND(M105="00",K105&lt;&gt;"TERMINAL"),TEXT($D$2,"00"),TRUE,M105)</f>
        <v>00</v>
      </c>
      <c r="Q105" s="2" t="str" cm="1">
        <f t="array" ref="Q105">_xlfn.SWITCH(TRUE,OR(L105=TEXT($B$1,"00"),L105=TEXT($D$1,"00")),"00",AND(N105="00",K105&lt;&gt;"TERMINAL"),TEXT($F$2,"00"),TRUE,N105)</f>
        <v>00</v>
      </c>
      <c r="R105" s="2" t="str">
        <f t="shared" si="9"/>
        <v>00</v>
      </c>
      <c r="S105" s="2" t="str" cm="1">
        <f t="array" ref="S105">_xlfn.SWITCH(TRUE,F105="T",TEXT($F$1,"00"),AND(F105="",K105&lt;&gt;"TERMINAL"),"00",TRUE,TEXT(HOUR(F105),"00"))</f>
        <v>00</v>
      </c>
      <c r="T105" s="2" t="str" cm="1">
        <f t="array" ref="T105">TEXT(_xlfn.SWITCH(TRUE,F105="T","00",AND(F105="",K105&lt;&gt;"TERMINAL"),"00",TRUE,MINUTE(F105)),"00")</f>
        <v>00</v>
      </c>
      <c r="U105" s="2" t="str" cm="1">
        <f t="array" ref="U105">TEXT(_xlfn.SWITCH(TRUE,F105="T","00",AND(F105="",K105&lt;&gt;"TERMINAL"),"00",TRUE,SECOND(F105)),"00")</f>
        <v>00</v>
      </c>
      <c r="V105" s="2" t="str">
        <f t="shared" si="15"/>
        <v>00</v>
      </c>
      <c r="W105" s="2" t="str" cm="1">
        <f t="array" ref="W105">_xlfn.SWITCH(TRUE,OR(S105=TEXT($B$1,"00"),S105=TEXT($D$1,"00")),"00",AND(T105="00",K105&lt;&gt;"TERMINAL"),TEXT($D$2,"00"),TRUE,T105)</f>
        <v>00</v>
      </c>
      <c r="X105" s="2" t="str" cm="1">
        <f t="array" ref="X105">_xlfn.SWITCH(TRUE,OR(S105=TEXT($B$1,"00"),S105=TEXT($D$1,"00")),"00",AND(U105="00",K105&lt;&gt;"TERMINAL"),TEXT($F$2,"00"),TRUE,U105)</f>
        <v>00</v>
      </c>
      <c r="Y105" s="2" t="str">
        <f t="shared" si="16"/>
        <v>00</v>
      </c>
      <c r="Z105" s="2" t="str">
        <f t="shared" si="14"/>
        <v>FALSE</v>
      </c>
      <c r="AA105" s="2" t="str">
        <f t="shared" si="17"/>
        <v>000000</v>
      </c>
      <c r="AB105" s="2" t="str">
        <f t="shared" si="18"/>
        <v>000000</v>
      </c>
      <c r="AC105" s="2" t="str" cm="1">
        <f t="array" ref="AC105">TEXT($D105,"000")&amp;TEXT(IFERROR(INDEX($D$5:$D$103,_xlfn.AGGREGATE(15,6,ROW($E$5:$E$103)/(($E$5:$E$103&lt;&gt;"p")*($E$5:$E$103&lt;&gt;"t")*(ROW($E$5:$E$103)&gt;ROW($E105))),1)-ROW($E$5)+1),$D105),"000")</f>
        <v>000000</v>
      </c>
      <c r="AD105" s="2" t="str" cm="1">
        <f t="array" ref="AD105">TEXT(_xlfn.XLOOKUP(TRUE, AA$103:AA106&lt;&gt;"250000", AA$103:AA106, "未找到"),"000000")</f>
        <v>000000</v>
      </c>
      <c r="AE105" s="2" t="str" cm="1">
        <f t="array" ref="AE105">_xlfn.SWITCH(TRUE,J105&lt;&gt;"",TEXT(J105,"MMSS"),TRUE,IFERROR(TEXT(E106-F105,"MMSS"),"0000"))</f>
        <v>0000</v>
      </c>
    </row>
    <row r="106" spans="1:31">
      <c r="A106" s="2"/>
      <c r="B106" s="2"/>
      <c r="C106" s="2"/>
      <c r="D106" s="2"/>
      <c r="E106" s="3"/>
      <c r="F106" s="3"/>
      <c r="G106" s="2"/>
      <c r="H106" s="2"/>
      <c r="I106" s="2"/>
      <c r="K106" s="2" t="str">
        <f t="shared" si="8"/>
        <v>terminal</v>
      </c>
      <c r="L106" s="2" t="str" cm="1">
        <f t="array" ref="L106">TEXT(_xlfn.SWITCH(TRUE,E106="P",$B$1,AND(E106="",K106&lt;&gt;"TERMINAL"),$D$1,TRUE,HOUR(E106)),"00")</f>
        <v>00</v>
      </c>
      <c r="M106" s="2" t="str" cm="1">
        <f t="array" ref="M106">TEXT(_xlfn.SWITCH(TRUE,E106="P","00",AND(E106="",K106&lt;&gt;"TERMINAL"),"00",TRUE,MINUTE(E106)),"00")</f>
        <v>00</v>
      </c>
      <c r="N106" s="2" t="str" cm="1">
        <f t="array" ref="N106">TEXT(_xlfn.SWITCH(TRUE,E106="P","00",AND(E106="",K106&lt;&gt;"TERMINAL"),"00",TRUE,SECOND(E106)),"00")</f>
        <v>00</v>
      </c>
      <c r="O106" s="2" t="str" cm="1">
        <f t="array" ref="O106">_xlfn.SWITCH(TRUE,AND(L106="00",K106&lt;&gt;"TERMINAL"),TEXT($B$2,"00"),L106=TEXT($B$1,"00"),TEXT($B$1,"00"),L106=TEXT($D$1,"00"),TEXT($D$1,"00"),TRUE,+L106)</f>
        <v>00</v>
      </c>
      <c r="P106" s="2" t="str" cm="1">
        <f t="array" ref="P106">_xlfn.SWITCH(TRUE,OR(L106=TEXT($B$1,"00"),L106=TEXT($D$1,"00")),"00",AND(M106="00",K106&lt;&gt;"TERMINAL"),TEXT($D$2,"00"),TRUE,M106)</f>
        <v>00</v>
      </c>
      <c r="Q106" s="2" t="str" cm="1">
        <f t="array" ref="Q106">_xlfn.SWITCH(TRUE,OR(L106=TEXT($B$1,"00"),L106=TEXT($D$1,"00")),"00",AND(N106="00",K106&lt;&gt;"TERMINAL"),TEXT($F$2,"00"),TRUE,N106)</f>
        <v>00</v>
      </c>
      <c r="R106" s="2" t="str">
        <f t="shared" si="9"/>
        <v>00</v>
      </c>
      <c r="S106" s="2" t="str" cm="1">
        <f t="array" ref="S106">_xlfn.SWITCH(TRUE,F106="T",TEXT($F$1,"00"),AND(F106="",K106&lt;&gt;"TERMINAL"),"00",TRUE,TEXT(HOUR(F106),"00"))</f>
        <v>00</v>
      </c>
      <c r="T106" s="2" t="str" cm="1">
        <f t="array" ref="T106">TEXT(_xlfn.SWITCH(TRUE,F106="T","00",AND(F106="",K106&lt;&gt;"TERMINAL"),"00",TRUE,MINUTE(F106)),"00")</f>
        <v>00</v>
      </c>
      <c r="U106" s="2" t="str" cm="1">
        <f t="array" ref="U106">TEXT(_xlfn.SWITCH(TRUE,F106="T","00",AND(F106="",K106&lt;&gt;"TERMINAL"),"00",TRUE,SECOND(F106)),"00")</f>
        <v>00</v>
      </c>
      <c r="V106" s="2" t="str">
        <f t="shared" si="15"/>
        <v>00</v>
      </c>
      <c r="W106" s="2" t="str" cm="1">
        <f t="array" ref="W106">_xlfn.SWITCH(TRUE,OR(S106=TEXT($B$1,"00"),S106=TEXT($D$1,"00")),"00",AND(T106="00",K106&lt;&gt;"TERMINAL"),TEXT($D$2,"00"),TRUE,T106)</f>
        <v>00</v>
      </c>
      <c r="X106" s="2" t="str" cm="1">
        <f t="array" ref="X106">_xlfn.SWITCH(TRUE,OR(S106=TEXT($B$1,"00"),S106=TEXT($D$1,"00")),"00",AND(U106="00",K106&lt;&gt;"TERMINAL"),TEXT($F$2,"00"),TRUE,U106)</f>
        <v>00</v>
      </c>
      <c r="Y106" s="2" t="str">
        <f t="shared" si="16"/>
        <v>00</v>
      </c>
      <c r="Z106" s="2" t="str">
        <f t="shared" si="14"/>
        <v>FALSE</v>
      </c>
      <c r="AA106" s="2" t="str">
        <f t="shared" si="17"/>
        <v>000000</v>
      </c>
      <c r="AB106" s="2" t="str">
        <f t="shared" si="18"/>
        <v>000000</v>
      </c>
      <c r="AC106" s="2" t="str" cm="1">
        <f t="array" ref="AC106">TEXT($D106,"000")&amp;TEXT(IFERROR(INDEX($D$5:$D$103,_xlfn.AGGREGATE(15,6,ROW($E$5:$E$103)/(($E$5:$E$103&lt;&gt;"p")*($E$5:$E$103&lt;&gt;"t")*(ROW($E$5:$E$103)&gt;ROW($E106))),1)-ROW($E$5)+1),$D106),"000")</f>
        <v>000000</v>
      </c>
      <c r="AD106" s="2" t="str" cm="1">
        <f t="array" ref="AD106">TEXT(_xlfn.XLOOKUP(TRUE, AA$103:AA107&lt;&gt;"250000", AA$103:AA107, "未找到"),"000000")</f>
        <v>000000</v>
      </c>
      <c r="AE106" s="2" t="str" cm="1">
        <f t="array" ref="AE106">_xlfn.SWITCH(TRUE,J106&lt;&gt;"",TEXT(J106,"MMSS"),TRUE,IFERROR(TEXT(E107-F106,"MMSS"),"0000"))</f>
        <v>0000</v>
      </c>
    </row>
    <row r="107" spans="1:31">
      <c r="A107" s="2"/>
      <c r="B107" s="2"/>
      <c r="C107" s="2"/>
      <c r="D107" s="2"/>
      <c r="E107" s="3"/>
      <c r="F107" s="3"/>
      <c r="G107" s="2"/>
      <c r="H107" s="2"/>
      <c r="I107" s="2"/>
      <c r="K107" s="2" t="str">
        <f t="shared" si="8"/>
        <v>terminal</v>
      </c>
      <c r="L107" s="2" t="str" cm="1">
        <f t="array" ref="L107">TEXT(_xlfn.SWITCH(TRUE,E107="P",$B$1,AND(E107="",K107&lt;&gt;"TERMINAL"),$D$1,TRUE,HOUR(E107)),"00")</f>
        <v>00</v>
      </c>
      <c r="M107" s="2" t="str" cm="1">
        <f t="array" ref="M107">TEXT(_xlfn.SWITCH(TRUE,E107="P","00",AND(E107="",K107&lt;&gt;"TERMINAL"),"00",TRUE,MINUTE(E107)),"00")</f>
        <v>00</v>
      </c>
      <c r="N107" s="2" t="str" cm="1">
        <f t="array" ref="N107">TEXT(_xlfn.SWITCH(TRUE,E107="P","00",AND(E107="",K107&lt;&gt;"TERMINAL"),"00",TRUE,SECOND(E107)),"00")</f>
        <v>00</v>
      </c>
      <c r="O107" s="2" t="str" cm="1">
        <f t="array" ref="O107">_xlfn.SWITCH(TRUE,AND(L107="00",K107&lt;&gt;"TERMINAL"),TEXT($B$2,"00"),L107=TEXT($B$1,"00"),TEXT($B$1,"00"),L107=TEXT($D$1,"00"),TEXT($D$1,"00"),TRUE,+L107)</f>
        <v>00</v>
      </c>
      <c r="P107" s="2" t="str" cm="1">
        <f t="array" ref="P107">_xlfn.SWITCH(TRUE,OR(L107=TEXT($B$1,"00"),L107=TEXT($D$1,"00")),"00",AND(M107="00",K107&lt;&gt;"TERMINAL"),TEXT($D$2,"00"),TRUE,M107)</f>
        <v>00</v>
      </c>
      <c r="Q107" s="2" t="str" cm="1">
        <f t="array" ref="Q107">_xlfn.SWITCH(TRUE,OR(L107=TEXT($B$1,"00"),L107=TEXT($D$1,"00")),"00",AND(N107="00",K107&lt;&gt;"TERMINAL"),TEXT($F$2,"00"),TRUE,N107)</f>
        <v>00</v>
      </c>
      <c r="R107" s="2" t="str">
        <f t="shared" si="9"/>
        <v>00</v>
      </c>
      <c r="S107" s="2" t="str" cm="1">
        <f t="array" ref="S107">_xlfn.SWITCH(TRUE,F107="T",TEXT($F$1,"00"),AND(F107="",K107&lt;&gt;"TERMINAL"),"00",TRUE,TEXT(HOUR(F107),"00"))</f>
        <v>00</v>
      </c>
      <c r="T107" s="2" t="str" cm="1">
        <f t="array" ref="T107">TEXT(_xlfn.SWITCH(TRUE,F107="T","00",AND(F107="",K107&lt;&gt;"TERMINAL"),"00",TRUE,MINUTE(F107)),"00")</f>
        <v>00</v>
      </c>
      <c r="U107" s="2" t="str" cm="1">
        <f t="array" ref="U107">TEXT(_xlfn.SWITCH(TRUE,F107="T","00",AND(F107="",K107&lt;&gt;"TERMINAL"),"00",TRUE,SECOND(F107)),"00")</f>
        <v>00</v>
      </c>
      <c r="V107" s="2" t="str">
        <f t="shared" si="15"/>
        <v>00</v>
      </c>
      <c r="W107" s="2" t="str" cm="1">
        <f t="array" ref="W107">_xlfn.SWITCH(TRUE,OR(S107=TEXT($B$1,"00"),S107=TEXT($D$1,"00")),"00",AND(T107="00",K107&lt;&gt;"TERMINAL"),TEXT($D$2,"00"),TRUE,T107)</f>
        <v>00</v>
      </c>
      <c r="X107" s="2" t="str" cm="1">
        <f t="array" ref="X107">_xlfn.SWITCH(TRUE,OR(S107=TEXT($B$1,"00"),S107=TEXT($D$1,"00")),"00",AND(U107="00",K107&lt;&gt;"TERMINAL"),TEXT($F$2,"00"),TRUE,U107)</f>
        <v>00</v>
      </c>
      <c r="Y107" s="2" t="str">
        <f t="shared" si="16"/>
        <v>00</v>
      </c>
      <c r="Z107" s="2" t="str">
        <f t="shared" si="14"/>
        <v>FALSE</v>
      </c>
      <c r="AA107" s="2" t="str">
        <f t="shared" si="17"/>
        <v>000000</v>
      </c>
      <c r="AB107" s="2" t="str">
        <f t="shared" si="18"/>
        <v>000000</v>
      </c>
      <c r="AC107" s="2" t="str" cm="1">
        <f t="array" ref="AC107">TEXT($D107,"000")&amp;TEXT(IFERROR(INDEX($D$5:$D$103,_xlfn.AGGREGATE(15,6,ROW($E$5:$E$103)/(($E$5:$E$103&lt;&gt;"p")*($E$5:$E$103&lt;&gt;"t")*(ROW($E$5:$E$103)&gt;ROW($E107))),1)-ROW($E$5)+1),$D107),"000")</f>
        <v>000000</v>
      </c>
      <c r="AD107" s="2" t="str" cm="1">
        <f t="array" ref="AD107">TEXT(_xlfn.XLOOKUP(TRUE, AA$103:AA108&lt;&gt;"250000", AA$103:AA108, "未找到"),"000000")</f>
        <v>000000</v>
      </c>
      <c r="AE107" s="2" t="str" cm="1">
        <f t="array" ref="AE107">_xlfn.SWITCH(TRUE,J107&lt;&gt;"",TEXT(J107,"MMSS"),TRUE,IFERROR(TEXT(E108-F107,"MMSS"),"0000"))</f>
        <v>0000</v>
      </c>
    </row>
    <row r="108" spans="1:31">
      <c r="A108" s="2"/>
      <c r="B108" s="2"/>
      <c r="C108" s="2"/>
      <c r="D108" s="2"/>
      <c r="E108" s="3"/>
      <c r="F108" s="3"/>
      <c r="G108" s="2"/>
      <c r="H108" s="2"/>
      <c r="I108" s="2"/>
      <c r="K108" s="2" t="str">
        <f t="shared" si="8"/>
        <v>terminal</v>
      </c>
      <c r="L108" s="2" t="str" cm="1">
        <f t="array" ref="L108">TEXT(_xlfn.SWITCH(TRUE,E108="P",$B$1,AND(E108="",K108&lt;&gt;"TERMINAL"),$D$1,TRUE,HOUR(E108)),"00")</f>
        <v>00</v>
      </c>
      <c r="M108" s="2" t="str" cm="1">
        <f t="array" ref="M108">TEXT(_xlfn.SWITCH(TRUE,E108="P","00",AND(E108="",K108&lt;&gt;"TERMINAL"),"00",TRUE,MINUTE(E108)),"00")</f>
        <v>00</v>
      </c>
      <c r="N108" s="2" t="str" cm="1">
        <f t="array" ref="N108">TEXT(_xlfn.SWITCH(TRUE,E108="P","00",AND(E108="",K108&lt;&gt;"TERMINAL"),"00",TRUE,SECOND(E108)),"00")</f>
        <v>00</v>
      </c>
      <c r="O108" s="2" t="str" cm="1">
        <f t="array" ref="O108">_xlfn.SWITCH(TRUE,AND(L108="00",K108&lt;&gt;"TERMINAL"),TEXT($B$2,"00"),L108=TEXT($B$1,"00"),TEXT($B$1,"00"),L108=TEXT($D$1,"00"),TEXT($D$1,"00"),TRUE,+L108)</f>
        <v>00</v>
      </c>
      <c r="P108" s="2" t="str" cm="1">
        <f t="array" ref="P108">_xlfn.SWITCH(TRUE,OR(L108=TEXT($B$1,"00"),L108=TEXT($D$1,"00")),"00",AND(M108="00",K108&lt;&gt;"TERMINAL"),TEXT($D$2,"00"),TRUE,M108)</f>
        <v>00</v>
      </c>
      <c r="Q108" s="2" t="str" cm="1">
        <f t="array" ref="Q108">_xlfn.SWITCH(TRUE,OR(L108=TEXT($B$1,"00"),L108=TEXT($D$1,"00")),"00",AND(N108="00",K108&lt;&gt;"TERMINAL"),TEXT($F$2,"00"),TRUE,N108)</f>
        <v>00</v>
      </c>
      <c r="R108" s="2" t="str">
        <f t="shared" si="9"/>
        <v>00</v>
      </c>
      <c r="S108" s="2" t="str" cm="1">
        <f t="array" ref="S108">_xlfn.SWITCH(TRUE,F108="T",TEXT($F$1,"00"),AND(F108="",K108&lt;&gt;"TERMINAL"),"00",TRUE,TEXT(HOUR(F108),"00"))</f>
        <v>00</v>
      </c>
      <c r="T108" s="2" t="str" cm="1">
        <f t="array" ref="T108">TEXT(_xlfn.SWITCH(TRUE,F108="T","00",AND(F108="",K108&lt;&gt;"TERMINAL"),"00",TRUE,MINUTE(F108)),"00")</f>
        <v>00</v>
      </c>
      <c r="U108" s="2" t="str" cm="1">
        <f t="array" ref="U108">TEXT(_xlfn.SWITCH(TRUE,F108="T","00",AND(F108="",K108&lt;&gt;"TERMINAL"),"00",TRUE,SECOND(F108)),"00")</f>
        <v>00</v>
      </c>
      <c r="V108" s="2" t="str">
        <f t="shared" si="15"/>
        <v>00</v>
      </c>
      <c r="W108" s="2" t="str" cm="1">
        <f t="array" ref="W108">_xlfn.SWITCH(TRUE,OR(S108=TEXT($B$1,"00"),S108=TEXT($D$1,"00")),"00",AND(T108="00",K108&lt;&gt;"TERMINAL"),TEXT($D$2,"00"),TRUE,T108)</f>
        <v>00</v>
      </c>
      <c r="X108" s="2" t="str" cm="1">
        <f t="array" ref="X108">_xlfn.SWITCH(TRUE,OR(S108=TEXT($B$1,"00"),S108=TEXT($D$1,"00")),"00",AND(U108="00",K108&lt;&gt;"TERMINAL"),TEXT($F$2,"00"),TRUE,U108)</f>
        <v>00</v>
      </c>
      <c r="Y108" s="2" t="str">
        <f t="shared" si="16"/>
        <v>00</v>
      </c>
      <c r="Z108" s="2" t="str">
        <f t="shared" si="14"/>
        <v>FALSE</v>
      </c>
      <c r="AA108" s="2" t="str">
        <f t="shared" si="17"/>
        <v>000000</v>
      </c>
      <c r="AB108" s="2" t="str">
        <f t="shared" si="18"/>
        <v>000000</v>
      </c>
      <c r="AC108" s="2" t="str" cm="1">
        <f t="array" ref="AC108">TEXT($D108,"000")&amp;TEXT(IFERROR(INDEX($D$5:$D$103,_xlfn.AGGREGATE(15,6,ROW($E$5:$E$103)/(($E$5:$E$103&lt;&gt;"p")*($E$5:$E$103&lt;&gt;"t")*(ROW($E$5:$E$103)&gt;ROW($E108))),1)-ROW($E$5)+1),$D108),"000")</f>
        <v>000000</v>
      </c>
      <c r="AD108" s="2" t="str" cm="1">
        <f t="array" ref="AD108">TEXT(_xlfn.XLOOKUP(TRUE, AA$103:AA109&lt;&gt;"250000", AA$103:AA109, "未找到"),"000000")</f>
        <v>000000</v>
      </c>
      <c r="AE108" s="2" t="str" cm="1">
        <f t="array" ref="AE108">_xlfn.SWITCH(TRUE,J108&lt;&gt;"",TEXT(J108,"MMSS"),TRUE,IFERROR(TEXT(E109-F108,"MMSS"),"0000"))</f>
        <v>0000</v>
      </c>
    </row>
    <row r="109" spans="1:31">
      <c r="A109" s="2"/>
      <c r="B109" s="2"/>
      <c r="C109" s="2"/>
      <c r="D109" s="2"/>
      <c r="E109" s="3"/>
      <c r="F109" s="3"/>
      <c r="G109" s="2"/>
      <c r="H109" s="2"/>
      <c r="I109" s="2"/>
      <c r="K109" s="2" t="str">
        <f t="shared" si="8"/>
        <v>terminal</v>
      </c>
      <c r="L109" s="2" t="str" cm="1">
        <f t="array" ref="L109">TEXT(_xlfn.SWITCH(TRUE,E109="P",$B$1,AND(E109="",K109&lt;&gt;"TERMINAL"),$D$1,TRUE,HOUR(E109)),"00")</f>
        <v>00</v>
      </c>
      <c r="M109" s="2" t="str" cm="1">
        <f t="array" ref="M109">TEXT(_xlfn.SWITCH(TRUE,E109="P","00",AND(E109="",K109&lt;&gt;"TERMINAL"),"00",TRUE,MINUTE(E109)),"00")</f>
        <v>00</v>
      </c>
      <c r="N109" s="2" t="str" cm="1">
        <f t="array" ref="N109">TEXT(_xlfn.SWITCH(TRUE,E109="P","00",AND(E109="",K109&lt;&gt;"TERMINAL"),"00",TRUE,SECOND(E109)),"00")</f>
        <v>00</v>
      </c>
      <c r="O109" s="2" t="str" cm="1">
        <f t="array" ref="O109">_xlfn.SWITCH(TRUE,AND(L109="00",K109&lt;&gt;"TERMINAL"),TEXT($B$2,"00"),L109=TEXT($B$1,"00"),TEXT($B$1,"00"),L109=TEXT($D$1,"00"),TEXT($D$1,"00"),TRUE,+L109)</f>
        <v>00</v>
      </c>
      <c r="P109" s="2" t="str" cm="1">
        <f t="array" ref="P109">_xlfn.SWITCH(TRUE,OR(L109=TEXT($B$1,"00"),L109=TEXT($D$1,"00")),"00",AND(M109="00",K109&lt;&gt;"TERMINAL"),TEXT($D$2,"00"),TRUE,M109)</f>
        <v>00</v>
      </c>
      <c r="Q109" s="2" t="str" cm="1">
        <f t="array" ref="Q109">_xlfn.SWITCH(TRUE,OR(L109=TEXT($B$1,"00"),L109=TEXT($D$1,"00")),"00",AND(N109="00",K109&lt;&gt;"TERMINAL"),TEXT($F$2,"00"),TRUE,N109)</f>
        <v>00</v>
      </c>
      <c r="R109" s="2" t="str">
        <f t="shared" si="9"/>
        <v>00</v>
      </c>
      <c r="S109" s="2" t="str" cm="1">
        <f t="array" ref="S109">_xlfn.SWITCH(TRUE,F109="T",TEXT($F$1,"00"),AND(F109="",K109&lt;&gt;"TERMINAL"),"00",TRUE,TEXT(HOUR(F109),"00"))</f>
        <v>00</v>
      </c>
      <c r="T109" s="2" t="str" cm="1">
        <f t="array" ref="T109">TEXT(_xlfn.SWITCH(TRUE,F109="T","00",AND(F109="",K109&lt;&gt;"TERMINAL"),"00",TRUE,MINUTE(F109)),"00")</f>
        <v>00</v>
      </c>
      <c r="U109" s="2" t="str" cm="1">
        <f t="array" ref="U109">TEXT(_xlfn.SWITCH(TRUE,F109="T","00",AND(F109="",K109&lt;&gt;"TERMINAL"),"00",TRUE,SECOND(F109)),"00")</f>
        <v>00</v>
      </c>
      <c r="V109" s="2" t="str">
        <f t="shared" si="15"/>
        <v>00</v>
      </c>
      <c r="W109" s="2" t="str" cm="1">
        <f t="array" ref="W109">_xlfn.SWITCH(TRUE,OR(S109=TEXT($B$1,"00"),S109=TEXT($D$1,"00")),"00",AND(T109="00",K109&lt;&gt;"TERMINAL"),TEXT($D$2,"00"),TRUE,T109)</f>
        <v>00</v>
      </c>
      <c r="X109" s="2" t="str" cm="1">
        <f t="array" ref="X109">_xlfn.SWITCH(TRUE,OR(S109=TEXT($B$1,"00"),S109=TEXT($D$1,"00")),"00",AND(U109="00",K109&lt;&gt;"TERMINAL"),TEXT($F$2,"00"),TRUE,U109)</f>
        <v>00</v>
      </c>
      <c r="Y109" s="2" t="str">
        <f t="shared" si="16"/>
        <v>00</v>
      </c>
      <c r="Z109" s="2" t="str">
        <f t="shared" si="14"/>
        <v>FALSE</v>
      </c>
      <c r="AA109" s="2" t="str">
        <f t="shared" si="17"/>
        <v>000000</v>
      </c>
      <c r="AB109" s="2" t="str">
        <f t="shared" si="18"/>
        <v>000000</v>
      </c>
      <c r="AC109" s="2" t="str" cm="1">
        <f t="array" ref="AC109">TEXT($D109,"000")&amp;TEXT(IFERROR(INDEX($D$5:$D$103,_xlfn.AGGREGATE(15,6,ROW($E$5:$E$103)/(($E$5:$E$103&lt;&gt;"p")*($E$5:$E$103&lt;&gt;"t")*(ROW($E$5:$E$103)&gt;ROW($E109))),1)-ROW($E$5)+1),$D109),"000")</f>
        <v>000000</v>
      </c>
      <c r="AD109" s="2" t="str" cm="1">
        <f t="array" ref="AD109">TEXT(_xlfn.XLOOKUP(TRUE, AA$103:AA110&lt;&gt;"250000", AA$103:AA110, "未找到"),"000000")</f>
        <v>000000</v>
      </c>
      <c r="AE109" s="2" t="str" cm="1">
        <f t="array" ref="AE109">_xlfn.SWITCH(TRUE,J109&lt;&gt;"",TEXT(J109,"MMSS"),TRUE,IFERROR(TEXT(E110-F109,"MMSS"),"0000"))</f>
        <v>0000</v>
      </c>
    </row>
    <row r="110" spans="1:31">
      <c r="A110" s="2"/>
      <c r="B110" s="2"/>
      <c r="C110" s="2"/>
      <c r="D110" s="2"/>
      <c r="E110" s="3"/>
      <c r="F110" s="3"/>
      <c r="G110" s="2"/>
      <c r="H110" s="2"/>
      <c r="I110" s="2"/>
      <c r="K110" s="2" t="str">
        <f t="shared" si="8"/>
        <v>terminal</v>
      </c>
      <c r="L110" s="2" t="str" cm="1">
        <f t="array" ref="L110">TEXT(_xlfn.SWITCH(TRUE,E110="P",$B$1,AND(E110="",K110&lt;&gt;"TERMINAL"),$D$1,TRUE,HOUR(E110)),"00")</f>
        <v>00</v>
      </c>
      <c r="M110" s="2" t="str" cm="1">
        <f t="array" ref="M110">TEXT(_xlfn.SWITCH(TRUE,E110="P","00",AND(E110="",K110&lt;&gt;"TERMINAL"),"00",TRUE,MINUTE(E110)),"00")</f>
        <v>00</v>
      </c>
      <c r="N110" s="2" t="str" cm="1">
        <f t="array" ref="N110">TEXT(_xlfn.SWITCH(TRUE,E110="P","00",AND(E110="",K110&lt;&gt;"TERMINAL"),"00",TRUE,SECOND(E110)),"00")</f>
        <v>00</v>
      </c>
      <c r="O110" s="2" t="str" cm="1">
        <f t="array" ref="O110">_xlfn.SWITCH(TRUE,AND(L110="00",K110&lt;&gt;"TERMINAL"),TEXT($B$2,"00"),L110=TEXT($B$1,"00"),TEXT($B$1,"00"),L110=TEXT($D$1,"00"),TEXT($D$1,"00"),TRUE,+L110)</f>
        <v>00</v>
      </c>
      <c r="P110" s="2" t="str" cm="1">
        <f t="array" ref="P110">_xlfn.SWITCH(TRUE,OR(L110=TEXT($B$1,"00"),L110=TEXT($D$1,"00")),"00",AND(M110="00",K110&lt;&gt;"TERMINAL"),TEXT($D$2,"00"),TRUE,M110)</f>
        <v>00</v>
      </c>
      <c r="Q110" s="2" t="str" cm="1">
        <f t="array" ref="Q110">_xlfn.SWITCH(TRUE,OR(L110=TEXT($B$1,"00"),L110=TEXT($D$1,"00")),"00",AND(N110="00",K110&lt;&gt;"TERMINAL"),TEXT($F$2,"00"),TRUE,N110)</f>
        <v>00</v>
      </c>
      <c r="R110" s="2" t="str">
        <f t="shared" si="9"/>
        <v>00</v>
      </c>
      <c r="S110" s="2" t="str" cm="1">
        <f t="array" ref="S110">_xlfn.SWITCH(TRUE,F110="T",TEXT($F$1,"00"),AND(F110="",K110&lt;&gt;"TERMINAL"),"00",TRUE,TEXT(HOUR(F110),"00"))</f>
        <v>00</v>
      </c>
      <c r="T110" s="2" t="str" cm="1">
        <f t="array" ref="T110">TEXT(_xlfn.SWITCH(TRUE,F110="T","00",AND(F110="",K110&lt;&gt;"TERMINAL"),"00",TRUE,MINUTE(F110)),"00")</f>
        <v>00</v>
      </c>
      <c r="U110" s="2" t="str" cm="1">
        <f t="array" ref="U110">TEXT(_xlfn.SWITCH(TRUE,F110="T","00",AND(F110="",K110&lt;&gt;"TERMINAL"),"00",TRUE,SECOND(F110)),"00")</f>
        <v>00</v>
      </c>
      <c r="V110" s="2" t="str">
        <f t="shared" si="15"/>
        <v>00</v>
      </c>
      <c r="W110" s="2" t="str" cm="1">
        <f t="array" ref="W110">_xlfn.SWITCH(TRUE,OR(S110=TEXT($B$1,"00"),S110=TEXT($D$1,"00")),"00",AND(T110="00",K110&lt;&gt;"TERMINAL"),TEXT($D$2,"00"),TRUE,T110)</f>
        <v>00</v>
      </c>
      <c r="X110" s="2" t="str" cm="1">
        <f t="array" ref="X110">_xlfn.SWITCH(TRUE,OR(S110=TEXT($B$1,"00"),S110=TEXT($D$1,"00")),"00",AND(U110="00",K110&lt;&gt;"TERMINAL"),TEXT($F$2,"00"),TRUE,U110)</f>
        <v>00</v>
      </c>
      <c r="Y110" s="2" t="str">
        <f t="shared" si="16"/>
        <v>00</v>
      </c>
      <c r="Z110" s="2" t="str">
        <f t="shared" si="14"/>
        <v>FALSE</v>
      </c>
      <c r="AA110" s="2" t="str">
        <f t="shared" si="17"/>
        <v>000000</v>
      </c>
      <c r="AB110" s="2" t="str">
        <f t="shared" si="18"/>
        <v>000000</v>
      </c>
      <c r="AC110" s="2" t="str" cm="1">
        <f t="array" ref="AC110">TEXT($D110,"000")&amp;TEXT(IFERROR(INDEX($D$5:$D$103,_xlfn.AGGREGATE(15,6,ROW($E$5:$E$103)/(($E$5:$E$103&lt;&gt;"p")*($E$5:$E$103&lt;&gt;"t")*(ROW($E$5:$E$103)&gt;ROW($E110))),1)-ROW($E$5)+1),$D110),"000")</f>
        <v>000000</v>
      </c>
      <c r="AD110" s="2" t="str" cm="1">
        <f t="array" ref="AD110">TEXT(_xlfn.XLOOKUP(TRUE, AA$103:AA111&lt;&gt;"250000", AA$103:AA111, "未找到"),"000000")</f>
        <v>000000</v>
      </c>
      <c r="AE110" s="2" t="str" cm="1">
        <f t="array" ref="AE110">_xlfn.SWITCH(TRUE,J110&lt;&gt;"",TEXT(J110,"MMSS"),TRUE,IFERROR(TEXT(E111-F110,"MMSS"),"0000"))</f>
        <v>0000</v>
      </c>
    </row>
  </sheetData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B13C04-8BB9-4470-83ED-7553CE87118C}">
  <dimension ref="A1:BD110"/>
  <sheetViews>
    <sheetView zoomScale="115" zoomScaleNormal="115" workbookViewId="0">
      <selection activeCell="G28" sqref="G28"/>
    </sheetView>
  </sheetViews>
  <sheetFormatPr defaultRowHeight="14.4"/>
  <cols>
    <col min="1" max="1" width="15.6640625" bestFit="1" customWidth="1"/>
    <col min="2" max="2" width="11" bestFit="1" customWidth="1"/>
    <col min="3" max="3" width="15.6640625" bestFit="1" customWidth="1"/>
    <col min="4" max="4" width="8.21875" bestFit="1" customWidth="1"/>
    <col min="5" max="5" width="15.6640625" style="1" bestFit="1" customWidth="1"/>
    <col min="6" max="6" width="16.21875" style="1" bestFit="1" customWidth="1"/>
    <col min="7" max="9" width="13.5546875" bestFit="1" customWidth="1"/>
    <col min="10" max="10" width="35.88671875" bestFit="1" customWidth="1"/>
    <col min="11" max="11" width="7.88671875" style="22" customWidth="1"/>
    <col min="12" max="12" width="7.77734375" style="22" customWidth="1"/>
    <col min="13" max="17" width="12" style="22" customWidth="1"/>
    <col min="18" max="18" width="5" style="22" customWidth="1"/>
    <col min="19" max="23" width="3" style="22" customWidth="1"/>
    <col min="24" max="35" width="7.21875" style="22" customWidth="1"/>
    <col min="36" max="38" width="9" style="22" customWidth="1"/>
    <col min="39" max="44" width="3" style="22" customWidth="1"/>
    <col min="45" max="45" width="4.109375" style="22" customWidth="1"/>
    <col min="46" max="46" width="4.44140625" style="22" customWidth="1"/>
    <col min="47" max="47" width="5" style="22" customWidth="1"/>
    <col min="48" max="48" width="4.44140625" style="22" customWidth="1"/>
    <col min="49" max="49" width="11" style="22" customWidth="1"/>
    <col min="50" max="50" width="13.109375" style="22" customWidth="1"/>
    <col min="51" max="52" width="11" style="22" customWidth="1"/>
    <col min="53" max="53" width="13.109375" style="14" customWidth="1"/>
    <col min="54" max="55" width="15.21875" style="14" customWidth="1"/>
    <col min="56" max="56" width="13.109375" style="14" customWidth="1"/>
  </cols>
  <sheetData>
    <row r="1" spans="1:56">
      <c r="A1" s="18" t="s">
        <v>80</v>
      </c>
      <c r="B1" s="6">
        <v>6200</v>
      </c>
      <c r="C1" s="18" t="s">
        <v>71</v>
      </c>
      <c r="D1" s="6">
        <v>0</v>
      </c>
      <c r="E1" s="18" t="s">
        <v>96</v>
      </c>
      <c r="F1" s="5">
        <v>5</v>
      </c>
      <c r="K1"/>
      <c r="L1"/>
      <c r="M1"/>
      <c r="N1"/>
      <c r="O1"/>
      <c r="P1"/>
      <c r="Q1" t="s">
        <v>100</v>
      </c>
      <c r="R1" s="25">
        <v>110</v>
      </c>
      <c r="S1" s="25"/>
      <c r="T1" s="25"/>
      <c r="U1" s="25"/>
      <c r="V1" s="25"/>
      <c r="W1" s="25"/>
      <c r="X1" s="25">
        <v>111</v>
      </c>
      <c r="Y1" s="25"/>
      <c r="Z1" s="25"/>
      <c r="AA1" s="25"/>
      <c r="AB1" s="25"/>
      <c r="AC1" s="25"/>
      <c r="AD1" s="25">
        <v>112</v>
      </c>
      <c r="AE1" s="25"/>
      <c r="AF1" s="25"/>
      <c r="AG1" s="25"/>
      <c r="AH1" s="25"/>
      <c r="AI1" s="25"/>
      <c r="AJ1" s="22">
        <v>106</v>
      </c>
      <c r="AK1" s="22">
        <v>30</v>
      </c>
      <c r="AL1" s="22">
        <v>105</v>
      </c>
      <c r="AM1" s="25">
        <v>113</v>
      </c>
      <c r="AN1" s="25"/>
      <c r="AO1" s="25"/>
      <c r="AP1" s="25"/>
      <c r="AQ1" s="25"/>
      <c r="AR1" s="25"/>
      <c r="AS1" s="25">
        <v>117</v>
      </c>
      <c r="AT1" s="25"/>
      <c r="AU1" s="25"/>
      <c r="AV1" s="25"/>
      <c r="AW1" s="22">
        <v>134</v>
      </c>
      <c r="AX1" s="22">
        <v>132</v>
      </c>
      <c r="AY1" s="22">
        <v>129</v>
      </c>
      <c r="AZ1" s="22">
        <v>130</v>
      </c>
      <c r="BA1" s="14">
        <v>133</v>
      </c>
      <c r="BB1" s="14">
        <v>131</v>
      </c>
      <c r="BC1" s="14" t="s">
        <v>105</v>
      </c>
      <c r="BD1" s="14">
        <v>128</v>
      </c>
    </row>
    <row r="2" spans="1:56">
      <c r="A2" s="18" t="s">
        <v>67</v>
      </c>
      <c r="B2" s="6">
        <v>24</v>
      </c>
      <c r="C2" s="18" t="s">
        <v>66</v>
      </c>
      <c r="D2" s="6">
        <v>60</v>
      </c>
      <c r="E2" s="18" t="s">
        <v>68</v>
      </c>
      <c r="F2" s="6">
        <v>60</v>
      </c>
      <c r="K2"/>
      <c r="L2"/>
      <c r="M2"/>
      <c r="N2"/>
      <c r="O2"/>
      <c r="P2"/>
      <c r="Q2"/>
      <c r="R2" s="25" t="s">
        <v>76</v>
      </c>
      <c r="S2" s="25"/>
      <c r="T2" s="25"/>
      <c r="U2" s="25"/>
      <c r="V2" s="25"/>
      <c r="W2" s="25"/>
      <c r="X2" s="25" t="s">
        <v>78</v>
      </c>
      <c r="Y2" s="25"/>
      <c r="Z2" s="25"/>
      <c r="AA2" s="25"/>
      <c r="AB2" s="25"/>
      <c r="AC2" s="25"/>
      <c r="AD2" s="25" t="s">
        <v>79</v>
      </c>
      <c r="AE2" s="25"/>
      <c r="AF2" s="25"/>
      <c r="AG2" s="25"/>
      <c r="AH2" s="25"/>
      <c r="AI2" s="25"/>
      <c r="AJ2" s="7" t="s">
        <v>77</v>
      </c>
      <c r="AK2" s="22" t="s">
        <v>99</v>
      </c>
      <c r="AL2" s="22" t="s">
        <v>102</v>
      </c>
      <c r="AM2" s="25" t="s">
        <v>103</v>
      </c>
      <c r="AN2" s="25"/>
      <c r="AO2" s="25"/>
      <c r="AP2" s="25"/>
      <c r="AQ2" s="25"/>
      <c r="AR2" s="25"/>
      <c r="AS2" s="25" t="s">
        <v>104</v>
      </c>
      <c r="AT2" s="25"/>
      <c r="AU2" s="25"/>
      <c r="AV2" s="25"/>
      <c r="AW2" s="22" t="s">
        <v>101</v>
      </c>
      <c r="AX2" s="22" t="s">
        <v>106</v>
      </c>
      <c r="AY2" s="22" t="s">
        <v>107</v>
      </c>
      <c r="AZ2" s="22" t="s">
        <v>108</v>
      </c>
      <c r="BA2" s="22" t="s">
        <v>109</v>
      </c>
      <c r="BB2" s="22" t="s">
        <v>110</v>
      </c>
      <c r="BC2" s="22" t="s">
        <v>115</v>
      </c>
      <c r="BD2" s="22" t="s">
        <v>111</v>
      </c>
    </row>
    <row r="3" spans="1:56">
      <c r="A3" s="2" t="s">
        <v>0</v>
      </c>
      <c r="B3" s="2" t="s">
        <v>1</v>
      </c>
      <c r="C3" s="19" t="s">
        <v>28</v>
      </c>
      <c r="D3" s="19" t="s">
        <v>29</v>
      </c>
      <c r="E3" s="20" t="s">
        <v>30</v>
      </c>
      <c r="F3" s="20" t="s">
        <v>31</v>
      </c>
      <c r="G3" s="2" t="s">
        <v>34</v>
      </c>
      <c r="H3" s="2" t="s">
        <v>69</v>
      </c>
      <c r="I3" s="2" t="s">
        <v>70</v>
      </c>
      <c r="J3" s="2" t="s">
        <v>98</v>
      </c>
      <c r="K3" s="14" t="s">
        <v>53</v>
      </c>
      <c r="L3" s="14" t="s">
        <v>72</v>
      </c>
      <c r="M3" s="14" t="s">
        <v>75</v>
      </c>
      <c r="N3" s="14" t="s">
        <v>40</v>
      </c>
      <c r="O3" s="14" t="s">
        <v>41</v>
      </c>
      <c r="P3" s="14" t="s">
        <v>113</v>
      </c>
      <c r="Q3" s="14" t="s">
        <v>114</v>
      </c>
      <c r="R3" s="7" t="s">
        <v>86</v>
      </c>
      <c r="S3" s="7" t="s">
        <v>87</v>
      </c>
      <c r="T3" s="7" t="s">
        <v>88</v>
      </c>
      <c r="U3" s="7" t="s">
        <v>89</v>
      </c>
      <c r="V3" s="7" t="s">
        <v>90</v>
      </c>
      <c r="W3" s="7" t="s">
        <v>91</v>
      </c>
      <c r="X3" s="7" t="s">
        <v>86</v>
      </c>
      <c r="Y3" s="7" t="s">
        <v>87</v>
      </c>
      <c r="Z3" s="7" t="s">
        <v>88</v>
      </c>
      <c r="AA3" s="7" t="s">
        <v>89</v>
      </c>
      <c r="AB3" s="7" t="s">
        <v>90</v>
      </c>
      <c r="AC3" s="7" t="s">
        <v>91</v>
      </c>
      <c r="AD3" s="7" t="s">
        <v>86</v>
      </c>
      <c r="AE3" s="7" t="s">
        <v>87</v>
      </c>
      <c r="AF3" s="7" t="s">
        <v>88</v>
      </c>
      <c r="AG3" s="7" t="s">
        <v>89</v>
      </c>
      <c r="AH3" s="7" t="s">
        <v>90</v>
      </c>
      <c r="AI3" s="7" t="s">
        <v>91</v>
      </c>
      <c r="AJ3" s="7" t="s">
        <v>105</v>
      </c>
      <c r="AK3" s="7" t="s">
        <v>105</v>
      </c>
      <c r="AL3" s="7" t="s">
        <v>105</v>
      </c>
      <c r="AM3" s="22" t="s">
        <v>86</v>
      </c>
      <c r="AN3" s="22" t="s">
        <v>87</v>
      </c>
      <c r="AO3" s="22" t="s">
        <v>88</v>
      </c>
      <c r="AP3" s="22" t="s">
        <v>89</v>
      </c>
      <c r="AQ3" s="22" t="s">
        <v>90</v>
      </c>
      <c r="AR3" s="22" t="s">
        <v>91</v>
      </c>
      <c r="AS3" s="23" t="s">
        <v>92</v>
      </c>
      <c r="AT3" s="24" t="s">
        <v>93</v>
      </c>
      <c r="AU3" s="24" t="s">
        <v>94</v>
      </c>
      <c r="AV3" s="24" t="s">
        <v>95</v>
      </c>
      <c r="AW3" s="22" t="s">
        <v>105</v>
      </c>
      <c r="AX3" s="22" t="s">
        <v>105</v>
      </c>
      <c r="AY3" s="22" t="s">
        <v>105</v>
      </c>
      <c r="AZ3" s="22" t="s">
        <v>105</v>
      </c>
      <c r="BA3" s="22" t="s">
        <v>105</v>
      </c>
      <c r="BB3" s="22" t="s">
        <v>105</v>
      </c>
      <c r="BC3" s="22" t="s">
        <v>105</v>
      </c>
      <c r="BD3" s="22" t="s">
        <v>105</v>
      </c>
    </row>
    <row r="4" spans="1:56">
      <c r="A4" s="2">
        <v>1</v>
      </c>
      <c r="B4" s="5" t="s">
        <v>116</v>
      </c>
      <c r="C4" s="5">
        <v>168950</v>
      </c>
      <c r="D4" s="5">
        <v>58</v>
      </c>
      <c r="E4" s="10">
        <v>0.46597222222222223</v>
      </c>
      <c r="F4" s="10">
        <v>0.46666666666666667</v>
      </c>
      <c r="G4" s="5">
        <v>3</v>
      </c>
      <c r="H4" s="5"/>
      <c r="I4" s="5"/>
      <c r="J4" s="5">
        <f>IF(F4&lt;&gt;"",1,0)</f>
        <v>1</v>
      </c>
      <c r="K4" s="14" t="str">
        <f t="shared" ref="K4:K67" si="0">IF(E3="着(hh:mm:ss)","start",IF(E4="p","pass",IF(OR(F4="t",K3="terminal"),"terminal","stop")))</f>
        <v>start</v>
      </c>
      <c r="L4" s="14" t="str" cm="1">
        <f t="array" ref="L4">_xlfn.SWITCH(TRUE,$K4="PASS",TEXT($B$1,"0000"),AND($K4="STOP",E4=""),TEXT($D$1,"0000"),$K3="TERMINAL","0000",TRUE,TEXT(E4,"MMSS"))</f>
        <v>1100</v>
      </c>
      <c r="M4" s="14" t="str" cm="1">
        <f t="array" ref="M4">_xlfn.SWITCH(TRUE,$K4="PASS",TEXT($B$1,"0000"),AND($K4="STOP",F4=""),TEXT($D$1,"0000"),$K4="TERMINAL","0000",TRUE,TEXT(F4,"MMSS"))</f>
        <v>1200</v>
      </c>
      <c r="N4" t="str" cm="1">
        <f t="array" ref="N4">_xlfn.SWITCH(TRUE,AND(LEFT(L4,2)="00",K4="TERMINAL"),"00",E4="",TEXT(LEFT($D$1,2),"00"),LEFT(L4,2)="00",$D$2&amp;"",TRUE,LEFT(L4,2))</f>
        <v>11</v>
      </c>
      <c r="O4" t="str" cm="1">
        <f t="array" ref="O4">_xlfn.SWITCH(TRUE,AND(N4="00",RIGHT(L4,2)="00",K4="TERMINAL"),"00",OR(E4="",N4=LEFT($B$1,2)),TEXT(RIGHT($D$1,2),"00"),RIGHT(L4,2)="00",$D$2&amp;"",TRUE,RIGHT(L4,2))</f>
        <v>60</v>
      </c>
      <c r="P4" t="str" cm="1">
        <f t="array" ref="P4">_xlfn.SWITCH(TRUE,AND(LEFT(M4,2)="00",K4="TERMINAL"),"00",F4="",TEXT(LEFT($D$1,2),"00"),LEFT(M4,2)="00",$D$2&amp;"",TRUE,LEFT(M4,2))</f>
        <v>12</v>
      </c>
      <c r="Q4" t="str" cm="1">
        <f t="array" ref="Q4">_xlfn.SWITCH(TRUE,AND(RIGHT(M4,2)="00",K4="TERMINAL"),"00",F4="",TEXT(RIGHT($D$1,2),"00"),RIGHT(M4,2)="00",$D$2&amp;"",TRUE,RIGHT(M4,2))</f>
        <v>60</v>
      </c>
      <c r="R4" s="7" cm="1">
        <f t="array" aca="1" ref="R4" ca="1">IF(INDIRECT("$D"&amp;(ROW(R4)+$F$1-1))=0,R2,$D4)</f>
        <v>58</v>
      </c>
      <c r="S4" s="7" cm="1">
        <f t="array" aca="1" ref="S4" ca="1">IF(INDIRECT("$D"&amp;(ROW(R4)+$F$1-1))=0,S2,$D5)</f>
        <v>57</v>
      </c>
      <c r="T4" s="7" cm="1">
        <f t="array" aca="1" ref="T4" ca="1">IF(INDIRECT("$D"&amp;(ROW(R4)+$F$1-1))=0,T2,$D6)</f>
        <v>56</v>
      </c>
      <c r="U4" s="7" cm="1">
        <f t="array" aca="1" ref="U4" ca="1">IF(INDIRECT("$D"&amp;(ROW(R4)+$F$1-1))=0,U2,$D7)</f>
        <v>55</v>
      </c>
      <c r="V4" s="7" cm="1">
        <f t="array" aca="1" ref="V4" ca="1">IF(INDIRECT("$D"&amp;(ROW(R4)+$F$1-1))=0,V2,$D8)</f>
        <v>54</v>
      </c>
      <c r="W4" s="7" cm="1">
        <f t="array" aca="1" ref="W4" ca="1">IF(INDIRECT("$D"&amp;(ROW(R4)+$F$1-1))=0,W2,$D9)</f>
        <v>53</v>
      </c>
      <c r="X4" s="7" t="str" cm="1">
        <f t="array" aca="1" ref="X4" ca="1">IF(INDIRECT("$D"&amp;(ROW(R4)+$F$1-1))=0,X2,$H4&amp;$N4&amp;$O4)</f>
        <v>1160</v>
      </c>
      <c r="Y4" s="7" t="str" cm="1">
        <f t="array" aca="1" ref="Y4" ca="1">IF(INDIRECT("$D"&amp;(ROW(R4)+$F$1-1))=0,Y3,H5&amp;$N5&amp;$O5)</f>
        <v>0000</v>
      </c>
      <c r="Z4" s="7" t="str" cm="1">
        <f t="array" aca="1" ref="Z4" ca="1">IF(INDIRECT("$D"&amp;(ROW(R4)+$F$1-1))=0,Z3,H6&amp;$N6&amp;$O6)</f>
        <v>1815</v>
      </c>
      <c r="AA4" s="7" t="str" cm="1">
        <f t="array" aca="1" ref="AA4" ca="1">IF(INDIRECT("$D"&amp;(ROW(R4)+$F$1-1))=0,AA3,H7&amp;$N7&amp;$O7)</f>
        <v>2215</v>
      </c>
      <c r="AB4" s="7" t="str" cm="1">
        <f t="array" aca="1" ref="AB4" ca="1">IF(INDIRECT("$D"&amp;(ROW(R4)+$F$1-1))=0,AB3,H8&amp;$N8&amp;$O8)</f>
        <v>0000</v>
      </c>
      <c r="AC4" s="7" t="str" cm="1">
        <f t="array" aca="1" ref="AC4" ca="1">IF(INDIRECT("$D"&amp;(ROW(R4)+$F$1-1))=0,AC3,H9&amp;$N9&amp;$O9)</f>
        <v>2860</v>
      </c>
      <c r="AD4" s="7" t="str" cm="1">
        <f t="array" aca="1" ref="AD4" ca="1">IF(INDIRECT("$D"&amp;(ROW(R4)+$F$1-1))=0,AD3,I4&amp;$P4&amp;$Q4)</f>
        <v>1260</v>
      </c>
      <c r="AE4" s="7" t="str" cm="1">
        <f t="array" aca="1" ref="AE4" ca="1">IF(INDIRECT("$D"&amp;(ROW(R4)+$F$1-1))=0,AE3,I5&amp;$P5&amp;$Q5)</f>
        <v>0000</v>
      </c>
      <c r="AF4" s="7" t="str" cm="1">
        <f t="array" aca="1" ref="AF4" ca="1">IF(INDIRECT("$D"&amp;(ROW(R4)+$F$1-1))=0,AF3,I6&amp;$P6&amp;$Q6)</f>
        <v>1845</v>
      </c>
      <c r="AG4" s="7" t="str" cm="1">
        <f t="array" aca="1" ref="AG4" ca="1">IF(INDIRECT("$D"&amp;(ROW(R4)+$F$1-1))=0,AG3,I7&amp;$P7&amp;$Q7)</f>
        <v>2245</v>
      </c>
      <c r="AH4" s="7" t="str" cm="1">
        <f t="array" aca="1" ref="AH4" ca="1">IF(INDIRECT("$D"&amp;(ROW(R4)+$F$1-1))=0,AH3,I8&amp;$P8&amp;$Q8)</f>
        <v>0000</v>
      </c>
      <c r="AI4" s="7" t="str" cm="1">
        <f t="array" aca="1" ref="AI4" ca="1">IF(INDIRECT("$D"&amp;(ROW(R4)+$F$1-1))=0,AI3,I9&amp;$P9&amp;$Q9)</f>
        <v>2830</v>
      </c>
      <c r="AJ4" s="7" t="str" cm="1">
        <f t="array" ref="AJ4">TEXT($D4,"000")&amp;TEXT(IFERROR(INDEX($D$5:$D$103,_xlfn.AGGREGATE(15,6,ROW($E$5:$E$103)/(($E$5:$E$103&lt;&gt;"p")*($E$5:$E$103&lt;&gt;"t")*(ROW($E$5:$E$103)&gt;ROW($E4))),1)-ROW($E$5)+1),$D4),"000")</f>
        <v>058057</v>
      </c>
      <c r="AK4" s="22">
        <f>IF(K4="PASS",-1,500)</f>
        <v>500</v>
      </c>
      <c r="AL4" s="22" cm="1">
        <f t="array" aca="1" ref="AL4" ca="1">IF(INDIRECT("$K"&amp;(ROW(R4)+$F$1-1))="TERMINAL",1000489,489)*SIGN(AK4)</f>
        <v>489</v>
      </c>
      <c r="AM4" s="7" cm="1">
        <f t="array" aca="1" ref="AM4" ca="1">IF(INDIRECT("$D"&amp;(ROW(R4)+$F$1-1))=0,AM1,$G4)</f>
        <v>3</v>
      </c>
      <c r="AN4" s="7" cm="1">
        <f t="array" aca="1" ref="AN4" ca="1">IF(INDIRECT("$D"&amp;(ROW(R4)+$F$1-1))=0,AN1,$G5)</f>
        <v>0</v>
      </c>
      <c r="AO4" s="7" cm="1">
        <f t="array" aca="1" ref="AO4" ca="1">IF(INDIRECT("$D"&amp;(ROW(R4)+$F$1-1))=0,AO1,$G6)</f>
        <v>2</v>
      </c>
      <c r="AP4" s="7" cm="1">
        <f t="array" aca="1" ref="AP4" ca="1">IF(INDIRECT("$D"&amp;(ROW(R4)+$F$1-1))=0,AP1,$G7)</f>
        <v>4</v>
      </c>
      <c r="AQ4" s="7" cm="1">
        <f t="array" aca="1" ref="AQ4" ca="1">IF(INDIRECT("$D"&amp;(ROW(R4)+$F$1-1))=0,AQ1,$G8)</f>
        <v>0</v>
      </c>
      <c r="AR4" s="7" cm="1">
        <f t="array" aca="1" ref="AR4" ca="1">IF(INDIRECT("$D"&amp;(ROW(R4)+$F$1-1))=0,AR1,$G9)</f>
        <v>3</v>
      </c>
      <c r="AS4" s="7" cm="1">
        <f t="array" aca="1" ref="AS4" ca="1">IF(INDIRECT("$D"&amp;(ROW(AS4)+$F$1-1))=0,AS3+4,1)</f>
        <v>1</v>
      </c>
      <c r="AT4" s="7" cm="1">
        <f t="array" aca="1" ref="AT4" ca="1">IF(INDIRECT("$D"&amp;(ROW(AT4)+$F$1-1))=0,AT3+4,2)</f>
        <v>2</v>
      </c>
      <c r="AU4" s="7" cm="1">
        <f t="array" aca="1" ref="AU4" ca="1">IF(INDIRECT("$D"&amp;(ROW(AU4)+$F$1-1))=0,AU3+4,3)</f>
        <v>3</v>
      </c>
      <c r="AV4" s="7" cm="1">
        <f t="array" aca="1" ref="AV4" ca="1">IF(INDIRECT("$D"&amp;(ROW(AV4)+$F$1-1))=0,AV3+4,4)</f>
        <v>4</v>
      </c>
      <c r="AW4" s="22" cm="1">
        <f t="array" aca="1" ref="AW4" ca="1">_xlfn.XLOOKUP(1,INDIRECT("J"&amp;ROW(K4)+$F$1):J$103,INDIRECT("D"&amp;ROW(K4)+$F$1):D$103,0,0,1)</f>
        <v>53</v>
      </c>
      <c r="AX4" s="22">
        <f ca="1">_xlfn.XLOOKUP($AW4,$D$4:$D$103,G$4:G$103,0,0,1)</f>
        <v>3</v>
      </c>
      <c r="AY4" s="22" t="str" cm="1">
        <f t="array" aca="1" ref="AY4" ca="1">_xlfn.XLOOKUP(AW4,D$4:D$110,H$4:H$110&amp;N$4:N$110&amp;O$4:O$110,0,0,1)</f>
        <v>2860</v>
      </c>
      <c r="AZ4" s="22" t="str" cm="1">
        <f t="array" aca="1" ref="AZ4" ca="1">_xlfn.XLOOKUP(AW4,D$4:D$110,I$4:I$110&amp;P$4:P$110&amp;Q$4:Q$110,0,0,1)</f>
        <v>2830</v>
      </c>
      <c r="BA4" s="14" cm="1">
        <f t="array" ref="BA4">_xlfn.XLOOKUP(1,J3:J$4,D3:D$4,0,0,-1)</f>
        <v>58</v>
      </c>
      <c r="BB4" s="14">
        <f>_xlfn.XLOOKUP(BA4,D$4:D$103,G$4:G$103,0,0,1)</f>
        <v>3</v>
      </c>
      <c r="BC4" s="14" t="str" cm="1">
        <f t="array" ref="BC4">_xlfn.SWITCH(TRUE,_xlfn.XLOOKUP(BA4,D$4:D$110,TEXT(F$4:F$110,"HH"),0,0,1)="00",B2&amp;"",_xlfn.XLOOKUP(BA4,D$4:D$110,TEXT(F$4:F$110,"HH"),0,0,1)="T","00",TRUE,_xlfn.XLOOKUP(BA4,D$4:D$110,TEXT(F$4:F$110,"HH"),0,0,1))</f>
        <v>11</v>
      </c>
      <c r="BD4" s="14" t="str">
        <f>BC4&amp;_xlfn.XLOOKUP(BA4,D$4:D$110,P$4:P$110,"00",0,1)&amp;_xlfn.XLOOKUP(BA4,D$4:D$110,Q$4:Q$110,"00",0,1)</f>
        <v>111260</v>
      </c>
    </row>
    <row r="5" spans="1:56">
      <c r="A5" s="2">
        <v>2</v>
      </c>
      <c r="B5" s="5" t="s">
        <v>117</v>
      </c>
      <c r="C5" s="5">
        <v>172525</v>
      </c>
      <c r="D5" s="5">
        <v>57</v>
      </c>
      <c r="E5" s="11"/>
      <c r="F5" s="10"/>
      <c r="G5" s="5"/>
      <c r="H5" s="5"/>
      <c r="I5" s="5"/>
      <c r="J5" s="5">
        <f t="shared" ref="J5:J68" si="1">IF(F5&lt;&gt;"",1,0)</f>
        <v>0</v>
      </c>
      <c r="K5" s="14" t="str">
        <f t="shared" si="0"/>
        <v>stop</v>
      </c>
      <c r="L5" s="14" t="str" cm="1">
        <f t="array" ref="L5">_xlfn.SWITCH(TRUE,$K5="PASS",TEXT($B$1,"0000"),AND($K5="STOP",E5=""),TEXT($D$1,"0000"),$K4="TERMINAL","0000",TRUE,TEXT(E5,"MMSS"))</f>
        <v>0000</v>
      </c>
      <c r="M5" s="14" t="str" cm="1">
        <f t="array" ref="M5">_xlfn.SWITCH(TRUE,$K5="PASS",TEXT($B$1,"0000"),AND($K5="STOP",F5=""),TEXT($D$1,"0000"),$K5="TERMINAL","0000",TRUE,TEXT(F5,"MMSS"))</f>
        <v>0000</v>
      </c>
      <c r="N5" t="str" cm="1">
        <f t="array" ref="N5">_xlfn.SWITCH(TRUE,AND(LEFT(L5,2)="00",K5="TERMINAL"),"00",E5="",TEXT(LEFT($D$1,2),"00"),LEFT(L5,2)="00",$D$2&amp;"",TRUE,LEFT(L5,2))</f>
        <v>00</v>
      </c>
      <c r="O5" t="str" cm="1">
        <f t="array" ref="O5">_xlfn.SWITCH(TRUE,AND(N5="00",RIGHT(L5,2)="00",K5="TERMINAL"),"00",OR(E5="",N5=LEFT($B$1,2)),TEXT(RIGHT($D$1,2),"00"),RIGHT(L5,2)="00",$D$2&amp;"",TRUE,RIGHT(L5,2))</f>
        <v>00</v>
      </c>
      <c r="P5" t="str" cm="1">
        <f t="array" ref="P5">_xlfn.SWITCH(TRUE,AND(LEFT(M5,2)="00",K5="TERMINAL"),"00",F5="",TEXT(LEFT($D$1,2),"00"),LEFT(M5,2)="00",$D$2&amp;"",TRUE,LEFT(M5,2))</f>
        <v>00</v>
      </c>
      <c r="Q5" t="str" cm="1">
        <f t="array" ref="Q5">_xlfn.SWITCH(TRUE,AND(RIGHT(M5,2)="00",K5="TERMINAL"),"00",F5="",TEXT(RIGHT($D$1,2),"00"),RIGHT(M5,2)="00",$D$2&amp;"",TRUE,RIGHT(M5,2))</f>
        <v>00</v>
      </c>
      <c r="R5" s="7" cm="1">
        <f t="array" aca="1" ref="R5" ca="1">IF(INDIRECT("$D"&amp;(ROW(R5)+$F$1-1))=0,R4,$D5)</f>
        <v>57</v>
      </c>
      <c r="S5" s="7" cm="1">
        <f t="array" aca="1" ref="S5" ca="1">IF(INDIRECT("$D"&amp;(ROW(R5)+$F$1-1))=0,S4,$D6)</f>
        <v>56</v>
      </c>
      <c r="T5" s="7" cm="1">
        <f t="array" aca="1" ref="T5" ca="1">IF(INDIRECT("$D"&amp;(ROW(R5)+$F$1-1))=0,T4,$D7)</f>
        <v>55</v>
      </c>
      <c r="U5" s="7" cm="1">
        <f t="array" aca="1" ref="U5" ca="1">IF(INDIRECT("$D"&amp;(ROW(R5)+$F$1-1))=0,U4,$D8)</f>
        <v>54</v>
      </c>
      <c r="V5" s="7" cm="1">
        <f t="array" aca="1" ref="V5" ca="1">IF(INDIRECT("$D"&amp;(ROW(R5)+$F$1-1))=0,V4,$D9)</f>
        <v>53</v>
      </c>
      <c r="W5" s="7" cm="1">
        <f t="array" aca="1" ref="W5" ca="1">IF(INDIRECT("$D"&amp;(ROW(R5)+$F$1-1))=0,W4,$D10)</f>
        <v>52</v>
      </c>
      <c r="X5" s="7" t="str" cm="1">
        <f t="array" aca="1" ref="X5" ca="1">IF(INDIRECT("$D"&amp;(ROW(R5)+$F$1-1))=0,X3,$H5&amp;$N5&amp;$O5)</f>
        <v>0000</v>
      </c>
      <c r="Y5" s="7" t="str" cm="1">
        <f t="array" aca="1" ref="Y5" ca="1">IF(INDIRECT("$D"&amp;(ROW(R5)+$F$1-1))=0,Y4,H6&amp;$N6&amp;$O6)</f>
        <v>1815</v>
      </c>
      <c r="Z5" s="7" t="str" cm="1">
        <f t="array" aca="1" ref="Z5" ca="1">IF(INDIRECT("$D"&amp;(ROW(R5)+$F$1-1))=0,Z4,H7&amp;$N7&amp;$O7)</f>
        <v>2215</v>
      </c>
      <c r="AA5" s="7" t="str" cm="1">
        <f t="array" aca="1" ref="AA5" ca="1">IF(INDIRECT("$D"&amp;(ROW(R5)+$F$1-1))=0,AA4,H8&amp;$N8&amp;$O8)</f>
        <v>0000</v>
      </c>
      <c r="AB5" s="7" t="str" cm="1">
        <f t="array" aca="1" ref="AB5" ca="1">IF(INDIRECT("$D"&amp;(ROW(R5)+$F$1-1))=0,AB4,H9&amp;$N9&amp;$O9)</f>
        <v>2860</v>
      </c>
      <c r="AC5" s="7" t="str" cm="1">
        <f t="array" aca="1" ref="AC5" ca="1">IF(INDIRECT("$D"&amp;(ROW(R5)+$F$1-1))=0,AC4,H10&amp;$N10&amp;$O10)</f>
        <v>6200</v>
      </c>
      <c r="AD5" s="7" t="str" cm="1">
        <f t="array" aca="1" ref="AD5" ca="1">IF(INDIRECT("$D"&amp;(ROW(R5)+$F$1-1))=0,AD4,I5&amp;$P5&amp;$Q5)</f>
        <v>0000</v>
      </c>
      <c r="AE5" s="7" t="str" cm="1">
        <f t="array" aca="1" ref="AE5" ca="1">IF(INDIRECT("$D"&amp;(ROW(R5)+$F$1-1))=0,AE4,I6&amp;$P6&amp;$Q6)</f>
        <v>1845</v>
      </c>
      <c r="AF5" s="7" t="str" cm="1">
        <f t="array" aca="1" ref="AF5" ca="1">IF(INDIRECT("$D"&amp;(ROW(R5)+$F$1-1))=0,AF4,I7&amp;$P7&amp;$Q7)</f>
        <v>2245</v>
      </c>
      <c r="AG5" s="7" t="str" cm="1">
        <f t="array" aca="1" ref="AG5" ca="1">IF(INDIRECT("$D"&amp;(ROW(R5)+$F$1-1))=0,AG4,I8&amp;$P8&amp;$Q8)</f>
        <v>0000</v>
      </c>
      <c r="AH5" s="7" t="str" cm="1">
        <f t="array" aca="1" ref="AH5" ca="1">IF(INDIRECT("$D"&amp;(ROW(R5)+$F$1-1))=0,AH4,I9&amp;$P9&amp;$Q9)</f>
        <v>2830</v>
      </c>
      <c r="AI5" s="7" t="str" cm="1">
        <f t="array" aca="1" ref="AI5" ca="1">IF(INDIRECT("$D"&amp;(ROW(R5)+$F$1-1))=0,AI4,I10&amp;$P10&amp;$Q10)</f>
        <v>0000</v>
      </c>
      <c r="AJ5" s="7" t="str" cm="1">
        <f t="array" ref="AJ5">TEXT($D5,"000")&amp;TEXT(IFERROR(INDEX($D$5:$D$103,_xlfn.AGGREGATE(15,6,ROW($E$5:$E$103)/(($E$5:$E$103&lt;&gt;"p")*($E$5:$E$103&lt;&gt;"t")*(ROW($E$5:$E$103)&gt;ROW($E5))),1)-ROW($E$5)+1),$D5),"000")</f>
        <v>057056</v>
      </c>
      <c r="AK5" s="22">
        <f t="shared" ref="AK5:AK68" si="2">IF(K5="PASS",-1,500)</f>
        <v>500</v>
      </c>
      <c r="AL5" s="22" cm="1">
        <f t="array" aca="1" ref="AL5" ca="1">IF(INDIRECT("$K"&amp;(ROW(R5)+$F$1-1))="TERMINAL",1000489,489)*SIGN(AK5)</f>
        <v>489</v>
      </c>
      <c r="AM5" s="7" cm="1">
        <f t="array" aca="1" ref="AM5" ca="1">IF(INDIRECT("$D"&amp;(ROW(R5)+$F$1-1))=0,AM4,$G5)</f>
        <v>0</v>
      </c>
      <c r="AN5" s="7" cm="1">
        <f t="array" aca="1" ref="AN5" ca="1">IF(INDIRECT("$D"&amp;(ROW(R5)+$F$1-1))=0,AN4,$G6)</f>
        <v>2</v>
      </c>
      <c r="AO5" s="7" cm="1">
        <f t="array" aca="1" ref="AO5" ca="1">IF(INDIRECT("$D"&amp;(ROW(R5)+$F$1-1))=0,AO4,$G7)</f>
        <v>4</v>
      </c>
      <c r="AP5" s="7" cm="1">
        <f t="array" aca="1" ref="AP5" ca="1">IF(INDIRECT("$D"&amp;(ROW(R5)+$F$1-1))=0,AP4,$G8)</f>
        <v>0</v>
      </c>
      <c r="AQ5" s="7" cm="1">
        <f t="array" aca="1" ref="AQ5" ca="1">IF(INDIRECT("$D"&amp;(ROW(R5)+$F$1-1))=0,AQ4,$G9)</f>
        <v>3</v>
      </c>
      <c r="AR5" s="7" cm="1">
        <f t="array" aca="1" ref="AR5" ca="1">IF(INDIRECT("$D"&amp;(ROW(R5)+$F$1-1))=0,AR4,$G10)</f>
        <v>3</v>
      </c>
      <c r="AS5" s="7" cm="1">
        <f t="array" aca="1" ref="AS5" ca="1">IF(INDIRECT("$D"&amp;(ROW(AS5)+$F$1-1))=0,AS4+4,1)</f>
        <v>1</v>
      </c>
      <c r="AT5" s="7" cm="1">
        <f t="array" aca="1" ref="AT5" ca="1">IF(INDIRECT("$D"&amp;(ROW(AT5)+$F$1-1))=0,AT4+4,2)</f>
        <v>2</v>
      </c>
      <c r="AU5" s="7" cm="1">
        <f t="array" aca="1" ref="AU5" ca="1">IF(INDIRECT("$D"&amp;(ROW(AU5)+$F$1-1))=0,AU4+4,3)</f>
        <v>3</v>
      </c>
      <c r="AV5" s="7" cm="1">
        <f t="array" aca="1" ref="AV5" ca="1">IF(INDIRECT("$D"&amp;(ROW(AV5)+$F$1-1))=0,AV4+4,4)</f>
        <v>4</v>
      </c>
      <c r="AW5" s="22" cm="1">
        <f t="array" aca="1" ref="AW5" ca="1">_xlfn.XLOOKUP(1,INDIRECT("J"&amp;ROW(K5)+$F$1):J$103,INDIRECT("D"&amp;ROW(K5)+$F$1):D$103,0,0,1)</f>
        <v>50</v>
      </c>
      <c r="AX5" s="22">
        <f t="shared" ref="AX5:AX68" ca="1" si="3">_xlfn.XLOOKUP(AW5,D$4:D$103,G$4:G$103,0,0,1)</f>
        <v>3</v>
      </c>
      <c r="AY5" s="22" t="str" cm="1">
        <f t="array" aca="1" ref="AY5" ca="1">_xlfn.XLOOKUP(AW5,D$4:D$110,H$4:H$110&amp;N$4:N$110&amp;O$4:O$110,0,0,1)</f>
        <v>3315</v>
      </c>
      <c r="AZ5" s="22" t="str" cm="1">
        <f t="array" aca="1" ref="AZ5" ca="1">_xlfn.XLOOKUP(AW5,D$4:D$110,I$4:I$110&amp;P$4:P$110&amp;Q$4:Q$110,0,0,1)</f>
        <v>3345</v>
      </c>
      <c r="BA5" s="14" cm="1">
        <f t="array" ref="BA5">_xlfn.XLOOKUP(1,J$4:J4,D$4:D4,0,0,-1)</f>
        <v>58</v>
      </c>
      <c r="BB5" s="14">
        <f>_xlfn.XLOOKUP(BA5,D$4:D$103,G$4:G$103,0,0,1)</f>
        <v>3</v>
      </c>
      <c r="BC5" s="14" t="str" cm="1">
        <f t="array" ref="BC5">_xlfn.SWITCH(TRUE,_xlfn.XLOOKUP(BA5,D$4:D$110,TEXT(F$4:F$110,"HH"),0,0,1)="00",B3&amp;"",_xlfn.XLOOKUP(BA5,D$4:D$110,TEXT(F$4:F$110,"HH"),0,0,1)="T","00",TRUE,_xlfn.XLOOKUP(BA5,D$4:D$110,TEXT(F$4:F$110,"HH"),0,0,1))</f>
        <v>11</v>
      </c>
      <c r="BD5" s="14" t="str">
        <f t="shared" ref="BD5:BD68" si="4">BC5&amp;_xlfn.XLOOKUP(BA5,D$4:D$110,P$4:P$110,"00",0,1)&amp;_xlfn.XLOOKUP(BA5,D$4:D$110,Q$4:Q$110,"00",0,1)</f>
        <v>111260</v>
      </c>
    </row>
    <row r="6" spans="1:56">
      <c r="A6" s="2">
        <v>3</v>
      </c>
      <c r="B6" s="5" t="s">
        <v>118</v>
      </c>
      <c r="C6" s="5">
        <v>175225</v>
      </c>
      <c r="D6" s="5">
        <v>56</v>
      </c>
      <c r="E6" s="10">
        <v>0.47100694444444446</v>
      </c>
      <c r="F6" s="10">
        <v>0.47135416666666669</v>
      </c>
      <c r="G6" s="5">
        <v>2</v>
      </c>
      <c r="H6" s="5"/>
      <c r="I6" s="5"/>
      <c r="J6" s="5">
        <f t="shared" si="1"/>
        <v>1</v>
      </c>
      <c r="K6" s="7" t="str">
        <f t="shared" si="0"/>
        <v>stop</v>
      </c>
      <c r="L6" s="7" t="str" cm="1">
        <f t="array" ref="L6">_xlfn.SWITCH(TRUE,$K6="PASS",TEXT($B$1,"0000"),AND($K6="STOP",E6=""),TEXT($D$1,"0000"),$K5="TERMINAL","0000",TRUE,TEXT(E6,"MMSS"))</f>
        <v>1815</v>
      </c>
      <c r="M6" s="7" t="str" cm="1">
        <f t="array" ref="M6">_xlfn.SWITCH(TRUE,$K6="PASS",TEXT($B$1,"0000"),AND($K6="STOP",F6=""),TEXT($D$1,"0000"),$K6="TERMINAL","0000",TRUE,TEXT(F6,"MMSS"))</f>
        <v>1845</v>
      </c>
      <c r="N6" t="str" cm="1">
        <f t="array" ref="N6">_xlfn.SWITCH(TRUE,AND(LEFT(L6,2)="00",K6="TERMINAL"),"00",E6="",TEXT(LEFT($D$1,2),"00"),LEFT(L6,2)="00",$D$2&amp;"",TRUE,LEFT(L6,2))</f>
        <v>18</v>
      </c>
      <c r="O6" t="str" cm="1">
        <f t="array" ref="O6">_xlfn.SWITCH(TRUE,AND(N6="00",RIGHT(L6,2)="00",K6="TERMINAL"),"00",OR(E6="",N6=LEFT($B$1,2)),TEXT(RIGHT($D$1,2),"00"),RIGHT(L6,2)="00",$D$2&amp;"",TRUE,RIGHT(L6,2))</f>
        <v>15</v>
      </c>
      <c r="P6" t="str" cm="1">
        <f t="array" ref="P6">_xlfn.SWITCH(TRUE,AND(LEFT(M6,2)="00",K6="TERMINAL"),"00",F6="",TEXT(LEFT($D$1,2),"00"),LEFT(M6,2)="00",$D$2&amp;"",TRUE,LEFT(M6,2))</f>
        <v>18</v>
      </c>
      <c r="Q6" t="str" cm="1">
        <f t="array" ref="Q6">_xlfn.SWITCH(TRUE,AND(RIGHT(M6,2)="00",K6="TERMINAL"),"00",F6="",TEXT(RIGHT($D$1,2),"00"),RIGHT(M6,2)="00",$D$2&amp;"",TRUE,RIGHT(M6,2))</f>
        <v>45</v>
      </c>
      <c r="R6" s="7" cm="1">
        <f t="array" aca="1" ref="R6" ca="1">IF(INDIRECT("$D"&amp;(ROW(R6)+$F$1-1))=0,R5,$D6)</f>
        <v>56</v>
      </c>
      <c r="S6" s="7" cm="1">
        <f t="array" aca="1" ref="S6" ca="1">IF(INDIRECT("$D"&amp;(ROW(R6)+$F$1-1))=0,S5,$D7)</f>
        <v>55</v>
      </c>
      <c r="T6" s="7" cm="1">
        <f t="array" aca="1" ref="T6" ca="1">IF(INDIRECT("$D"&amp;(ROW(R6)+$F$1-1))=0,T5,$D8)</f>
        <v>54</v>
      </c>
      <c r="U6" s="7" cm="1">
        <f t="array" aca="1" ref="U6" ca="1">IF(INDIRECT("$D"&amp;(ROW(R6)+$F$1-1))=0,U5,$D9)</f>
        <v>53</v>
      </c>
      <c r="V6" s="7" cm="1">
        <f t="array" aca="1" ref="V6" ca="1">IF(INDIRECT("$D"&amp;(ROW(R6)+$F$1-1))=0,V5,$D10)</f>
        <v>52</v>
      </c>
      <c r="W6" s="7" cm="1">
        <f t="array" aca="1" ref="W6" ca="1">IF(INDIRECT("$D"&amp;(ROW(R6)+$F$1-1))=0,W5,$D11)</f>
        <v>51</v>
      </c>
      <c r="X6" s="7" t="str" cm="1">
        <f t="array" aca="1" ref="X6" ca="1">IF(INDIRECT("$D"&amp;(ROW(R6)+$F$1-1))=0,X4,$H6&amp;$N6&amp;$O6)</f>
        <v>1815</v>
      </c>
      <c r="Y6" s="7" t="str" cm="1">
        <f t="array" aca="1" ref="Y6" ca="1">IF(INDIRECT("$D"&amp;(ROW(R6)+$F$1-1))=0,Y5,H7&amp;$N7&amp;$O7)</f>
        <v>2215</v>
      </c>
      <c r="Z6" s="7" t="str" cm="1">
        <f t="array" aca="1" ref="Z6" ca="1">IF(INDIRECT("$D"&amp;(ROW(R6)+$F$1-1))=0,Z5,H8&amp;$N8&amp;$O8)</f>
        <v>0000</v>
      </c>
      <c r="AA6" s="7" t="str" cm="1">
        <f t="array" aca="1" ref="AA6" ca="1">IF(INDIRECT("$D"&amp;(ROW(R6)+$F$1-1))=0,AA5,H9&amp;$N9&amp;$O9)</f>
        <v>2860</v>
      </c>
      <c r="AB6" s="7" t="str" cm="1">
        <f t="array" aca="1" ref="AB6" ca="1">IF(INDIRECT("$D"&amp;(ROW(R6)+$F$1-1))=0,AB5,H10&amp;$N10&amp;$O10)</f>
        <v>6200</v>
      </c>
      <c r="AC6" s="7" t="str" cm="1">
        <f t="array" aca="1" ref="AC6" ca="1">IF(INDIRECT("$D"&amp;(ROW(R6)+$F$1-1))=0,AC5,H11&amp;$N11&amp;$O11)</f>
        <v>6200</v>
      </c>
      <c r="AD6" s="7" t="str" cm="1">
        <f t="array" aca="1" ref="AD6" ca="1">IF(INDIRECT("$D"&amp;(ROW(R6)+$F$1-1))=0,AD5,I6&amp;$P6&amp;$Q6)</f>
        <v>1845</v>
      </c>
      <c r="AE6" s="7" t="str" cm="1">
        <f t="array" aca="1" ref="AE6" ca="1">IF(INDIRECT("$D"&amp;(ROW(R6)+$F$1-1))=0,AE5,I7&amp;$P7&amp;$Q7)</f>
        <v>2245</v>
      </c>
      <c r="AF6" s="7" t="str" cm="1">
        <f t="array" aca="1" ref="AF6" ca="1">IF(INDIRECT("$D"&amp;(ROW(R6)+$F$1-1))=0,AF5,I8&amp;$P8&amp;$Q8)</f>
        <v>0000</v>
      </c>
      <c r="AG6" s="7" t="str" cm="1">
        <f t="array" aca="1" ref="AG6" ca="1">IF(INDIRECT("$D"&amp;(ROW(R6)+$F$1-1))=0,AG5,I9&amp;$P9&amp;$Q9)</f>
        <v>2830</v>
      </c>
      <c r="AH6" s="7" t="str" cm="1">
        <f t="array" aca="1" ref="AH6" ca="1">IF(INDIRECT("$D"&amp;(ROW(R6)+$F$1-1))=0,AH5,I10&amp;$P10&amp;$Q10)</f>
        <v>0000</v>
      </c>
      <c r="AI6" s="7" t="str" cm="1">
        <f t="array" aca="1" ref="AI6" ca="1">IF(INDIRECT("$D"&amp;(ROW(R6)+$F$1-1))=0,AI5,I11&amp;$P11&amp;$Q11)</f>
        <v>0000</v>
      </c>
      <c r="AJ6" s="7" t="str" cm="1">
        <f t="array" ref="AJ6">TEXT($D6,"000")&amp;TEXT(IFERROR(INDEX($D$5:$D$103,_xlfn.AGGREGATE(15,6,ROW($E$5:$E$103)/(($E$5:$E$103&lt;&gt;"p")*($E$5:$E$103&lt;&gt;"t")*(ROW($E$5:$E$103)&gt;ROW($E6))),1)-ROW($E$5)+1),$D6),"000")</f>
        <v>056055</v>
      </c>
      <c r="AK6" s="22">
        <f t="shared" si="2"/>
        <v>500</v>
      </c>
      <c r="AL6" s="22" cm="1">
        <f t="array" aca="1" ref="AL6" ca="1">IF(INDIRECT("$K"&amp;(ROW(R6)+$F$1-1))="TERMINAL",1000489,489)*SIGN(AK6)</f>
        <v>489</v>
      </c>
      <c r="AM6" s="7" cm="1">
        <f t="array" aca="1" ref="AM6" ca="1">IF(INDIRECT("$D"&amp;(ROW(R6)+$F$1-1))=0,AM5,$G6)</f>
        <v>2</v>
      </c>
      <c r="AN6" s="7" cm="1">
        <f t="array" aca="1" ref="AN6" ca="1">IF(INDIRECT("$D"&amp;(ROW(R6)+$F$1-1))=0,AN5,$G7)</f>
        <v>4</v>
      </c>
      <c r="AO6" s="7" cm="1">
        <f t="array" aca="1" ref="AO6" ca="1">IF(INDIRECT("$D"&amp;(ROW(R6)+$F$1-1))=0,AO5,$G8)</f>
        <v>0</v>
      </c>
      <c r="AP6" s="7" cm="1">
        <f t="array" aca="1" ref="AP6" ca="1">IF(INDIRECT("$D"&amp;(ROW(R6)+$F$1-1))=0,AP5,$G9)</f>
        <v>3</v>
      </c>
      <c r="AQ6" s="7" cm="1">
        <f t="array" aca="1" ref="AQ6" ca="1">IF(INDIRECT("$D"&amp;(ROW(R6)+$F$1-1))=0,AQ5,$G10)</f>
        <v>3</v>
      </c>
      <c r="AR6" s="7" cm="1">
        <f t="array" aca="1" ref="AR6" ca="1">IF(INDIRECT("$D"&amp;(ROW(R6)+$F$1-1))=0,AR5,$G11)</f>
        <v>0</v>
      </c>
      <c r="AS6" s="7" cm="1">
        <f t="array" aca="1" ref="AS6" ca="1">IF(INDIRECT("$D"&amp;(ROW(AS6)+$F$1-1))=0,AS5+4,1)</f>
        <v>1</v>
      </c>
      <c r="AT6" s="7" cm="1">
        <f t="array" aca="1" ref="AT6" ca="1">IF(INDIRECT("$D"&amp;(ROW(AT6)+$F$1-1))=0,AT5+4,2)</f>
        <v>2</v>
      </c>
      <c r="AU6" s="7" cm="1">
        <f t="array" aca="1" ref="AU6" ca="1">IF(INDIRECT("$D"&amp;(ROW(AU6)+$F$1-1))=0,AU5+4,3)</f>
        <v>3</v>
      </c>
      <c r="AV6" s="7" cm="1">
        <f t="array" aca="1" ref="AV6" ca="1">IF(INDIRECT("$D"&amp;(ROW(AV6)+$F$1-1))=0,AV5+4,4)</f>
        <v>4</v>
      </c>
      <c r="AW6" s="22" cm="1">
        <f t="array" aca="1" ref="AW6" ca="1">_xlfn.XLOOKUP(1,INDIRECT("J"&amp;ROW(K6)+$F$1):J$103,INDIRECT("D"&amp;ROW(K6)+$F$1):D$103,0,0,1)</f>
        <v>50</v>
      </c>
      <c r="AX6" s="22">
        <f t="shared" ca="1" si="3"/>
        <v>3</v>
      </c>
      <c r="AY6" s="22" t="str" cm="1">
        <f t="array" aca="1" ref="AY6" ca="1">_xlfn.XLOOKUP(AW6,D$4:D$110,H$4:H$110&amp;N$4:N$110&amp;O$4:O$110,0,0,1)</f>
        <v>3315</v>
      </c>
      <c r="AZ6" s="22" t="str" cm="1">
        <f t="array" aca="1" ref="AZ6" ca="1">_xlfn.XLOOKUP(AW6,D$4:D$110,I$4:I$110&amp;P$4:P$110&amp;Q$4:Q$110,0,0,1)</f>
        <v>3345</v>
      </c>
      <c r="BA6" s="14" cm="1">
        <f t="array" ref="BA6">_xlfn.XLOOKUP(1,J$4:J5,D$4:D5,0,0,-1)</f>
        <v>58</v>
      </c>
      <c r="BB6" s="14">
        <f t="shared" ref="BB6:BB69" si="5">_xlfn.XLOOKUP(BA6,D$4:D$103,G$4:G$103,0,0,1)</f>
        <v>3</v>
      </c>
      <c r="BC6" s="14" t="str" cm="1">
        <f t="array" ref="BC6">_xlfn.SWITCH(TRUE,_xlfn.XLOOKUP(BA6,D$4:D$110,TEXT(F$4:F$110,"HH"),0,0,1)="00",B4&amp;"",_xlfn.XLOOKUP(BA6,D$4:D$110,TEXT(F$4:F$110,"HH"),0,0,1)="T","00",TRUE,_xlfn.XLOOKUP(BA6,D$4:D$110,TEXT(F$4:F$110,"HH"),0,0,1))</f>
        <v>11</v>
      </c>
      <c r="BD6" s="14" t="str">
        <f t="shared" si="4"/>
        <v>111260</v>
      </c>
    </row>
    <row r="7" spans="1:56">
      <c r="A7" s="2">
        <v>4</v>
      </c>
      <c r="B7" s="5" t="s">
        <v>119</v>
      </c>
      <c r="C7" s="5">
        <v>179525</v>
      </c>
      <c r="D7" s="5">
        <v>55</v>
      </c>
      <c r="E7" s="10">
        <v>0.47378472222222223</v>
      </c>
      <c r="F7" s="10">
        <v>0.47413194444444445</v>
      </c>
      <c r="G7" s="5">
        <v>4</v>
      </c>
      <c r="H7" s="5"/>
      <c r="I7" s="5"/>
      <c r="J7" s="5">
        <f t="shared" si="1"/>
        <v>1</v>
      </c>
      <c r="K7" s="7" t="str">
        <f t="shared" si="0"/>
        <v>stop</v>
      </c>
      <c r="L7" s="7" t="str" cm="1">
        <f t="array" ref="L7">_xlfn.SWITCH(TRUE,$K7="PASS",TEXT($B$1,"0000"),AND($K7="STOP",E7=""),TEXT($D$1,"0000"),$K6="TERMINAL","0000",TRUE,TEXT(E7,"MMSS"))</f>
        <v>2215</v>
      </c>
      <c r="M7" s="7" t="str" cm="1">
        <f t="array" ref="M7">_xlfn.SWITCH(TRUE,$K7="PASS",TEXT($B$1,"0000"),AND($K7="STOP",F7=""),TEXT($D$1,"0000"),$K7="TERMINAL","0000",TRUE,TEXT(F7,"MMSS"))</f>
        <v>2245</v>
      </c>
      <c r="N7" t="str" cm="1">
        <f t="array" ref="N7">_xlfn.SWITCH(TRUE,AND(LEFT(L7,2)="00",K7="TERMINAL"),"00",E7="",TEXT(LEFT($D$1,2),"00"),LEFT(L7,2)="00",$D$2&amp;"",TRUE,LEFT(L7,2))</f>
        <v>22</v>
      </c>
      <c r="O7" t="str" cm="1">
        <f t="array" ref="O7">_xlfn.SWITCH(TRUE,AND(N7="00",RIGHT(L7,2)="00",K7="TERMINAL"),"00",OR(E7="",N7=LEFT($B$1,2)),TEXT(RIGHT($D$1,2),"00"),RIGHT(L7,2)="00",$D$2&amp;"",TRUE,RIGHT(L7,2))</f>
        <v>15</v>
      </c>
      <c r="P7" t="str" cm="1">
        <f t="array" ref="P7">_xlfn.SWITCH(TRUE,AND(LEFT(M7,2)="00",K7="TERMINAL"),"00",F7="",TEXT(LEFT($D$1,2),"00"),LEFT(M7,2)="00",$D$2&amp;"",TRUE,LEFT(M7,2))</f>
        <v>22</v>
      </c>
      <c r="Q7" t="str" cm="1">
        <f t="array" ref="Q7">_xlfn.SWITCH(TRUE,AND(RIGHT(M7,2)="00",K7="TERMINAL"),"00",F7="",TEXT(RIGHT($D$1,2),"00"),RIGHT(M7,2)="00",$D$2&amp;"",TRUE,RIGHT(M7,2))</f>
        <v>45</v>
      </c>
      <c r="R7" s="7" cm="1">
        <f t="array" aca="1" ref="R7" ca="1">IF(INDIRECT("$D"&amp;(ROW(R7)+$F$1-1))=0,R6,$D7)</f>
        <v>55</v>
      </c>
      <c r="S7" s="7" cm="1">
        <f t="array" aca="1" ref="S7" ca="1">IF(INDIRECT("$D"&amp;(ROW(R7)+$F$1-1))=0,S6,$D8)</f>
        <v>54</v>
      </c>
      <c r="T7" s="7" cm="1">
        <f t="array" aca="1" ref="T7" ca="1">IF(INDIRECT("$D"&amp;(ROW(R7)+$F$1-1))=0,T6,$D9)</f>
        <v>53</v>
      </c>
      <c r="U7" s="7" cm="1">
        <f t="array" aca="1" ref="U7" ca="1">IF(INDIRECT("$D"&amp;(ROW(R7)+$F$1-1))=0,U6,$D10)</f>
        <v>52</v>
      </c>
      <c r="V7" s="7" cm="1">
        <f t="array" aca="1" ref="V7" ca="1">IF(INDIRECT("$D"&amp;(ROW(R7)+$F$1-1))=0,V6,$D11)</f>
        <v>51</v>
      </c>
      <c r="W7" s="7" cm="1">
        <f t="array" aca="1" ref="W7" ca="1">IF(INDIRECT("$D"&amp;(ROW(R7)+$F$1-1))=0,W6,$D12)</f>
        <v>50</v>
      </c>
      <c r="X7" s="7" t="str" cm="1">
        <f t="array" aca="1" ref="X7" ca="1">IF(INDIRECT("$D"&amp;(ROW(R7)+$F$1-1))=0,X5,$H7&amp;$N7&amp;$O7)</f>
        <v>2215</v>
      </c>
      <c r="Y7" s="7" t="str" cm="1">
        <f t="array" aca="1" ref="Y7" ca="1">IF(INDIRECT("$D"&amp;(ROW(R7)+$F$1-1))=0,Y6,H8&amp;$N8&amp;$O8)</f>
        <v>0000</v>
      </c>
      <c r="Z7" s="7" t="str" cm="1">
        <f t="array" aca="1" ref="Z7" ca="1">IF(INDIRECT("$D"&amp;(ROW(R7)+$F$1-1))=0,Z6,H9&amp;$N9&amp;$O9)</f>
        <v>2860</v>
      </c>
      <c r="AA7" s="7" t="str" cm="1">
        <f t="array" aca="1" ref="AA7" ca="1">IF(INDIRECT("$D"&amp;(ROW(R7)+$F$1-1))=0,AA6,H10&amp;$N10&amp;$O10)</f>
        <v>6200</v>
      </c>
      <c r="AB7" s="7" t="str" cm="1">
        <f t="array" aca="1" ref="AB7" ca="1">IF(INDIRECT("$D"&amp;(ROW(R7)+$F$1-1))=0,AB6,H11&amp;$N11&amp;$O11)</f>
        <v>6200</v>
      </c>
      <c r="AC7" s="7" t="str" cm="1">
        <f t="array" aca="1" ref="AC7" ca="1">IF(INDIRECT("$D"&amp;(ROW(R7)+$F$1-1))=0,AC6,H12&amp;$N12&amp;$O12)</f>
        <v>3315</v>
      </c>
      <c r="AD7" s="7" t="str" cm="1">
        <f t="array" aca="1" ref="AD7" ca="1">IF(INDIRECT("$D"&amp;(ROW(R7)+$F$1-1))=0,AD6,I7&amp;$P7&amp;$Q7)</f>
        <v>2245</v>
      </c>
      <c r="AE7" s="7" t="str" cm="1">
        <f t="array" aca="1" ref="AE7" ca="1">IF(INDIRECT("$D"&amp;(ROW(R7)+$F$1-1))=0,AE6,I8&amp;$P8&amp;$Q8)</f>
        <v>0000</v>
      </c>
      <c r="AF7" s="7" t="str" cm="1">
        <f t="array" aca="1" ref="AF7" ca="1">IF(INDIRECT("$D"&amp;(ROW(R7)+$F$1-1))=0,AF6,I9&amp;$P9&amp;$Q9)</f>
        <v>2830</v>
      </c>
      <c r="AG7" s="7" t="str" cm="1">
        <f t="array" aca="1" ref="AG7" ca="1">IF(INDIRECT("$D"&amp;(ROW(R7)+$F$1-1))=0,AG6,I10&amp;$P10&amp;$Q10)</f>
        <v>0000</v>
      </c>
      <c r="AH7" s="7" t="str" cm="1">
        <f t="array" aca="1" ref="AH7" ca="1">IF(INDIRECT("$D"&amp;(ROW(R7)+$F$1-1))=0,AH6,I11&amp;$P11&amp;$Q11)</f>
        <v>0000</v>
      </c>
      <c r="AI7" s="7" t="str" cm="1">
        <f t="array" aca="1" ref="AI7" ca="1">IF(INDIRECT("$D"&amp;(ROW(R7)+$F$1-1))=0,AI6,I12&amp;$P12&amp;$Q12)</f>
        <v>3345</v>
      </c>
      <c r="AJ7" s="7" t="str" cm="1">
        <f t="array" ref="AJ7">TEXT($D7,"000")&amp;TEXT(IFERROR(INDEX($D$5:$D$103,_xlfn.AGGREGATE(15,6,ROW($E$5:$E$103)/(($E$5:$E$103&lt;&gt;"p")*($E$5:$E$103&lt;&gt;"t")*(ROW($E$5:$E$103)&gt;ROW($E7))),1)-ROW($E$5)+1),$D7),"000")</f>
        <v>055054</v>
      </c>
      <c r="AK7" s="22">
        <f t="shared" si="2"/>
        <v>500</v>
      </c>
      <c r="AL7" s="22" cm="1">
        <f t="array" aca="1" ref="AL7" ca="1">IF(INDIRECT("$K"&amp;(ROW(R7)+$F$1-1))="TERMINAL",1000489,489)*SIGN(AK7)</f>
        <v>489</v>
      </c>
      <c r="AM7" s="7" cm="1">
        <f t="array" aca="1" ref="AM7" ca="1">IF(INDIRECT("$D"&amp;(ROW(R7)+$F$1-1))=0,AM6,$G7)</f>
        <v>4</v>
      </c>
      <c r="AN7" s="7" cm="1">
        <f t="array" aca="1" ref="AN7" ca="1">IF(INDIRECT("$D"&amp;(ROW(R7)+$F$1-1))=0,AN6,$G8)</f>
        <v>0</v>
      </c>
      <c r="AO7" s="7" cm="1">
        <f t="array" aca="1" ref="AO7" ca="1">IF(INDIRECT("$D"&amp;(ROW(R7)+$F$1-1))=0,AO6,$G9)</f>
        <v>3</v>
      </c>
      <c r="AP7" s="7" cm="1">
        <f t="array" aca="1" ref="AP7" ca="1">IF(INDIRECT("$D"&amp;(ROW(R7)+$F$1-1))=0,AP6,$G10)</f>
        <v>3</v>
      </c>
      <c r="AQ7" s="7" cm="1">
        <f t="array" aca="1" ref="AQ7" ca="1">IF(INDIRECT("$D"&amp;(ROW(R7)+$F$1-1))=0,AQ6,$G11)</f>
        <v>0</v>
      </c>
      <c r="AR7" s="7" cm="1">
        <f t="array" aca="1" ref="AR7" ca="1">IF(INDIRECT("$D"&amp;(ROW(R7)+$F$1-1))=0,AR6,$G12)</f>
        <v>3</v>
      </c>
      <c r="AS7" s="7" cm="1">
        <f t="array" aca="1" ref="AS7" ca="1">IF(INDIRECT("$D"&amp;(ROW(AS7)+$F$1-1))=0,AS6+4,1)</f>
        <v>1</v>
      </c>
      <c r="AT7" s="7" cm="1">
        <f t="array" aca="1" ref="AT7" ca="1">IF(INDIRECT("$D"&amp;(ROW(AT7)+$F$1-1))=0,AT6+4,2)</f>
        <v>2</v>
      </c>
      <c r="AU7" s="7" cm="1">
        <f t="array" aca="1" ref="AU7" ca="1">IF(INDIRECT("$D"&amp;(ROW(AU7)+$F$1-1))=0,AU6+4,3)</f>
        <v>3</v>
      </c>
      <c r="AV7" s="7" cm="1">
        <f t="array" aca="1" ref="AV7" ca="1">IF(INDIRECT("$D"&amp;(ROW(AV7)+$F$1-1))=0,AV6+4,4)</f>
        <v>4</v>
      </c>
      <c r="AW7" s="22" cm="1">
        <f t="array" aca="1" ref="AW7" ca="1">_xlfn.XLOOKUP(1,INDIRECT("J"&amp;ROW(K7)+$F$1):J$103,INDIRECT("D"&amp;ROW(K7)+$F$1):D$103,0,0,1)</f>
        <v>50</v>
      </c>
      <c r="AX7" s="22">
        <f t="shared" ca="1" si="3"/>
        <v>3</v>
      </c>
      <c r="AY7" s="22" t="str" cm="1">
        <f t="array" aca="1" ref="AY7" ca="1">_xlfn.XLOOKUP(AW7,D$4:D$110,H$4:H$110&amp;N$4:N$110&amp;O$4:O$110,0,0,1)</f>
        <v>3315</v>
      </c>
      <c r="AZ7" s="22" t="str" cm="1">
        <f t="array" aca="1" ref="AZ7" ca="1">_xlfn.XLOOKUP(AW7,D$4:D$110,I$4:I$110&amp;P$4:P$110&amp;Q$4:Q$110,0,0,1)</f>
        <v>3345</v>
      </c>
      <c r="BA7" s="14" cm="1">
        <f t="array" ref="BA7">_xlfn.XLOOKUP(1,J$4:J6,D$4:D6,0,0,-1)</f>
        <v>56</v>
      </c>
      <c r="BB7" s="14">
        <f t="shared" si="5"/>
        <v>2</v>
      </c>
      <c r="BC7" s="14" t="str" cm="1">
        <f t="array" ref="BC7">_xlfn.SWITCH(TRUE,_xlfn.XLOOKUP(BA7,D$4:D$110,TEXT(F$4:F$110,"HH"),0,0,1)="00",B5&amp;"",_xlfn.XLOOKUP(BA7,D$4:D$110,TEXT(F$4:F$110,"HH"),0,0,1)="T","00",TRUE,_xlfn.XLOOKUP(BA7,D$4:D$110,TEXT(F$4:F$110,"HH"),0,0,1))</f>
        <v>11</v>
      </c>
      <c r="BD7" s="14" t="str">
        <f t="shared" si="4"/>
        <v>111845</v>
      </c>
    </row>
    <row r="8" spans="1:56">
      <c r="A8" s="2">
        <v>5</v>
      </c>
      <c r="B8" s="5" t="s">
        <v>120</v>
      </c>
      <c r="C8" s="5">
        <v>181975</v>
      </c>
      <c r="D8" s="5">
        <v>54</v>
      </c>
      <c r="E8" s="11"/>
      <c r="F8" s="10"/>
      <c r="G8" s="5"/>
      <c r="H8" s="5"/>
      <c r="I8" s="5"/>
      <c r="J8" s="5">
        <f t="shared" si="1"/>
        <v>0</v>
      </c>
      <c r="K8" s="7" t="str">
        <f t="shared" si="0"/>
        <v>stop</v>
      </c>
      <c r="L8" s="7" t="str" cm="1">
        <f t="array" ref="L8">_xlfn.SWITCH(TRUE,$K8="PASS",TEXT($B$1,"0000"),AND($K8="STOP",E8=""),TEXT($D$1,"0000"),$K7="TERMINAL","0000",TRUE,TEXT(E8,"MMSS"))</f>
        <v>0000</v>
      </c>
      <c r="M8" s="7" t="str" cm="1">
        <f t="array" ref="M8">_xlfn.SWITCH(TRUE,$K8="PASS",TEXT($B$1,"0000"),AND($K8="STOP",F8=""),TEXT($D$1,"0000"),$K8="TERMINAL","0000",TRUE,TEXT(F8,"MMSS"))</f>
        <v>0000</v>
      </c>
      <c r="N8" t="str" cm="1">
        <f t="array" ref="N8">_xlfn.SWITCH(TRUE,AND(LEFT(L8,2)="00",K8="TERMINAL"),"00",E8="",TEXT(LEFT($D$1,2),"00"),LEFT(L8,2)="00",$D$2&amp;"",TRUE,LEFT(L8,2))</f>
        <v>00</v>
      </c>
      <c r="O8" t="str" cm="1">
        <f t="array" ref="O8">_xlfn.SWITCH(TRUE,AND(N8="00",RIGHT(L8,2)="00",K8="TERMINAL"),"00",OR(E8="",N8=LEFT($B$1,2)),TEXT(RIGHT($D$1,2),"00"),RIGHT(L8,2)="00",$D$2&amp;"",TRUE,RIGHT(L8,2))</f>
        <v>00</v>
      </c>
      <c r="P8" t="str" cm="1">
        <f t="array" ref="P8">_xlfn.SWITCH(TRUE,AND(LEFT(M8,2)="00",K8="TERMINAL"),"00",F8="",TEXT(LEFT($D$1,2),"00"),LEFT(M8,2)="00",$D$2&amp;"",TRUE,LEFT(M8,2))</f>
        <v>00</v>
      </c>
      <c r="Q8" t="str" cm="1">
        <f t="array" ref="Q8">_xlfn.SWITCH(TRUE,AND(RIGHT(M8,2)="00",K8="TERMINAL"),"00",F8="",TEXT(RIGHT($D$1,2),"00"),RIGHT(M8,2)="00",$D$2&amp;"",TRUE,RIGHT(M8,2))</f>
        <v>00</v>
      </c>
      <c r="R8" s="7" cm="1">
        <f t="array" aca="1" ref="R8" ca="1">IF(INDIRECT("$D"&amp;(ROW(R8)+$F$1-1))=0,R7,$D8)</f>
        <v>54</v>
      </c>
      <c r="S8" s="7" cm="1">
        <f t="array" aca="1" ref="S8" ca="1">IF(INDIRECT("$D"&amp;(ROW(R8)+$F$1-1))=0,S7,$D9)</f>
        <v>53</v>
      </c>
      <c r="T8" s="7" cm="1">
        <f t="array" aca="1" ref="T8" ca="1">IF(INDIRECT("$D"&amp;(ROW(R8)+$F$1-1))=0,T7,$D10)</f>
        <v>52</v>
      </c>
      <c r="U8" s="7" cm="1">
        <f t="array" aca="1" ref="U8" ca="1">IF(INDIRECT("$D"&amp;(ROW(R8)+$F$1-1))=0,U7,$D11)</f>
        <v>51</v>
      </c>
      <c r="V8" s="7" cm="1">
        <f t="array" aca="1" ref="V8" ca="1">IF(INDIRECT("$D"&amp;(ROW(R8)+$F$1-1))=0,V7,$D12)</f>
        <v>50</v>
      </c>
      <c r="W8" s="7" cm="1">
        <f t="array" aca="1" ref="W8" ca="1">IF(INDIRECT("$D"&amp;(ROW(R8)+$F$1-1))=0,W7,$D13)</f>
        <v>49</v>
      </c>
      <c r="X8" s="7" t="str" cm="1">
        <f t="array" aca="1" ref="X8" ca="1">IF(INDIRECT("$D"&amp;(ROW(R8)+$F$1-1))=0,X6,$H8&amp;$N8&amp;$O8)</f>
        <v>0000</v>
      </c>
      <c r="Y8" s="7" t="str" cm="1">
        <f t="array" aca="1" ref="Y8" ca="1">IF(INDIRECT("$D"&amp;(ROW(R8)+$F$1-1))=0,Y7,H9&amp;$N9&amp;$O9)</f>
        <v>2860</v>
      </c>
      <c r="Z8" s="7" t="str" cm="1">
        <f t="array" aca="1" ref="Z8" ca="1">IF(INDIRECT("$D"&amp;(ROW(R8)+$F$1-1))=0,Z7,H10&amp;$N10&amp;$O10)</f>
        <v>6200</v>
      </c>
      <c r="AA8" s="7" t="str" cm="1">
        <f t="array" aca="1" ref="AA8" ca="1">IF(INDIRECT("$D"&amp;(ROW(R8)+$F$1-1))=0,AA7,H11&amp;$N11&amp;$O11)</f>
        <v>6200</v>
      </c>
      <c r="AB8" s="7" t="str" cm="1">
        <f t="array" aca="1" ref="AB8" ca="1">IF(INDIRECT("$D"&amp;(ROW(R8)+$F$1-1))=0,AB7,H12&amp;$N12&amp;$O12)</f>
        <v>3315</v>
      </c>
      <c r="AC8" s="7" t="str" cm="1">
        <f t="array" aca="1" ref="AC8" ca="1">IF(INDIRECT("$D"&amp;(ROW(R8)+$F$1-1))=0,AC7,H13&amp;$N13&amp;$O13)</f>
        <v>6200</v>
      </c>
      <c r="AD8" s="7" t="str" cm="1">
        <f t="array" aca="1" ref="AD8" ca="1">IF(INDIRECT("$D"&amp;(ROW(R8)+$F$1-1))=0,AD7,I8&amp;$P8&amp;$Q8)</f>
        <v>0000</v>
      </c>
      <c r="AE8" s="7" t="str" cm="1">
        <f t="array" aca="1" ref="AE8" ca="1">IF(INDIRECT("$D"&amp;(ROW(R8)+$F$1-1))=0,AE7,I9&amp;$P9&amp;$Q9)</f>
        <v>2830</v>
      </c>
      <c r="AF8" s="7" t="str" cm="1">
        <f t="array" aca="1" ref="AF8" ca="1">IF(INDIRECT("$D"&amp;(ROW(R8)+$F$1-1))=0,AF7,I10&amp;$P10&amp;$Q10)</f>
        <v>0000</v>
      </c>
      <c r="AG8" s="7" t="str" cm="1">
        <f t="array" aca="1" ref="AG8" ca="1">IF(INDIRECT("$D"&amp;(ROW(R8)+$F$1-1))=0,AG7,I11&amp;$P11&amp;$Q11)</f>
        <v>0000</v>
      </c>
      <c r="AH8" s="7" t="str" cm="1">
        <f t="array" aca="1" ref="AH8" ca="1">IF(INDIRECT("$D"&amp;(ROW(R8)+$F$1-1))=0,AH7,I12&amp;$P12&amp;$Q12)</f>
        <v>3345</v>
      </c>
      <c r="AI8" s="7" t="str" cm="1">
        <f t="array" aca="1" ref="AI8" ca="1">IF(INDIRECT("$D"&amp;(ROW(R8)+$F$1-1))=0,AI7,I13&amp;$P13&amp;$Q13)</f>
        <v>0000</v>
      </c>
      <c r="AJ8" s="7" t="str" cm="1">
        <f t="array" ref="AJ8">TEXT($D8,"000")&amp;TEXT(IFERROR(INDEX($D$5:$D$103,_xlfn.AGGREGATE(15,6,ROW($E$5:$E$103)/(($E$5:$E$103&lt;&gt;"p")*($E$5:$E$103&lt;&gt;"t")*(ROW($E$5:$E$103)&gt;ROW($E8))),1)-ROW($E$5)+1),$D8),"000")</f>
        <v>054053</v>
      </c>
      <c r="AK8" s="22">
        <f t="shared" si="2"/>
        <v>500</v>
      </c>
      <c r="AL8" s="22" cm="1">
        <f t="array" aca="1" ref="AL8" ca="1">IF(INDIRECT("$K"&amp;(ROW(R8)+$F$1-1))="TERMINAL",1000489,489)*SIGN(AK8)</f>
        <v>489</v>
      </c>
      <c r="AM8" s="7" cm="1">
        <f t="array" aca="1" ref="AM8" ca="1">IF(INDIRECT("$D"&amp;(ROW(R8)+$F$1-1))=0,AM7,$G8)</f>
        <v>0</v>
      </c>
      <c r="AN8" s="7" cm="1">
        <f t="array" aca="1" ref="AN8" ca="1">IF(INDIRECT("$D"&amp;(ROW(R8)+$F$1-1))=0,AN7,$G9)</f>
        <v>3</v>
      </c>
      <c r="AO8" s="7" cm="1">
        <f t="array" aca="1" ref="AO8" ca="1">IF(INDIRECT("$D"&amp;(ROW(R8)+$F$1-1))=0,AO7,$G10)</f>
        <v>3</v>
      </c>
      <c r="AP8" s="7" cm="1">
        <f t="array" aca="1" ref="AP8" ca="1">IF(INDIRECT("$D"&amp;(ROW(R8)+$F$1-1))=0,AP7,$G11)</f>
        <v>0</v>
      </c>
      <c r="AQ8" s="7" cm="1">
        <f t="array" aca="1" ref="AQ8" ca="1">IF(INDIRECT("$D"&amp;(ROW(R8)+$F$1-1))=0,AQ7,$G12)</f>
        <v>3</v>
      </c>
      <c r="AR8" s="7" cm="1">
        <f t="array" aca="1" ref="AR8" ca="1">IF(INDIRECT("$D"&amp;(ROW(R8)+$F$1-1))=0,AR7,$G13)</f>
        <v>4</v>
      </c>
      <c r="AS8" s="7" cm="1">
        <f t="array" aca="1" ref="AS8" ca="1">IF(INDIRECT("$D"&amp;(ROW(AS8)+$F$1-1))=0,AS7+4,1)</f>
        <v>1</v>
      </c>
      <c r="AT8" s="7" cm="1">
        <f t="array" aca="1" ref="AT8" ca="1">IF(INDIRECT("$D"&amp;(ROW(AT8)+$F$1-1))=0,AT7+4,2)</f>
        <v>2</v>
      </c>
      <c r="AU8" s="7" cm="1">
        <f t="array" aca="1" ref="AU8" ca="1">IF(INDIRECT("$D"&amp;(ROW(AU8)+$F$1-1))=0,AU7+4,3)</f>
        <v>3</v>
      </c>
      <c r="AV8" s="7" cm="1">
        <f t="array" aca="1" ref="AV8" ca="1">IF(INDIRECT("$D"&amp;(ROW(AV8)+$F$1-1))=0,AV7+4,4)</f>
        <v>4</v>
      </c>
      <c r="AW8" s="22" cm="1">
        <f t="array" aca="1" ref="AW8" ca="1">_xlfn.XLOOKUP(1,INDIRECT("J"&amp;ROW(K8)+$F$1):J$103,INDIRECT("D"&amp;ROW(K8)+$F$1):D$103,0,0,1)</f>
        <v>46</v>
      </c>
      <c r="AX8" s="22">
        <f t="shared" ca="1" si="3"/>
        <v>6</v>
      </c>
      <c r="AY8" s="22" t="str" cm="1">
        <f t="array" aca="1" ref="AY8" ca="1">_xlfn.XLOOKUP(AW8,D$4:D$110,H$4:H$110&amp;N$4:N$110&amp;O$4:O$110,0,0,1)</f>
        <v>3960</v>
      </c>
      <c r="AZ8" s="22" t="str" cm="1">
        <f t="array" aca="1" ref="AZ8" ca="1">_xlfn.XLOOKUP(AW8,D$4:D$110,I$4:I$110&amp;P$4:P$110&amp;Q$4:Q$110,0,0,1)</f>
        <v>3930</v>
      </c>
      <c r="BA8" s="14" cm="1">
        <f t="array" ref="BA8">_xlfn.XLOOKUP(1,J$4:J7,D$4:D7,0,0,-1)</f>
        <v>55</v>
      </c>
      <c r="BB8" s="14">
        <f t="shared" si="5"/>
        <v>4</v>
      </c>
      <c r="BC8" s="14" t="str" cm="1">
        <f t="array" ref="BC8">_xlfn.SWITCH(TRUE,_xlfn.XLOOKUP(BA8,D$4:D$110,TEXT(F$4:F$110,"HH"),0,0,1)="00",B6&amp;"",_xlfn.XLOOKUP(BA8,D$4:D$110,TEXT(F$4:F$110,"HH"),0,0,1)="T","00",TRUE,_xlfn.XLOOKUP(BA8,D$4:D$110,TEXT(F$4:F$110,"HH"),0,0,1))</f>
        <v>11</v>
      </c>
      <c r="BD8" s="14" t="str">
        <f t="shared" si="4"/>
        <v>112245</v>
      </c>
    </row>
    <row r="9" spans="1:56">
      <c r="A9" s="2">
        <v>6</v>
      </c>
      <c r="B9" s="5" t="s">
        <v>121</v>
      </c>
      <c r="C9" s="5">
        <v>185325</v>
      </c>
      <c r="D9" s="5">
        <v>53</v>
      </c>
      <c r="E9" s="10">
        <v>0.4777777777777778</v>
      </c>
      <c r="F9" s="10">
        <v>0.47812500000000002</v>
      </c>
      <c r="G9" s="5">
        <v>3</v>
      </c>
      <c r="H9" s="5"/>
      <c r="I9" s="5"/>
      <c r="J9" s="5">
        <f t="shared" si="1"/>
        <v>1</v>
      </c>
      <c r="K9" s="7" t="str">
        <f t="shared" si="0"/>
        <v>stop</v>
      </c>
      <c r="L9" s="7" t="str" cm="1">
        <f t="array" ref="L9">_xlfn.SWITCH(TRUE,$K9="PASS",TEXT($B$1,"0000"),AND($K9="STOP",E9=""),TEXT($D$1,"0000"),$K8="TERMINAL","0000",TRUE,TEXT(E9,"MMSS"))</f>
        <v>2800</v>
      </c>
      <c r="M9" s="7" t="str" cm="1">
        <f t="array" ref="M9">_xlfn.SWITCH(TRUE,$K9="PASS",TEXT($B$1,"0000"),AND($K9="STOP",F9=""),TEXT($D$1,"0000"),$K9="TERMINAL","0000",TRUE,TEXT(F9,"MMSS"))</f>
        <v>2830</v>
      </c>
      <c r="N9" t="str" cm="1">
        <f t="array" ref="N9">_xlfn.SWITCH(TRUE,AND(LEFT(L9,2)="00",K9="TERMINAL"),"00",E9="",TEXT(LEFT($D$1,2),"00"),LEFT(L9,2)="00",$D$2&amp;"",TRUE,LEFT(L9,2))</f>
        <v>28</v>
      </c>
      <c r="O9" t="str" cm="1">
        <f t="array" ref="O9">_xlfn.SWITCH(TRUE,AND(N9="00",RIGHT(L9,2)="00",K9="TERMINAL"),"00",OR(E9="",N9=LEFT($B$1,2)),TEXT(RIGHT($D$1,2),"00"),RIGHT(L9,2)="00",$D$2&amp;"",TRUE,RIGHT(L9,2))</f>
        <v>60</v>
      </c>
      <c r="P9" t="str" cm="1">
        <f t="array" ref="P9">_xlfn.SWITCH(TRUE,AND(LEFT(M9,2)="00",K9="TERMINAL"),"00",F9="",TEXT(LEFT($D$1,2),"00"),LEFT(M9,2)="00",$D$2&amp;"",TRUE,LEFT(M9,2))</f>
        <v>28</v>
      </c>
      <c r="Q9" t="str" cm="1">
        <f t="array" ref="Q9">_xlfn.SWITCH(TRUE,AND(RIGHT(M9,2)="00",K9="TERMINAL"),"00",F9="",TEXT(RIGHT($D$1,2),"00"),RIGHT(M9,2)="00",$D$2&amp;"",TRUE,RIGHT(M9,2))</f>
        <v>30</v>
      </c>
      <c r="R9" s="7" cm="1">
        <f t="array" aca="1" ref="R9" ca="1">IF(INDIRECT("$D"&amp;(ROW(R9)+$F$1-1))=0,R8,$D9)</f>
        <v>53</v>
      </c>
      <c r="S9" s="7" cm="1">
        <f t="array" aca="1" ref="S9" ca="1">IF(INDIRECT("$D"&amp;(ROW(R9)+$F$1-1))=0,S8,$D10)</f>
        <v>52</v>
      </c>
      <c r="T9" s="7" cm="1">
        <f t="array" aca="1" ref="T9" ca="1">IF(INDIRECT("$D"&amp;(ROW(R9)+$F$1-1))=0,T8,$D11)</f>
        <v>51</v>
      </c>
      <c r="U9" s="7" cm="1">
        <f t="array" aca="1" ref="U9" ca="1">IF(INDIRECT("$D"&amp;(ROW(R9)+$F$1-1))=0,U8,$D12)</f>
        <v>50</v>
      </c>
      <c r="V9" s="7" cm="1">
        <f t="array" aca="1" ref="V9" ca="1">IF(INDIRECT("$D"&amp;(ROW(R9)+$F$1-1))=0,V8,$D13)</f>
        <v>49</v>
      </c>
      <c r="W9" s="7" cm="1">
        <f t="array" aca="1" ref="W9" ca="1">IF(INDIRECT("$D"&amp;(ROW(R9)+$F$1-1))=0,W8,$D14)</f>
        <v>48</v>
      </c>
      <c r="X9" s="7" t="str" cm="1">
        <f t="array" aca="1" ref="X9" ca="1">IF(INDIRECT("$D"&amp;(ROW(R9)+$F$1-1))=0,X7,$H9&amp;$N9&amp;$O9)</f>
        <v>2860</v>
      </c>
      <c r="Y9" s="7" t="str" cm="1">
        <f t="array" aca="1" ref="Y9" ca="1">IF(INDIRECT("$D"&amp;(ROW(R9)+$F$1-1))=0,Y8,H10&amp;$N10&amp;$O10)</f>
        <v>6200</v>
      </c>
      <c r="Z9" s="7" t="str" cm="1">
        <f t="array" aca="1" ref="Z9" ca="1">IF(INDIRECT("$D"&amp;(ROW(R9)+$F$1-1))=0,Z8,H11&amp;$N11&amp;$O11)</f>
        <v>6200</v>
      </c>
      <c r="AA9" s="7" t="str" cm="1">
        <f t="array" aca="1" ref="AA9" ca="1">IF(INDIRECT("$D"&amp;(ROW(R9)+$F$1-1))=0,AA8,H12&amp;$N12&amp;$O12)</f>
        <v>3315</v>
      </c>
      <c r="AB9" s="7" t="str" cm="1">
        <f t="array" aca="1" ref="AB9" ca="1">IF(INDIRECT("$D"&amp;(ROW(R9)+$F$1-1))=0,AB8,H13&amp;$N13&amp;$O13)</f>
        <v>6200</v>
      </c>
      <c r="AC9" s="7" t="str" cm="1">
        <f t="array" aca="1" ref="AC9" ca="1">IF(INDIRECT("$D"&amp;(ROW(R9)+$F$1-1))=0,AC8,H14&amp;$N14&amp;$O14)</f>
        <v>6200</v>
      </c>
      <c r="AD9" s="7" t="str" cm="1">
        <f t="array" aca="1" ref="AD9" ca="1">IF(INDIRECT("$D"&amp;(ROW(R9)+$F$1-1))=0,AD8,I9&amp;$P9&amp;$Q9)</f>
        <v>2830</v>
      </c>
      <c r="AE9" s="7" t="str" cm="1">
        <f t="array" aca="1" ref="AE9" ca="1">IF(INDIRECT("$D"&amp;(ROW(R9)+$F$1-1))=0,AE8,I10&amp;$P10&amp;$Q10)</f>
        <v>0000</v>
      </c>
      <c r="AF9" s="7" t="str" cm="1">
        <f t="array" aca="1" ref="AF9" ca="1">IF(INDIRECT("$D"&amp;(ROW(R9)+$F$1-1))=0,AF8,I11&amp;$P11&amp;$Q11)</f>
        <v>0000</v>
      </c>
      <c r="AG9" s="7" t="str" cm="1">
        <f t="array" aca="1" ref="AG9" ca="1">IF(INDIRECT("$D"&amp;(ROW(R9)+$F$1-1))=0,AG8,I12&amp;$P12&amp;$Q12)</f>
        <v>3345</v>
      </c>
      <c r="AH9" s="7" t="str" cm="1">
        <f t="array" aca="1" ref="AH9" ca="1">IF(INDIRECT("$D"&amp;(ROW(R9)+$F$1-1))=0,AH8,I13&amp;$P13&amp;$Q13)</f>
        <v>0000</v>
      </c>
      <c r="AI9" s="7" t="str" cm="1">
        <f t="array" aca="1" ref="AI9" ca="1">IF(INDIRECT("$D"&amp;(ROW(R9)+$F$1-1))=0,AI8,I14&amp;$P14&amp;$Q14)</f>
        <v>0000</v>
      </c>
      <c r="AJ9" s="7" t="str" cm="1">
        <f t="array" ref="AJ9">TEXT($D9,"000")&amp;TEXT(IFERROR(INDEX($D$5:$D$103,_xlfn.AGGREGATE(15,6,ROW($E$5:$E$103)/(($E$5:$E$103&lt;&gt;"p")*($E$5:$E$103&lt;&gt;"t")*(ROW($E$5:$E$103)&gt;ROW($E9))),1)-ROW($E$5)+1),$D9),"000")</f>
        <v>053050</v>
      </c>
      <c r="AK9" s="22">
        <f t="shared" si="2"/>
        <v>500</v>
      </c>
      <c r="AL9" s="22" cm="1">
        <f t="array" aca="1" ref="AL9" ca="1">IF(INDIRECT("$K"&amp;(ROW(R9)+$F$1-1))="TERMINAL",1000489,489)*SIGN(AK9)</f>
        <v>489</v>
      </c>
      <c r="AM9" s="7" cm="1">
        <f t="array" aca="1" ref="AM9" ca="1">IF(INDIRECT("$D"&amp;(ROW(R9)+$F$1-1))=0,AM8,$G9)</f>
        <v>3</v>
      </c>
      <c r="AN9" s="7" cm="1">
        <f t="array" aca="1" ref="AN9" ca="1">IF(INDIRECT("$D"&amp;(ROW(R9)+$F$1-1))=0,AN8,$G10)</f>
        <v>3</v>
      </c>
      <c r="AO9" s="7" cm="1">
        <f t="array" aca="1" ref="AO9" ca="1">IF(INDIRECT("$D"&amp;(ROW(R9)+$F$1-1))=0,AO8,$G11)</f>
        <v>0</v>
      </c>
      <c r="AP9" s="7" cm="1">
        <f t="array" aca="1" ref="AP9" ca="1">IF(INDIRECT("$D"&amp;(ROW(R9)+$F$1-1))=0,AP8,$G12)</f>
        <v>3</v>
      </c>
      <c r="AQ9" s="7" cm="1">
        <f t="array" aca="1" ref="AQ9" ca="1">IF(INDIRECT("$D"&amp;(ROW(R9)+$F$1-1))=0,AQ8,$G13)</f>
        <v>4</v>
      </c>
      <c r="AR9" s="7" cm="1">
        <f t="array" aca="1" ref="AR9" ca="1">IF(INDIRECT("$D"&amp;(ROW(R9)+$F$1-1))=0,AR8,$G14)</f>
        <v>1</v>
      </c>
      <c r="AS9" s="7" cm="1">
        <f t="array" aca="1" ref="AS9" ca="1">IF(INDIRECT("$D"&amp;(ROW(AS9)+$F$1-1))=0,AS8+4,1)</f>
        <v>1</v>
      </c>
      <c r="AT9" s="7" cm="1">
        <f t="array" aca="1" ref="AT9" ca="1">IF(INDIRECT("$D"&amp;(ROW(AT9)+$F$1-1))=0,AT8+4,2)</f>
        <v>2</v>
      </c>
      <c r="AU9" s="7" cm="1">
        <f t="array" aca="1" ref="AU9" ca="1">IF(INDIRECT("$D"&amp;(ROW(AU9)+$F$1-1))=0,AU8+4,3)</f>
        <v>3</v>
      </c>
      <c r="AV9" s="7" cm="1">
        <f t="array" aca="1" ref="AV9" ca="1">IF(INDIRECT("$D"&amp;(ROW(AV9)+$F$1-1))=0,AV8+4,4)</f>
        <v>4</v>
      </c>
      <c r="AW9" s="22" cm="1">
        <f t="array" aca="1" ref="AW9" ca="1">_xlfn.XLOOKUP(1,INDIRECT("J"&amp;ROW(K9)+$F$1):J$103,INDIRECT("D"&amp;ROW(K9)+$F$1):D$103,0,0,1)</f>
        <v>46</v>
      </c>
      <c r="AX9" s="22">
        <f t="shared" ca="1" si="3"/>
        <v>6</v>
      </c>
      <c r="AY9" s="22" t="str" cm="1">
        <f t="array" aca="1" ref="AY9" ca="1">_xlfn.XLOOKUP(AW9,D$4:D$110,H$4:H$110&amp;N$4:N$110&amp;O$4:O$110,0,0,1)</f>
        <v>3960</v>
      </c>
      <c r="AZ9" s="22" t="str" cm="1">
        <f t="array" aca="1" ref="AZ9" ca="1">_xlfn.XLOOKUP(AW9,D$4:D$110,I$4:I$110&amp;P$4:P$110&amp;Q$4:Q$110,0,0,1)</f>
        <v>3930</v>
      </c>
      <c r="BA9" s="14" cm="1">
        <f t="array" ref="BA9">_xlfn.XLOOKUP(1,J$4:J8,D$4:D8,0,0,-1)</f>
        <v>55</v>
      </c>
      <c r="BB9" s="14">
        <f t="shared" si="5"/>
        <v>4</v>
      </c>
      <c r="BC9" s="14" t="str" cm="1">
        <f t="array" ref="BC9">_xlfn.SWITCH(TRUE,_xlfn.XLOOKUP(BA9,D$4:D$110,TEXT(F$4:F$110,"HH"),0,0,1)="00",B7&amp;"",_xlfn.XLOOKUP(BA9,D$4:D$110,TEXT(F$4:F$110,"HH"),0,0,1)="T","00",TRUE,_xlfn.XLOOKUP(BA9,D$4:D$110,TEXT(F$4:F$110,"HH"),0,0,1))</f>
        <v>11</v>
      </c>
      <c r="BD9" s="14" t="str">
        <f t="shared" si="4"/>
        <v>112245</v>
      </c>
    </row>
    <row r="10" spans="1:56">
      <c r="A10" s="2">
        <v>7</v>
      </c>
      <c r="B10" s="5" t="s">
        <v>122</v>
      </c>
      <c r="C10" s="5">
        <v>188425</v>
      </c>
      <c r="D10" s="5">
        <v>52</v>
      </c>
      <c r="E10" s="11" t="s">
        <v>32</v>
      </c>
      <c r="F10" s="10"/>
      <c r="G10" s="5">
        <v>3</v>
      </c>
      <c r="H10" s="5"/>
      <c r="I10" s="5"/>
      <c r="J10" s="5">
        <f t="shared" si="1"/>
        <v>0</v>
      </c>
      <c r="K10" s="7" t="str">
        <f t="shared" si="0"/>
        <v>pass</v>
      </c>
      <c r="L10" s="7" t="str" cm="1">
        <f t="array" ref="L10">_xlfn.SWITCH(TRUE,$K10="PASS",TEXT($B$1,"0000"),AND($K10="STOP",E10=""),TEXT($D$1,"0000"),$K9="TERMINAL","0000",TRUE,TEXT(E10,"MMSS"))</f>
        <v>6200</v>
      </c>
      <c r="M10" s="7" t="str" cm="1">
        <f t="array" ref="M10">_xlfn.SWITCH(TRUE,$K10="PASS",TEXT($B$1,"0000"),AND($K10="STOP",F10=""),TEXT($D$1,"0000"),$K10="TERMINAL","0000",TRUE,TEXT(F10,"MMSS"))</f>
        <v>6200</v>
      </c>
      <c r="N10" t="str" cm="1">
        <f t="array" ref="N10">_xlfn.SWITCH(TRUE,AND(LEFT(L10,2)="00",K10="TERMINAL"),"00",E10="",TEXT(LEFT($D$1,2),"00"),LEFT(L10,2)="00",$D$2&amp;"",TRUE,LEFT(L10,2))</f>
        <v>62</v>
      </c>
      <c r="O10" t="str" cm="1">
        <f t="array" ref="O10">_xlfn.SWITCH(TRUE,AND(N10="00",RIGHT(L10,2)="00",K10="TERMINAL"),"00",OR(E10="",N10=LEFT($B$1,2)),TEXT(RIGHT($D$1,2),"00"),RIGHT(L10,2)="00",$D$2&amp;"",TRUE,RIGHT(L10,2))</f>
        <v>00</v>
      </c>
      <c r="P10" t="str" cm="1">
        <f t="array" ref="P10">_xlfn.SWITCH(TRUE,AND(LEFT(M10,2)="00",K10="TERMINAL"),"00",F10="",TEXT(LEFT($D$1,2),"00"),LEFT(M10,2)="00",$D$2&amp;"",TRUE,LEFT(M10,2))</f>
        <v>00</v>
      </c>
      <c r="Q10" t="str" cm="1">
        <f t="array" ref="Q10">_xlfn.SWITCH(TRUE,AND(RIGHT(M10,2)="00",K10="TERMINAL"),"00",F10="",TEXT(RIGHT($D$1,2),"00"),RIGHT(M10,2)="00",$D$2&amp;"",TRUE,RIGHT(M10,2))</f>
        <v>00</v>
      </c>
      <c r="R10" s="7" cm="1">
        <f t="array" aca="1" ref="R10" ca="1">IF(INDIRECT("$D"&amp;(ROW(R10)+$F$1-1))=0,R9,$D10)</f>
        <v>52</v>
      </c>
      <c r="S10" s="7" cm="1">
        <f t="array" aca="1" ref="S10" ca="1">IF(INDIRECT("$D"&amp;(ROW(R10)+$F$1-1))=0,S9,$D11)</f>
        <v>51</v>
      </c>
      <c r="T10" s="7" cm="1">
        <f t="array" aca="1" ref="T10" ca="1">IF(INDIRECT("$D"&amp;(ROW(R10)+$F$1-1))=0,T9,$D12)</f>
        <v>50</v>
      </c>
      <c r="U10" s="7" cm="1">
        <f t="array" aca="1" ref="U10" ca="1">IF(INDIRECT("$D"&amp;(ROW(R10)+$F$1-1))=0,U9,$D13)</f>
        <v>49</v>
      </c>
      <c r="V10" s="7" cm="1">
        <f t="array" aca="1" ref="V10" ca="1">IF(INDIRECT("$D"&amp;(ROW(R10)+$F$1-1))=0,V9,$D14)</f>
        <v>48</v>
      </c>
      <c r="W10" s="7" cm="1">
        <f t="array" aca="1" ref="W10" ca="1">IF(INDIRECT("$D"&amp;(ROW(R10)+$F$1-1))=0,W9,$D15)</f>
        <v>47</v>
      </c>
      <c r="X10" s="7" t="str" cm="1">
        <f t="array" aca="1" ref="X10" ca="1">IF(INDIRECT("$D"&amp;(ROW(R10)+$F$1-1))=0,X8,$H10&amp;$N10&amp;$O10)</f>
        <v>6200</v>
      </c>
      <c r="Y10" s="7" t="str" cm="1">
        <f t="array" aca="1" ref="Y10" ca="1">IF(INDIRECT("$D"&amp;(ROW(R10)+$F$1-1))=0,Y9,H11&amp;$N11&amp;$O11)</f>
        <v>6200</v>
      </c>
      <c r="Z10" s="7" t="str" cm="1">
        <f t="array" aca="1" ref="Z10" ca="1">IF(INDIRECT("$D"&amp;(ROW(R10)+$F$1-1))=0,Z9,H12&amp;$N12&amp;$O12)</f>
        <v>3315</v>
      </c>
      <c r="AA10" s="7" t="str" cm="1">
        <f t="array" aca="1" ref="AA10" ca="1">IF(INDIRECT("$D"&amp;(ROW(R10)+$F$1-1))=0,AA9,H13&amp;$N13&amp;$O13)</f>
        <v>6200</v>
      </c>
      <c r="AB10" s="7" t="str" cm="1">
        <f t="array" aca="1" ref="AB10" ca="1">IF(INDIRECT("$D"&amp;(ROW(R10)+$F$1-1))=0,AB9,H14&amp;$N14&amp;$O14)</f>
        <v>6200</v>
      </c>
      <c r="AC10" s="7" t="str" cm="1">
        <f t="array" aca="1" ref="AC10" ca="1">IF(INDIRECT("$D"&amp;(ROW(R10)+$F$1-1))=0,AC9,H15&amp;$N15&amp;$O15)</f>
        <v>6200</v>
      </c>
      <c r="AD10" s="7" t="str" cm="1">
        <f t="array" aca="1" ref="AD10" ca="1">IF(INDIRECT("$D"&amp;(ROW(R10)+$F$1-1))=0,AD9,I10&amp;$P10&amp;$Q10)</f>
        <v>0000</v>
      </c>
      <c r="AE10" s="7" t="str" cm="1">
        <f t="array" aca="1" ref="AE10" ca="1">IF(INDIRECT("$D"&amp;(ROW(R10)+$F$1-1))=0,AE9,I11&amp;$P11&amp;$Q11)</f>
        <v>0000</v>
      </c>
      <c r="AF10" s="7" t="str" cm="1">
        <f t="array" aca="1" ref="AF10" ca="1">IF(INDIRECT("$D"&amp;(ROW(R10)+$F$1-1))=0,AF9,I12&amp;$P12&amp;$Q12)</f>
        <v>3345</v>
      </c>
      <c r="AG10" s="7" t="str" cm="1">
        <f t="array" aca="1" ref="AG10" ca="1">IF(INDIRECT("$D"&amp;(ROW(R10)+$F$1-1))=0,AG9,I13&amp;$P13&amp;$Q13)</f>
        <v>0000</v>
      </c>
      <c r="AH10" s="7" t="str" cm="1">
        <f t="array" aca="1" ref="AH10" ca="1">IF(INDIRECT("$D"&amp;(ROW(R10)+$F$1-1))=0,AH9,I14&amp;$P14&amp;$Q14)</f>
        <v>0000</v>
      </c>
      <c r="AI10" s="7" t="str" cm="1">
        <f t="array" aca="1" ref="AI10" ca="1">IF(INDIRECT("$D"&amp;(ROW(R10)+$F$1-1))=0,AI9,I15&amp;$P15&amp;$Q15)</f>
        <v>0000</v>
      </c>
      <c r="AJ10" s="7" t="str" cm="1">
        <f t="array" ref="AJ10">TEXT($D10,"000")&amp;TEXT(IFERROR(INDEX($D$5:$D$103,_xlfn.AGGREGATE(15,6,ROW($E$5:$E$103)/(($E$5:$E$103&lt;&gt;"p")*($E$5:$E$103&lt;&gt;"t")*(ROW($E$5:$E$103)&gt;ROW($E10))),1)-ROW($E$5)+1),$D10),"000")</f>
        <v>052050</v>
      </c>
      <c r="AK10" s="22">
        <f t="shared" si="2"/>
        <v>-1</v>
      </c>
      <c r="AL10" s="22" cm="1">
        <f t="array" aca="1" ref="AL10" ca="1">IF(INDIRECT("$K"&amp;(ROW(R10)+$F$1-1))="TERMINAL",1000489,489)*SIGN(AK10)</f>
        <v>-489</v>
      </c>
      <c r="AM10" s="7" cm="1">
        <f t="array" aca="1" ref="AM10" ca="1">IF(INDIRECT("$D"&amp;(ROW(R10)+$F$1-1))=0,AM9,$G10)</f>
        <v>3</v>
      </c>
      <c r="AN10" s="7" cm="1">
        <f t="array" aca="1" ref="AN10" ca="1">IF(INDIRECT("$D"&amp;(ROW(R10)+$F$1-1))=0,AN9,$G11)</f>
        <v>0</v>
      </c>
      <c r="AO10" s="7" cm="1">
        <f t="array" aca="1" ref="AO10" ca="1">IF(INDIRECT("$D"&amp;(ROW(R10)+$F$1-1))=0,AO9,$G12)</f>
        <v>3</v>
      </c>
      <c r="AP10" s="7" cm="1">
        <f t="array" aca="1" ref="AP10" ca="1">IF(INDIRECT("$D"&amp;(ROW(R10)+$F$1-1))=0,AP9,$G13)</f>
        <v>4</v>
      </c>
      <c r="AQ10" s="7" cm="1">
        <f t="array" aca="1" ref="AQ10" ca="1">IF(INDIRECT("$D"&amp;(ROW(R10)+$F$1-1))=0,AQ9,$G14)</f>
        <v>1</v>
      </c>
      <c r="AR10" s="7" cm="1">
        <f t="array" aca="1" ref="AR10" ca="1">IF(INDIRECT("$D"&amp;(ROW(R10)+$F$1-1))=0,AR9,$G15)</f>
        <v>0</v>
      </c>
      <c r="AS10" s="7" cm="1">
        <f t="array" aca="1" ref="AS10" ca="1">IF(INDIRECT("$D"&amp;(ROW(AS10)+$F$1-1))=0,AS9+4,1)</f>
        <v>1</v>
      </c>
      <c r="AT10" s="7" cm="1">
        <f t="array" aca="1" ref="AT10" ca="1">IF(INDIRECT("$D"&amp;(ROW(AT10)+$F$1-1))=0,AT9+4,2)</f>
        <v>2</v>
      </c>
      <c r="AU10" s="7" cm="1">
        <f t="array" aca="1" ref="AU10" ca="1">IF(INDIRECT("$D"&amp;(ROW(AU10)+$F$1-1))=0,AU9+4,3)</f>
        <v>3</v>
      </c>
      <c r="AV10" s="7" cm="1">
        <f t="array" aca="1" ref="AV10" ca="1">IF(INDIRECT("$D"&amp;(ROW(AV10)+$F$1-1))=0,AV9+4,4)</f>
        <v>4</v>
      </c>
      <c r="AW10" s="22" cm="1">
        <f t="array" aca="1" ref="AW10" ca="1">_xlfn.XLOOKUP(1,INDIRECT("J"&amp;ROW(K10)+$F$1):J$103,INDIRECT("D"&amp;ROW(K10)+$F$1):D$103,0,0,1)</f>
        <v>46</v>
      </c>
      <c r="AX10" s="22">
        <f t="shared" ca="1" si="3"/>
        <v>6</v>
      </c>
      <c r="AY10" s="22" t="str" cm="1">
        <f t="array" aca="1" ref="AY10" ca="1">_xlfn.XLOOKUP(AW10,D$4:D$110,H$4:H$110&amp;N$4:N$110&amp;O$4:O$110,0,0,1)</f>
        <v>3960</v>
      </c>
      <c r="AZ10" s="22" t="str" cm="1">
        <f t="array" aca="1" ref="AZ10" ca="1">_xlfn.XLOOKUP(AW10,D$4:D$110,I$4:I$110&amp;P$4:P$110&amp;Q$4:Q$110,0,0,1)</f>
        <v>3930</v>
      </c>
      <c r="BA10" s="14" cm="1">
        <f t="array" ref="BA10">_xlfn.XLOOKUP(1,J$4:J9,D$4:D9,0,0,-1)</f>
        <v>53</v>
      </c>
      <c r="BB10" s="14">
        <f t="shared" si="5"/>
        <v>3</v>
      </c>
      <c r="BC10" s="14" t="str" cm="1">
        <f t="array" ref="BC10">_xlfn.SWITCH(TRUE,_xlfn.XLOOKUP(BA10,D$4:D$110,TEXT(F$4:F$110,"HH"),0,0,1)="00",B8&amp;"",_xlfn.XLOOKUP(BA10,D$4:D$110,TEXT(F$4:F$110,"HH"),0,0,1)="T","00",TRUE,_xlfn.XLOOKUP(BA10,D$4:D$110,TEXT(F$4:F$110,"HH"),0,0,1))</f>
        <v>11</v>
      </c>
      <c r="BD10" s="14" t="str">
        <f t="shared" si="4"/>
        <v>112830</v>
      </c>
    </row>
    <row r="11" spans="1:56">
      <c r="A11" s="2">
        <v>8</v>
      </c>
      <c r="B11" s="5" t="s">
        <v>123</v>
      </c>
      <c r="C11" s="5">
        <v>190150</v>
      </c>
      <c r="D11" s="5">
        <v>51</v>
      </c>
      <c r="E11" s="10" t="s">
        <v>32</v>
      </c>
      <c r="F11" s="10"/>
      <c r="G11" s="5"/>
      <c r="H11" s="5"/>
      <c r="I11" s="5"/>
      <c r="J11" s="5">
        <f t="shared" si="1"/>
        <v>0</v>
      </c>
      <c r="K11" s="7" t="str">
        <f t="shared" si="0"/>
        <v>pass</v>
      </c>
      <c r="L11" s="7" t="str" cm="1">
        <f t="array" ref="L11">_xlfn.SWITCH(TRUE,$K11="PASS",TEXT($B$1,"0000"),AND($K11="STOP",E11=""),TEXT($D$1,"0000"),$K10="TERMINAL","0000",TRUE,TEXT(E11,"MMSS"))</f>
        <v>6200</v>
      </c>
      <c r="M11" s="7" t="str" cm="1">
        <f t="array" ref="M11">_xlfn.SWITCH(TRUE,$K11="PASS",TEXT($B$1,"0000"),AND($K11="STOP",F11=""),TEXT($D$1,"0000"),$K11="TERMINAL","0000",TRUE,TEXT(F11,"MMSS"))</f>
        <v>6200</v>
      </c>
      <c r="N11" t="str" cm="1">
        <f t="array" ref="N11">_xlfn.SWITCH(TRUE,AND(LEFT(L11,2)="00",K11="TERMINAL"),"00",E11="",TEXT(LEFT($D$1,2),"00"),LEFT(L11,2)="00",$D$2&amp;"",TRUE,LEFT(L11,2))</f>
        <v>62</v>
      </c>
      <c r="O11" t="str" cm="1">
        <f t="array" ref="O11">_xlfn.SWITCH(TRUE,AND(N11="00",RIGHT(L11,2)="00",K11="TERMINAL"),"00",OR(E11="",N11=LEFT($B$1,2)),TEXT(RIGHT($D$1,2),"00"),RIGHT(L11,2)="00",$D$2&amp;"",TRUE,RIGHT(L11,2))</f>
        <v>00</v>
      </c>
      <c r="P11" t="str" cm="1">
        <f t="array" ref="P11">_xlfn.SWITCH(TRUE,AND(LEFT(M11,2)="00",K11="TERMINAL"),"00",F11="",TEXT(LEFT($D$1,2),"00"),LEFT(M11,2)="00",$D$2&amp;"",TRUE,LEFT(M11,2))</f>
        <v>00</v>
      </c>
      <c r="Q11" t="str" cm="1">
        <f t="array" ref="Q11">_xlfn.SWITCH(TRUE,AND(RIGHT(M11,2)="00",K11="TERMINAL"),"00",F11="",TEXT(RIGHT($D$1,2),"00"),RIGHT(M11,2)="00",$D$2&amp;"",TRUE,RIGHT(M11,2))</f>
        <v>00</v>
      </c>
      <c r="R11" s="7" cm="1">
        <f t="array" aca="1" ref="R11" ca="1">IF(INDIRECT("$D"&amp;(ROW(R11)+$F$1-1))=0,R10,$D11)</f>
        <v>51</v>
      </c>
      <c r="S11" s="7" cm="1">
        <f t="array" aca="1" ref="S11" ca="1">IF(INDIRECT("$D"&amp;(ROW(R11)+$F$1-1))=0,S10,$D12)</f>
        <v>50</v>
      </c>
      <c r="T11" s="7" cm="1">
        <f t="array" aca="1" ref="T11" ca="1">IF(INDIRECT("$D"&amp;(ROW(R11)+$F$1-1))=0,T10,$D13)</f>
        <v>49</v>
      </c>
      <c r="U11" s="7" cm="1">
        <f t="array" aca="1" ref="U11" ca="1">IF(INDIRECT("$D"&amp;(ROW(R11)+$F$1-1))=0,U10,$D14)</f>
        <v>48</v>
      </c>
      <c r="V11" s="7" cm="1">
        <f t="array" aca="1" ref="V11" ca="1">IF(INDIRECT("$D"&amp;(ROW(R11)+$F$1-1))=0,V10,$D15)</f>
        <v>47</v>
      </c>
      <c r="W11" s="7" cm="1">
        <f t="array" aca="1" ref="W11" ca="1">IF(INDIRECT("$D"&amp;(ROW(R11)+$F$1-1))=0,W10,$D16)</f>
        <v>46</v>
      </c>
      <c r="X11" s="7" t="str" cm="1">
        <f t="array" aca="1" ref="X11" ca="1">IF(INDIRECT("$D"&amp;(ROW(R11)+$F$1-1))=0,X9,$H11&amp;$N11&amp;$O11)</f>
        <v>6200</v>
      </c>
      <c r="Y11" s="7" t="str" cm="1">
        <f t="array" aca="1" ref="Y11" ca="1">IF(INDIRECT("$D"&amp;(ROW(R11)+$F$1-1))=0,Y10,H12&amp;$N12&amp;$O12)</f>
        <v>3315</v>
      </c>
      <c r="Z11" s="7" t="str" cm="1">
        <f t="array" aca="1" ref="Z11" ca="1">IF(INDIRECT("$D"&amp;(ROW(R11)+$F$1-1))=0,Z10,H13&amp;$N13&amp;$O13)</f>
        <v>6200</v>
      </c>
      <c r="AA11" s="7" t="str" cm="1">
        <f t="array" aca="1" ref="AA11" ca="1">IF(INDIRECT("$D"&amp;(ROW(R11)+$F$1-1))=0,AA10,H14&amp;$N14&amp;$O14)</f>
        <v>6200</v>
      </c>
      <c r="AB11" s="7" t="str" cm="1">
        <f t="array" aca="1" ref="AB11" ca="1">IF(INDIRECT("$D"&amp;(ROW(R11)+$F$1-1))=0,AB10,H15&amp;$N15&amp;$O15)</f>
        <v>6200</v>
      </c>
      <c r="AC11" s="7" t="str" cm="1">
        <f t="array" aca="1" ref="AC11" ca="1">IF(INDIRECT("$D"&amp;(ROW(R11)+$F$1-1))=0,AC10,H16&amp;$N16&amp;$O16)</f>
        <v>3960</v>
      </c>
      <c r="AD11" s="7" t="str" cm="1">
        <f t="array" aca="1" ref="AD11" ca="1">IF(INDIRECT("$D"&amp;(ROW(R11)+$F$1-1))=0,AD10,I11&amp;$P11&amp;$Q11)</f>
        <v>0000</v>
      </c>
      <c r="AE11" s="7" t="str" cm="1">
        <f t="array" aca="1" ref="AE11" ca="1">IF(INDIRECT("$D"&amp;(ROW(R11)+$F$1-1))=0,AE10,I12&amp;$P12&amp;$Q12)</f>
        <v>3345</v>
      </c>
      <c r="AF11" s="7" t="str" cm="1">
        <f t="array" aca="1" ref="AF11" ca="1">IF(INDIRECT("$D"&amp;(ROW(R11)+$F$1-1))=0,AF10,I13&amp;$P13&amp;$Q13)</f>
        <v>0000</v>
      </c>
      <c r="AG11" s="7" t="str" cm="1">
        <f t="array" aca="1" ref="AG11" ca="1">IF(INDIRECT("$D"&amp;(ROW(R11)+$F$1-1))=0,AG10,I14&amp;$P14&amp;$Q14)</f>
        <v>0000</v>
      </c>
      <c r="AH11" s="7" t="str" cm="1">
        <f t="array" aca="1" ref="AH11" ca="1">IF(INDIRECT("$D"&amp;(ROW(R11)+$F$1-1))=0,AH10,I15&amp;$P15&amp;$Q15)</f>
        <v>0000</v>
      </c>
      <c r="AI11" s="7" t="str" cm="1">
        <f t="array" aca="1" ref="AI11" ca="1">IF(INDIRECT("$D"&amp;(ROW(R11)+$F$1-1))=0,AI10,I16&amp;$P16&amp;$Q16)</f>
        <v>3930</v>
      </c>
      <c r="AJ11" s="7" t="str" cm="1">
        <f t="array" ref="AJ11">TEXT($D11,"000")&amp;TEXT(IFERROR(INDEX($D$5:$D$103,_xlfn.AGGREGATE(15,6,ROW($E$5:$E$103)/(($E$5:$E$103&lt;&gt;"p")*($E$5:$E$103&lt;&gt;"t")*(ROW($E$5:$E$103)&gt;ROW($E11))),1)-ROW($E$5)+1),$D11),"000")</f>
        <v>051050</v>
      </c>
      <c r="AK11" s="22">
        <f t="shared" si="2"/>
        <v>-1</v>
      </c>
      <c r="AL11" s="22" cm="1">
        <f t="array" aca="1" ref="AL11" ca="1">IF(INDIRECT("$K"&amp;(ROW(R11)+$F$1-1))="TERMINAL",1000489,489)*SIGN(AK11)</f>
        <v>-489</v>
      </c>
      <c r="AM11" s="7" cm="1">
        <f t="array" aca="1" ref="AM11" ca="1">IF(INDIRECT("$D"&amp;(ROW(R11)+$F$1-1))=0,AM10,$G11)</f>
        <v>0</v>
      </c>
      <c r="AN11" s="7" cm="1">
        <f t="array" aca="1" ref="AN11" ca="1">IF(INDIRECT("$D"&amp;(ROW(R11)+$F$1-1))=0,AN10,$G12)</f>
        <v>3</v>
      </c>
      <c r="AO11" s="7" cm="1">
        <f t="array" aca="1" ref="AO11" ca="1">IF(INDIRECT("$D"&amp;(ROW(R11)+$F$1-1))=0,AO10,$G13)</f>
        <v>4</v>
      </c>
      <c r="AP11" s="7" cm="1">
        <f t="array" aca="1" ref="AP11" ca="1">IF(INDIRECT("$D"&amp;(ROW(R11)+$F$1-1))=0,AP10,$G14)</f>
        <v>1</v>
      </c>
      <c r="AQ11" s="7" cm="1">
        <f t="array" aca="1" ref="AQ11" ca="1">IF(INDIRECT("$D"&amp;(ROW(R11)+$F$1-1))=0,AQ10,$G15)</f>
        <v>0</v>
      </c>
      <c r="AR11" s="7" cm="1">
        <f t="array" aca="1" ref="AR11" ca="1">IF(INDIRECT("$D"&amp;(ROW(R11)+$F$1-1))=0,AR10,$G16)</f>
        <v>6</v>
      </c>
      <c r="AS11" s="7" cm="1">
        <f t="array" aca="1" ref="AS11" ca="1">IF(INDIRECT("$D"&amp;(ROW(AS11)+$F$1-1))=0,AS10+4,1)</f>
        <v>1</v>
      </c>
      <c r="AT11" s="7" cm="1">
        <f t="array" aca="1" ref="AT11" ca="1">IF(INDIRECT("$D"&amp;(ROW(AT11)+$F$1-1))=0,AT10+4,2)</f>
        <v>2</v>
      </c>
      <c r="AU11" s="7" cm="1">
        <f t="array" aca="1" ref="AU11" ca="1">IF(INDIRECT("$D"&amp;(ROW(AU11)+$F$1-1))=0,AU10+4,3)</f>
        <v>3</v>
      </c>
      <c r="AV11" s="7" cm="1">
        <f t="array" aca="1" ref="AV11" ca="1">IF(INDIRECT("$D"&amp;(ROW(AV11)+$F$1-1))=0,AV10+4,4)</f>
        <v>4</v>
      </c>
      <c r="AW11" s="22" cm="1">
        <f t="array" aca="1" ref="AW11" ca="1">_xlfn.XLOOKUP(1,INDIRECT("J"&amp;ROW(K11)+$F$1):J$103,INDIRECT("D"&amp;ROW(K11)+$F$1):D$103,0,0,1)</f>
        <v>46</v>
      </c>
      <c r="AX11" s="22">
        <f t="shared" ca="1" si="3"/>
        <v>6</v>
      </c>
      <c r="AY11" s="22" t="str" cm="1">
        <f t="array" aca="1" ref="AY11" ca="1">_xlfn.XLOOKUP(AW11,D$4:D$110,H$4:H$110&amp;N$4:N$110&amp;O$4:O$110,0,0,1)</f>
        <v>3960</v>
      </c>
      <c r="AZ11" s="22" t="str" cm="1">
        <f t="array" aca="1" ref="AZ11" ca="1">_xlfn.XLOOKUP(AW11,D$4:D$110,I$4:I$110&amp;P$4:P$110&amp;Q$4:Q$110,0,0,1)</f>
        <v>3930</v>
      </c>
      <c r="BA11" s="14" cm="1">
        <f t="array" ref="BA11">_xlfn.XLOOKUP(1,J$4:J10,D$4:D10,0,0,-1)</f>
        <v>53</v>
      </c>
      <c r="BB11" s="14">
        <f t="shared" si="5"/>
        <v>3</v>
      </c>
      <c r="BC11" s="14" t="str" cm="1">
        <f t="array" ref="BC11">_xlfn.SWITCH(TRUE,_xlfn.XLOOKUP(BA11,D$4:D$110,TEXT(F$4:F$110,"HH"),0,0,1)="00",B9&amp;"",_xlfn.XLOOKUP(BA11,D$4:D$110,TEXT(F$4:F$110,"HH"),0,0,1)="T","00",TRUE,_xlfn.XLOOKUP(BA11,D$4:D$110,TEXT(F$4:F$110,"HH"),0,0,1))</f>
        <v>11</v>
      </c>
      <c r="BD11" s="14" t="str">
        <f t="shared" si="4"/>
        <v>112830</v>
      </c>
    </row>
    <row r="12" spans="1:56">
      <c r="A12" s="2">
        <v>9</v>
      </c>
      <c r="B12" s="5" t="s">
        <v>124</v>
      </c>
      <c r="C12" s="5">
        <v>191625</v>
      </c>
      <c r="D12" s="5">
        <v>50</v>
      </c>
      <c r="E12" s="10">
        <v>0.48142361111111109</v>
      </c>
      <c r="F12" s="10">
        <v>0.48177083333333331</v>
      </c>
      <c r="G12" s="5">
        <v>3</v>
      </c>
      <c r="H12" s="5"/>
      <c r="I12" s="5"/>
      <c r="J12" s="5">
        <f t="shared" si="1"/>
        <v>1</v>
      </c>
      <c r="K12" s="7" t="str">
        <f t="shared" si="0"/>
        <v>stop</v>
      </c>
      <c r="L12" s="7" t="str" cm="1">
        <f t="array" ref="L12">_xlfn.SWITCH(TRUE,$K12="PASS",TEXT($B$1,"0000"),AND($K12="STOP",E12=""),TEXT($D$1,"0000"),$K11="TERMINAL","0000",TRUE,TEXT(E12,"MMSS"))</f>
        <v>3315</v>
      </c>
      <c r="M12" s="7" t="str" cm="1">
        <f t="array" ref="M12">_xlfn.SWITCH(TRUE,$K12="PASS",TEXT($B$1,"0000"),AND($K12="STOP",F12=""),TEXT($D$1,"0000"),$K12="TERMINAL","0000",TRUE,TEXT(F12,"MMSS"))</f>
        <v>3345</v>
      </c>
      <c r="N12" t="str" cm="1">
        <f t="array" ref="N12">_xlfn.SWITCH(TRUE,AND(LEFT(L12,2)="00",K12="TERMINAL"),"00",E12="",TEXT(LEFT($D$1,2),"00"),LEFT(L12,2)="00",$D$2&amp;"",TRUE,LEFT(L12,2))</f>
        <v>33</v>
      </c>
      <c r="O12" t="str" cm="1">
        <f t="array" ref="O12">_xlfn.SWITCH(TRUE,AND(N12="00",RIGHT(L12,2)="00",K12="TERMINAL"),"00",OR(E12="",N12=LEFT($B$1,2)),TEXT(RIGHT($D$1,2),"00"),RIGHT(L12,2)="00",$D$2&amp;"",TRUE,RIGHT(L12,2))</f>
        <v>15</v>
      </c>
      <c r="P12" t="str" cm="1">
        <f t="array" ref="P12">_xlfn.SWITCH(TRUE,AND(LEFT(M12,2)="00",K12="TERMINAL"),"00",F12="",TEXT(LEFT($D$1,2),"00"),LEFT(M12,2)="00",$D$2&amp;"",TRUE,LEFT(M12,2))</f>
        <v>33</v>
      </c>
      <c r="Q12" t="str" cm="1">
        <f t="array" ref="Q12">_xlfn.SWITCH(TRUE,AND(RIGHT(M12,2)="00",K12="TERMINAL"),"00",F12="",TEXT(RIGHT($D$1,2),"00"),RIGHT(M12,2)="00",$D$2&amp;"",TRUE,RIGHT(M12,2))</f>
        <v>45</v>
      </c>
      <c r="R12" s="7" cm="1">
        <f t="array" aca="1" ref="R12" ca="1">IF(INDIRECT("$D"&amp;(ROW(R12)+$F$1-1))=0,R11,$D12)</f>
        <v>50</v>
      </c>
      <c r="S12" s="7" cm="1">
        <f t="array" aca="1" ref="S12" ca="1">IF(INDIRECT("$D"&amp;(ROW(R12)+$F$1-1))=0,S11,$D13)</f>
        <v>49</v>
      </c>
      <c r="T12" s="7" cm="1">
        <f t="array" aca="1" ref="T12" ca="1">IF(INDIRECT("$D"&amp;(ROW(R12)+$F$1-1))=0,T11,$D14)</f>
        <v>48</v>
      </c>
      <c r="U12" s="7" cm="1">
        <f t="array" aca="1" ref="U12" ca="1">IF(INDIRECT("$D"&amp;(ROW(R12)+$F$1-1))=0,U11,$D15)</f>
        <v>47</v>
      </c>
      <c r="V12" s="7" cm="1">
        <f t="array" aca="1" ref="V12" ca="1">IF(INDIRECT("$D"&amp;(ROW(R12)+$F$1-1))=0,V11,$D16)</f>
        <v>46</v>
      </c>
      <c r="W12" s="7" cm="1">
        <f t="array" aca="1" ref="W12" ca="1">IF(INDIRECT("$D"&amp;(ROW(R12)+$F$1-1))=0,W11,$D17)</f>
        <v>45</v>
      </c>
      <c r="X12" s="7" t="str" cm="1">
        <f t="array" aca="1" ref="X12" ca="1">IF(INDIRECT("$D"&amp;(ROW(R12)+$F$1-1))=0,X10,$H12&amp;$N12&amp;$O12)</f>
        <v>3315</v>
      </c>
      <c r="Y12" s="7" t="str" cm="1">
        <f t="array" aca="1" ref="Y12" ca="1">IF(INDIRECT("$D"&amp;(ROW(R12)+$F$1-1))=0,Y11,H13&amp;$N13&amp;$O13)</f>
        <v>6200</v>
      </c>
      <c r="Z12" s="7" t="str" cm="1">
        <f t="array" aca="1" ref="Z12" ca="1">IF(INDIRECT("$D"&amp;(ROW(R12)+$F$1-1))=0,Z11,H14&amp;$N14&amp;$O14)</f>
        <v>6200</v>
      </c>
      <c r="AA12" s="7" t="str" cm="1">
        <f t="array" aca="1" ref="AA12" ca="1">IF(INDIRECT("$D"&amp;(ROW(R12)+$F$1-1))=0,AA11,H15&amp;$N15&amp;$O15)</f>
        <v>6200</v>
      </c>
      <c r="AB12" s="7" t="str" cm="1">
        <f t="array" aca="1" ref="AB12" ca="1">IF(INDIRECT("$D"&amp;(ROW(R12)+$F$1-1))=0,AB11,H16&amp;$N16&amp;$O16)</f>
        <v>3960</v>
      </c>
      <c r="AC12" s="7" t="str" cm="1">
        <f t="array" aca="1" ref="AC12" ca="1">IF(INDIRECT("$D"&amp;(ROW(R12)+$F$1-1))=0,AC11,H17&amp;$N17&amp;$O17)</f>
        <v>6200</v>
      </c>
      <c r="AD12" s="7" t="str" cm="1">
        <f t="array" aca="1" ref="AD12" ca="1">IF(INDIRECT("$D"&amp;(ROW(R12)+$F$1-1))=0,AD11,I12&amp;$P12&amp;$Q12)</f>
        <v>3345</v>
      </c>
      <c r="AE12" s="7" t="str" cm="1">
        <f t="array" aca="1" ref="AE12" ca="1">IF(INDIRECT("$D"&amp;(ROW(R12)+$F$1-1))=0,AE11,I13&amp;$P13&amp;$Q13)</f>
        <v>0000</v>
      </c>
      <c r="AF12" s="7" t="str" cm="1">
        <f t="array" aca="1" ref="AF12" ca="1">IF(INDIRECT("$D"&amp;(ROW(R12)+$F$1-1))=0,AF11,I14&amp;$P14&amp;$Q14)</f>
        <v>0000</v>
      </c>
      <c r="AG12" s="7" t="str" cm="1">
        <f t="array" aca="1" ref="AG12" ca="1">IF(INDIRECT("$D"&amp;(ROW(R12)+$F$1-1))=0,AG11,I15&amp;$P15&amp;$Q15)</f>
        <v>0000</v>
      </c>
      <c r="AH12" s="7" t="str" cm="1">
        <f t="array" aca="1" ref="AH12" ca="1">IF(INDIRECT("$D"&amp;(ROW(R12)+$F$1-1))=0,AH11,I16&amp;$P16&amp;$Q16)</f>
        <v>3930</v>
      </c>
      <c r="AI12" s="7" t="str" cm="1">
        <f t="array" aca="1" ref="AI12" ca="1">IF(INDIRECT("$D"&amp;(ROW(R12)+$F$1-1))=0,AI11,I17&amp;$P17&amp;$Q17)</f>
        <v>0000</v>
      </c>
      <c r="AJ12" s="7" t="str" cm="1">
        <f t="array" ref="AJ12">TEXT($D12,"000")&amp;TEXT(IFERROR(INDEX($D$5:$D$103,_xlfn.AGGREGATE(15,6,ROW($E$5:$E$103)/(($E$5:$E$103&lt;&gt;"p")*($E$5:$E$103&lt;&gt;"t")*(ROW($E$5:$E$103)&gt;ROW($E12))),1)-ROW($E$5)+1),$D12),"000")</f>
        <v>050046</v>
      </c>
      <c r="AK12" s="22">
        <f t="shared" si="2"/>
        <v>500</v>
      </c>
      <c r="AL12" s="22" cm="1">
        <f t="array" aca="1" ref="AL12" ca="1">IF(INDIRECT("$K"&amp;(ROW(R12)+$F$1-1))="TERMINAL",1000489,489)*SIGN(AK12)</f>
        <v>489</v>
      </c>
      <c r="AM12" s="7" cm="1">
        <f t="array" aca="1" ref="AM12" ca="1">IF(INDIRECT("$D"&amp;(ROW(R12)+$F$1-1))=0,AM11,$G12)</f>
        <v>3</v>
      </c>
      <c r="AN12" s="7" cm="1">
        <f t="array" aca="1" ref="AN12" ca="1">IF(INDIRECT("$D"&amp;(ROW(R12)+$F$1-1))=0,AN11,$G13)</f>
        <v>4</v>
      </c>
      <c r="AO12" s="7" cm="1">
        <f t="array" aca="1" ref="AO12" ca="1">IF(INDIRECT("$D"&amp;(ROW(R12)+$F$1-1))=0,AO11,$G14)</f>
        <v>1</v>
      </c>
      <c r="AP12" s="7" cm="1">
        <f t="array" aca="1" ref="AP12" ca="1">IF(INDIRECT("$D"&amp;(ROW(R12)+$F$1-1))=0,AP11,$G15)</f>
        <v>0</v>
      </c>
      <c r="AQ12" s="7" cm="1">
        <f t="array" aca="1" ref="AQ12" ca="1">IF(INDIRECT("$D"&amp;(ROW(R12)+$F$1-1))=0,AQ11,$G16)</f>
        <v>6</v>
      </c>
      <c r="AR12" s="7" cm="1">
        <f t="array" aca="1" ref="AR12" ca="1">IF(INDIRECT("$D"&amp;(ROW(R12)+$F$1-1))=0,AR11,$G17)</f>
        <v>0</v>
      </c>
      <c r="AS12" s="7" cm="1">
        <f t="array" aca="1" ref="AS12" ca="1">IF(INDIRECT("$D"&amp;(ROW(AS12)+$F$1-1))=0,AS11+4,1)</f>
        <v>1</v>
      </c>
      <c r="AT12" s="7" cm="1">
        <f t="array" aca="1" ref="AT12" ca="1">IF(INDIRECT("$D"&amp;(ROW(AT12)+$F$1-1))=0,AT11+4,2)</f>
        <v>2</v>
      </c>
      <c r="AU12" s="7" cm="1">
        <f t="array" aca="1" ref="AU12" ca="1">IF(INDIRECT("$D"&amp;(ROW(AU12)+$F$1-1))=0,AU11+4,3)</f>
        <v>3</v>
      </c>
      <c r="AV12" s="7" cm="1">
        <f t="array" aca="1" ref="AV12" ca="1">IF(INDIRECT("$D"&amp;(ROW(AV12)+$F$1-1))=0,AV11+4,4)</f>
        <v>4</v>
      </c>
      <c r="AW12" s="22" cm="1">
        <f t="array" aca="1" ref="AW12" ca="1">_xlfn.XLOOKUP(1,INDIRECT("J"&amp;ROW(K12)+$F$1):J$103,INDIRECT("D"&amp;ROW(K12)+$F$1):D$103,0,0,1)</f>
        <v>40</v>
      </c>
      <c r="AX12" s="22">
        <f t="shared" ca="1" si="3"/>
        <v>8</v>
      </c>
      <c r="AY12" s="22" t="str" cm="1">
        <f t="array" aca="1" ref="AY12" ca="1">_xlfn.XLOOKUP(AW12,D$4:D$110,H$4:H$110&amp;N$4:N$110&amp;O$4:O$110,0,0,1)</f>
        <v>4630</v>
      </c>
      <c r="AZ12" s="22" t="str" cm="1">
        <f t="array" aca="1" ref="AZ12" ca="1">_xlfn.XLOOKUP(AW12,D$4:D$110,I$4:I$110&amp;P$4:P$110&amp;Q$4:Q$110,0,0,1)</f>
        <v>4760</v>
      </c>
      <c r="BA12" s="14" cm="1">
        <f t="array" ref="BA12">_xlfn.XLOOKUP(1,J$4:J11,D$4:D11,0,0,-1)</f>
        <v>53</v>
      </c>
      <c r="BB12" s="14">
        <f t="shared" si="5"/>
        <v>3</v>
      </c>
      <c r="BC12" s="14" t="str" cm="1">
        <f t="array" ref="BC12">_xlfn.SWITCH(TRUE,_xlfn.XLOOKUP(BA12,D$4:D$110,TEXT(F$4:F$110,"HH"),0,0,1)="00",B10&amp;"",_xlfn.XLOOKUP(BA12,D$4:D$110,TEXT(F$4:F$110,"HH"),0,0,1)="T","00",TRUE,_xlfn.XLOOKUP(BA12,D$4:D$110,TEXT(F$4:F$110,"HH"),0,0,1))</f>
        <v>11</v>
      </c>
      <c r="BD12" s="14" t="str">
        <f t="shared" si="4"/>
        <v>112830</v>
      </c>
    </row>
    <row r="13" spans="1:56">
      <c r="A13" s="2">
        <v>10</v>
      </c>
      <c r="B13" s="5" t="s">
        <v>125</v>
      </c>
      <c r="C13" s="5">
        <v>193900</v>
      </c>
      <c r="D13" s="5">
        <v>49</v>
      </c>
      <c r="E13" s="11" t="s">
        <v>32</v>
      </c>
      <c r="F13" s="10"/>
      <c r="G13" s="5">
        <v>4</v>
      </c>
      <c r="H13" s="5"/>
      <c r="I13" s="5"/>
      <c r="J13" s="5">
        <f t="shared" si="1"/>
        <v>0</v>
      </c>
      <c r="K13" s="7" t="str">
        <f t="shared" si="0"/>
        <v>pass</v>
      </c>
      <c r="L13" s="7" t="str" cm="1">
        <f t="array" ref="L13">_xlfn.SWITCH(TRUE,$K13="PASS",TEXT($B$1,"0000"),AND($K13="STOP",E13=""),TEXT($D$1,"0000"),$K12="TERMINAL","0000",TRUE,TEXT(E13,"MMSS"))</f>
        <v>6200</v>
      </c>
      <c r="M13" s="7" t="str" cm="1">
        <f t="array" ref="M13">_xlfn.SWITCH(TRUE,$K13="PASS",TEXT($B$1,"0000"),AND($K13="STOP",F13=""),TEXT($D$1,"0000"),$K13="TERMINAL","0000",TRUE,TEXT(F13,"MMSS"))</f>
        <v>6200</v>
      </c>
      <c r="N13" t="str" cm="1">
        <f t="array" ref="N13">_xlfn.SWITCH(TRUE,AND(LEFT(L13,2)="00",K13="TERMINAL"),"00",E13="",TEXT(LEFT($D$1,2),"00"),LEFT(L13,2)="00",$D$2&amp;"",TRUE,LEFT(L13,2))</f>
        <v>62</v>
      </c>
      <c r="O13" t="str" cm="1">
        <f t="array" ref="O13">_xlfn.SWITCH(TRUE,AND(N13="00",RIGHT(L13,2)="00",K13="TERMINAL"),"00",OR(E13="",N13=LEFT($B$1,2)),TEXT(RIGHT($D$1,2),"00"),RIGHT(L13,2)="00",$D$2&amp;"",TRUE,RIGHT(L13,2))</f>
        <v>00</v>
      </c>
      <c r="P13" t="str" cm="1">
        <f t="array" ref="P13">_xlfn.SWITCH(TRUE,AND(LEFT(M13,2)="00",K13="TERMINAL"),"00",F13="",TEXT(LEFT($D$1,2),"00"),LEFT(M13,2)="00",$D$2&amp;"",TRUE,LEFT(M13,2))</f>
        <v>00</v>
      </c>
      <c r="Q13" t="str" cm="1">
        <f t="array" ref="Q13">_xlfn.SWITCH(TRUE,AND(RIGHT(M13,2)="00",K13="TERMINAL"),"00",F13="",TEXT(RIGHT($D$1,2),"00"),RIGHT(M13,2)="00",$D$2&amp;"",TRUE,RIGHT(M13,2))</f>
        <v>00</v>
      </c>
      <c r="R13" s="7" cm="1">
        <f t="array" aca="1" ref="R13" ca="1">IF(INDIRECT("$D"&amp;(ROW(R13)+$F$1-1))=0,R12,$D13)</f>
        <v>49</v>
      </c>
      <c r="S13" s="7" cm="1">
        <f t="array" aca="1" ref="S13" ca="1">IF(INDIRECT("$D"&amp;(ROW(R13)+$F$1-1))=0,S12,$D14)</f>
        <v>48</v>
      </c>
      <c r="T13" s="7" cm="1">
        <f t="array" aca="1" ref="T13" ca="1">IF(INDIRECT("$D"&amp;(ROW(R13)+$F$1-1))=0,T12,$D15)</f>
        <v>47</v>
      </c>
      <c r="U13" s="7" cm="1">
        <f t="array" aca="1" ref="U13" ca="1">IF(INDIRECT("$D"&amp;(ROW(R13)+$F$1-1))=0,U12,$D16)</f>
        <v>46</v>
      </c>
      <c r="V13" s="7" cm="1">
        <f t="array" aca="1" ref="V13" ca="1">IF(INDIRECT("$D"&amp;(ROW(R13)+$F$1-1))=0,V12,$D17)</f>
        <v>45</v>
      </c>
      <c r="W13" s="7" cm="1">
        <f t="array" aca="1" ref="W13" ca="1">IF(INDIRECT("$D"&amp;(ROW(R13)+$F$1-1))=0,W12,$D18)</f>
        <v>44</v>
      </c>
      <c r="X13" s="7" t="str" cm="1">
        <f t="array" aca="1" ref="X13" ca="1">IF(INDIRECT("$D"&amp;(ROW(R13)+$F$1-1))=0,X11,$H13&amp;$N13&amp;$O13)</f>
        <v>6200</v>
      </c>
      <c r="Y13" s="7" t="str" cm="1">
        <f t="array" aca="1" ref="Y13" ca="1">IF(INDIRECT("$D"&amp;(ROW(R13)+$F$1-1))=0,Y12,H14&amp;$N14&amp;$O14)</f>
        <v>6200</v>
      </c>
      <c r="Z13" s="7" t="str" cm="1">
        <f t="array" aca="1" ref="Z13" ca="1">IF(INDIRECT("$D"&amp;(ROW(R13)+$F$1-1))=0,Z12,H15&amp;$N15&amp;$O15)</f>
        <v>6200</v>
      </c>
      <c r="AA13" s="7" t="str" cm="1">
        <f t="array" aca="1" ref="AA13" ca="1">IF(INDIRECT("$D"&amp;(ROW(R13)+$F$1-1))=0,AA12,H16&amp;$N16&amp;$O16)</f>
        <v>3960</v>
      </c>
      <c r="AB13" s="7" t="str" cm="1">
        <f t="array" aca="1" ref="AB13" ca="1">IF(INDIRECT("$D"&amp;(ROW(R13)+$F$1-1))=0,AB12,H17&amp;$N17&amp;$O17)</f>
        <v>6200</v>
      </c>
      <c r="AC13" s="7" t="str" cm="1">
        <f t="array" aca="1" ref="AC13" ca="1">IF(INDIRECT("$D"&amp;(ROW(R13)+$F$1-1))=0,AC12,H18&amp;$N18&amp;$O18)</f>
        <v>6200</v>
      </c>
      <c r="AD13" s="7" t="str" cm="1">
        <f t="array" aca="1" ref="AD13" ca="1">IF(INDIRECT("$D"&amp;(ROW(R13)+$F$1-1))=0,AD12,I13&amp;$P13&amp;$Q13)</f>
        <v>0000</v>
      </c>
      <c r="AE13" s="7" t="str" cm="1">
        <f t="array" aca="1" ref="AE13" ca="1">IF(INDIRECT("$D"&amp;(ROW(R13)+$F$1-1))=0,AE12,I14&amp;$P14&amp;$Q14)</f>
        <v>0000</v>
      </c>
      <c r="AF13" s="7" t="str" cm="1">
        <f t="array" aca="1" ref="AF13" ca="1">IF(INDIRECT("$D"&amp;(ROW(R13)+$F$1-1))=0,AF12,I15&amp;$P15&amp;$Q15)</f>
        <v>0000</v>
      </c>
      <c r="AG13" s="7" t="str" cm="1">
        <f t="array" aca="1" ref="AG13" ca="1">IF(INDIRECT("$D"&amp;(ROW(R13)+$F$1-1))=0,AG12,I16&amp;$P16&amp;$Q16)</f>
        <v>3930</v>
      </c>
      <c r="AH13" s="7" t="str" cm="1">
        <f t="array" aca="1" ref="AH13" ca="1">IF(INDIRECT("$D"&amp;(ROW(R13)+$F$1-1))=0,AH12,I17&amp;$P17&amp;$Q17)</f>
        <v>0000</v>
      </c>
      <c r="AI13" s="7" t="str" cm="1">
        <f t="array" aca="1" ref="AI13" ca="1">IF(INDIRECT("$D"&amp;(ROW(R13)+$F$1-1))=0,AI12,I18&amp;$P18&amp;$Q18)</f>
        <v>0000</v>
      </c>
      <c r="AJ13" s="7" t="str" cm="1">
        <f t="array" ref="AJ13">TEXT($D13,"000")&amp;TEXT(IFERROR(INDEX($D$5:$D$103,_xlfn.AGGREGATE(15,6,ROW($E$5:$E$103)/(($E$5:$E$103&lt;&gt;"p")*($E$5:$E$103&lt;&gt;"t")*(ROW($E$5:$E$103)&gt;ROW($E13))),1)-ROW($E$5)+1),$D13),"000")</f>
        <v>049046</v>
      </c>
      <c r="AK13" s="22">
        <f t="shared" si="2"/>
        <v>-1</v>
      </c>
      <c r="AL13" s="22" cm="1">
        <f t="array" aca="1" ref="AL13" ca="1">IF(INDIRECT("$K"&amp;(ROW(R13)+$F$1-1))="TERMINAL",1000489,489)*SIGN(AK13)</f>
        <v>-489</v>
      </c>
      <c r="AM13" s="7" cm="1">
        <f t="array" aca="1" ref="AM13" ca="1">IF(INDIRECT("$D"&amp;(ROW(R13)+$F$1-1))=0,AM12,$G13)</f>
        <v>4</v>
      </c>
      <c r="AN13" s="7" cm="1">
        <f t="array" aca="1" ref="AN13" ca="1">IF(INDIRECT("$D"&amp;(ROW(R13)+$F$1-1))=0,AN12,$G14)</f>
        <v>1</v>
      </c>
      <c r="AO13" s="7" cm="1">
        <f t="array" aca="1" ref="AO13" ca="1">IF(INDIRECT("$D"&amp;(ROW(R13)+$F$1-1))=0,AO12,$G15)</f>
        <v>0</v>
      </c>
      <c r="AP13" s="7" cm="1">
        <f t="array" aca="1" ref="AP13" ca="1">IF(INDIRECT("$D"&amp;(ROW(R13)+$F$1-1))=0,AP12,$G16)</f>
        <v>6</v>
      </c>
      <c r="AQ13" s="7" cm="1">
        <f t="array" aca="1" ref="AQ13" ca="1">IF(INDIRECT("$D"&amp;(ROW(R13)+$F$1-1))=0,AQ12,$G17)</f>
        <v>0</v>
      </c>
      <c r="AR13" s="7" cm="1">
        <f t="array" aca="1" ref="AR13" ca="1">IF(INDIRECT("$D"&amp;(ROW(R13)+$F$1-1))=0,AR12,$G18)</f>
        <v>0</v>
      </c>
      <c r="AS13" s="7" cm="1">
        <f t="array" aca="1" ref="AS13" ca="1">IF(INDIRECT("$D"&amp;(ROW(AS13)+$F$1-1))=0,AS12+4,1)</f>
        <v>1</v>
      </c>
      <c r="AT13" s="7" cm="1">
        <f t="array" aca="1" ref="AT13" ca="1">IF(INDIRECT("$D"&amp;(ROW(AT13)+$F$1-1))=0,AT12+4,2)</f>
        <v>2</v>
      </c>
      <c r="AU13" s="7" cm="1">
        <f t="array" aca="1" ref="AU13" ca="1">IF(INDIRECT("$D"&amp;(ROW(AU13)+$F$1-1))=0,AU12+4,3)</f>
        <v>3</v>
      </c>
      <c r="AV13" s="7" cm="1">
        <f t="array" aca="1" ref="AV13" ca="1">IF(INDIRECT("$D"&amp;(ROW(AV13)+$F$1-1))=0,AV12+4,4)</f>
        <v>4</v>
      </c>
      <c r="AW13" s="22" cm="1">
        <f t="array" aca="1" ref="AW13" ca="1">_xlfn.XLOOKUP(1,INDIRECT("J"&amp;ROW(K13)+$F$1):J$103,INDIRECT("D"&amp;ROW(K13)+$F$1):D$103,0,0,1)</f>
        <v>40</v>
      </c>
      <c r="AX13" s="22">
        <f t="shared" ca="1" si="3"/>
        <v>8</v>
      </c>
      <c r="AY13" s="22" t="str" cm="1">
        <f t="array" aca="1" ref="AY13" ca="1">_xlfn.XLOOKUP(AW13,D$4:D$110,H$4:H$110&amp;N$4:N$110&amp;O$4:O$110,0,0,1)</f>
        <v>4630</v>
      </c>
      <c r="AZ13" s="22" t="str" cm="1">
        <f t="array" aca="1" ref="AZ13" ca="1">_xlfn.XLOOKUP(AW13,D$4:D$110,I$4:I$110&amp;P$4:P$110&amp;Q$4:Q$110,0,0,1)</f>
        <v>4760</v>
      </c>
      <c r="BA13" s="14" cm="1">
        <f t="array" ref="BA13">_xlfn.XLOOKUP(1,J$4:J12,D$4:D12,0,0,-1)</f>
        <v>50</v>
      </c>
      <c r="BB13" s="14">
        <f t="shared" si="5"/>
        <v>3</v>
      </c>
      <c r="BC13" s="14" t="str" cm="1">
        <f t="array" ref="BC13">_xlfn.SWITCH(TRUE,_xlfn.XLOOKUP(BA13,D$4:D$110,TEXT(F$4:F$110,"HH"),0,0,1)="00",B11&amp;"",_xlfn.XLOOKUP(BA13,D$4:D$110,TEXT(F$4:F$110,"HH"),0,0,1)="T","00",TRUE,_xlfn.XLOOKUP(BA13,D$4:D$110,TEXT(F$4:F$110,"HH"),0,0,1))</f>
        <v>11</v>
      </c>
      <c r="BD13" s="14" t="str">
        <f t="shared" si="4"/>
        <v>113345</v>
      </c>
    </row>
    <row r="14" spans="1:56">
      <c r="A14" s="2">
        <v>11</v>
      </c>
      <c r="B14" s="5" t="s">
        <v>126</v>
      </c>
      <c r="C14" s="5">
        <v>195600</v>
      </c>
      <c r="D14" s="5">
        <v>48</v>
      </c>
      <c r="E14" s="10" t="s">
        <v>32</v>
      </c>
      <c r="F14" s="10"/>
      <c r="G14" s="5">
        <v>1</v>
      </c>
      <c r="H14" s="5"/>
      <c r="I14" s="5"/>
      <c r="J14" s="5">
        <f t="shared" si="1"/>
        <v>0</v>
      </c>
      <c r="K14" s="7" t="str">
        <f t="shared" si="0"/>
        <v>pass</v>
      </c>
      <c r="L14" s="7" t="str" cm="1">
        <f t="array" ref="L14">_xlfn.SWITCH(TRUE,$K14="PASS",TEXT($B$1,"0000"),AND($K14="STOP",E14=""),TEXT($D$1,"0000"),$K13="TERMINAL","0000",TRUE,TEXT(E14,"MMSS"))</f>
        <v>6200</v>
      </c>
      <c r="M14" s="7" t="str" cm="1">
        <f t="array" ref="M14">_xlfn.SWITCH(TRUE,$K14="PASS",TEXT($B$1,"0000"),AND($K14="STOP",F14=""),TEXT($D$1,"0000"),$K14="TERMINAL","0000",TRUE,TEXT(F14,"MMSS"))</f>
        <v>6200</v>
      </c>
      <c r="N14" t="str" cm="1">
        <f t="array" ref="N14">_xlfn.SWITCH(TRUE,AND(LEFT(L14,2)="00",K14="TERMINAL"),"00",E14="",TEXT(LEFT($D$1,2),"00"),LEFT(L14,2)="00",$D$2&amp;"",TRUE,LEFT(L14,2))</f>
        <v>62</v>
      </c>
      <c r="O14" t="str" cm="1">
        <f t="array" ref="O14">_xlfn.SWITCH(TRUE,AND(N14="00",RIGHT(L14,2)="00",K14="TERMINAL"),"00",OR(E14="",N14=LEFT($B$1,2)),TEXT(RIGHT($D$1,2),"00"),RIGHT(L14,2)="00",$D$2&amp;"",TRUE,RIGHT(L14,2))</f>
        <v>00</v>
      </c>
      <c r="P14" t="str" cm="1">
        <f t="array" ref="P14">_xlfn.SWITCH(TRUE,AND(LEFT(M14,2)="00",K14="TERMINAL"),"00",F14="",TEXT(LEFT($D$1,2),"00"),LEFT(M14,2)="00",$D$2&amp;"",TRUE,LEFT(M14,2))</f>
        <v>00</v>
      </c>
      <c r="Q14" t="str" cm="1">
        <f t="array" ref="Q14">_xlfn.SWITCH(TRUE,AND(RIGHT(M14,2)="00",K14="TERMINAL"),"00",F14="",TEXT(RIGHT($D$1,2),"00"),RIGHT(M14,2)="00",$D$2&amp;"",TRUE,RIGHT(M14,2))</f>
        <v>00</v>
      </c>
      <c r="R14" s="7" cm="1">
        <f t="array" aca="1" ref="R14" ca="1">IF(INDIRECT("$D"&amp;(ROW(R14)+$F$1-1))=0,R13,$D14)</f>
        <v>48</v>
      </c>
      <c r="S14" s="7" cm="1">
        <f t="array" aca="1" ref="S14" ca="1">IF(INDIRECT("$D"&amp;(ROW(R14)+$F$1-1))=0,S13,$D15)</f>
        <v>47</v>
      </c>
      <c r="T14" s="7" cm="1">
        <f t="array" aca="1" ref="T14" ca="1">IF(INDIRECT("$D"&amp;(ROW(R14)+$F$1-1))=0,T13,$D16)</f>
        <v>46</v>
      </c>
      <c r="U14" s="7" cm="1">
        <f t="array" aca="1" ref="U14" ca="1">IF(INDIRECT("$D"&amp;(ROW(R14)+$F$1-1))=0,U13,$D17)</f>
        <v>45</v>
      </c>
      <c r="V14" s="7" cm="1">
        <f t="array" aca="1" ref="V14" ca="1">IF(INDIRECT("$D"&amp;(ROW(R14)+$F$1-1))=0,V13,$D18)</f>
        <v>44</v>
      </c>
      <c r="W14" s="7" cm="1">
        <f t="array" aca="1" ref="W14" ca="1">IF(INDIRECT("$D"&amp;(ROW(R14)+$F$1-1))=0,W13,$D19)</f>
        <v>43</v>
      </c>
      <c r="X14" s="7" t="str" cm="1">
        <f t="array" aca="1" ref="X14" ca="1">IF(INDIRECT("$D"&amp;(ROW(R14)+$F$1-1))=0,X12,$H14&amp;$N14&amp;$O14)</f>
        <v>6200</v>
      </c>
      <c r="Y14" s="7" t="str" cm="1">
        <f t="array" aca="1" ref="Y14" ca="1">IF(INDIRECT("$D"&amp;(ROW(R14)+$F$1-1))=0,Y13,H15&amp;$N15&amp;$O15)</f>
        <v>6200</v>
      </c>
      <c r="Z14" s="7" t="str" cm="1">
        <f t="array" aca="1" ref="Z14" ca="1">IF(INDIRECT("$D"&amp;(ROW(R14)+$F$1-1))=0,Z13,H16&amp;$N16&amp;$O16)</f>
        <v>3960</v>
      </c>
      <c r="AA14" s="7" t="str" cm="1">
        <f t="array" aca="1" ref="AA14" ca="1">IF(INDIRECT("$D"&amp;(ROW(R14)+$F$1-1))=0,AA13,H17&amp;$N17&amp;$O17)</f>
        <v>6200</v>
      </c>
      <c r="AB14" s="7" t="str" cm="1">
        <f t="array" aca="1" ref="AB14" ca="1">IF(INDIRECT("$D"&amp;(ROW(R14)+$F$1-1))=0,AB13,H18&amp;$N18&amp;$O18)</f>
        <v>6200</v>
      </c>
      <c r="AC14" s="7" t="str" cm="1">
        <f t="array" aca="1" ref="AC14" ca="1">IF(INDIRECT("$D"&amp;(ROW(R14)+$F$1-1))=0,AC13,H19&amp;$N19&amp;$O19)</f>
        <v>6200</v>
      </c>
      <c r="AD14" s="7" t="str" cm="1">
        <f t="array" aca="1" ref="AD14" ca="1">IF(INDIRECT("$D"&amp;(ROW(R14)+$F$1-1))=0,AD13,I14&amp;$P14&amp;$Q14)</f>
        <v>0000</v>
      </c>
      <c r="AE14" s="7" t="str" cm="1">
        <f t="array" aca="1" ref="AE14" ca="1">IF(INDIRECT("$D"&amp;(ROW(R14)+$F$1-1))=0,AE13,I15&amp;$P15&amp;$Q15)</f>
        <v>0000</v>
      </c>
      <c r="AF14" s="7" t="str" cm="1">
        <f t="array" aca="1" ref="AF14" ca="1">IF(INDIRECT("$D"&amp;(ROW(R14)+$F$1-1))=0,AF13,I16&amp;$P16&amp;$Q16)</f>
        <v>3930</v>
      </c>
      <c r="AG14" s="7" t="str" cm="1">
        <f t="array" aca="1" ref="AG14" ca="1">IF(INDIRECT("$D"&amp;(ROW(R14)+$F$1-1))=0,AG13,I17&amp;$P17&amp;$Q17)</f>
        <v>0000</v>
      </c>
      <c r="AH14" s="7" t="str" cm="1">
        <f t="array" aca="1" ref="AH14" ca="1">IF(INDIRECT("$D"&amp;(ROW(R14)+$F$1-1))=0,AH13,I18&amp;$P18&amp;$Q18)</f>
        <v>0000</v>
      </c>
      <c r="AI14" s="7" t="str" cm="1">
        <f t="array" aca="1" ref="AI14" ca="1">IF(INDIRECT("$D"&amp;(ROW(R14)+$F$1-1))=0,AI13,I19&amp;$P19&amp;$Q19)</f>
        <v>0000</v>
      </c>
      <c r="AJ14" s="7" t="str" cm="1">
        <f t="array" ref="AJ14">TEXT($D14,"000")&amp;TEXT(IFERROR(INDEX($D$5:$D$103,_xlfn.AGGREGATE(15,6,ROW($E$5:$E$103)/(($E$5:$E$103&lt;&gt;"p")*($E$5:$E$103&lt;&gt;"t")*(ROW($E$5:$E$103)&gt;ROW($E14))),1)-ROW($E$5)+1),$D14),"000")</f>
        <v>048046</v>
      </c>
      <c r="AK14" s="22">
        <f t="shared" si="2"/>
        <v>-1</v>
      </c>
      <c r="AL14" s="22" cm="1">
        <f t="array" aca="1" ref="AL14" ca="1">IF(INDIRECT("$K"&amp;(ROW(R14)+$F$1-1))="TERMINAL",1000489,489)*SIGN(AK14)</f>
        <v>-489</v>
      </c>
      <c r="AM14" s="7" cm="1">
        <f t="array" aca="1" ref="AM14" ca="1">IF(INDIRECT("$D"&amp;(ROW(R14)+$F$1-1))=0,AM13,$G14)</f>
        <v>1</v>
      </c>
      <c r="AN14" s="7" cm="1">
        <f t="array" aca="1" ref="AN14" ca="1">IF(INDIRECT("$D"&amp;(ROW(R14)+$F$1-1))=0,AN13,$G15)</f>
        <v>0</v>
      </c>
      <c r="AO14" s="7" cm="1">
        <f t="array" aca="1" ref="AO14" ca="1">IF(INDIRECT("$D"&amp;(ROW(R14)+$F$1-1))=0,AO13,$G16)</f>
        <v>6</v>
      </c>
      <c r="AP14" s="7" cm="1">
        <f t="array" aca="1" ref="AP14" ca="1">IF(INDIRECT("$D"&amp;(ROW(R14)+$F$1-1))=0,AP13,$G17)</f>
        <v>0</v>
      </c>
      <c r="AQ14" s="7" cm="1">
        <f t="array" aca="1" ref="AQ14" ca="1">IF(INDIRECT("$D"&amp;(ROW(R14)+$F$1-1))=0,AQ13,$G18)</f>
        <v>0</v>
      </c>
      <c r="AR14" s="7" cm="1">
        <f t="array" aca="1" ref="AR14" ca="1">IF(INDIRECT("$D"&amp;(ROW(R14)+$F$1-1))=0,AR13,$G19)</f>
        <v>0</v>
      </c>
      <c r="AS14" s="7" cm="1">
        <f t="array" aca="1" ref="AS14" ca="1">IF(INDIRECT("$D"&amp;(ROW(AS14)+$F$1-1))=0,AS13+4,1)</f>
        <v>1</v>
      </c>
      <c r="AT14" s="7" cm="1">
        <f t="array" aca="1" ref="AT14" ca="1">IF(INDIRECT("$D"&amp;(ROW(AT14)+$F$1-1))=0,AT13+4,2)</f>
        <v>2</v>
      </c>
      <c r="AU14" s="7" cm="1">
        <f t="array" aca="1" ref="AU14" ca="1">IF(INDIRECT("$D"&amp;(ROW(AU14)+$F$1-1))=0,AU13+4,3)</f>
        <v>3</v>
      </c>
      <c r="AV14" s="7" cm="1">
        <f t="array" aca="1" ref="AV14" ca="1">IF(INDIRECT("$D"&amp;(ROW(AV14)+$F$1-1))=0,AV13+4,4)</f>
        <v>4</v>
      </c>
      <c r="AW14" s="22" cm="1">
        <f t="array" aca="1" ref="AW14" ca="1">_xlfn.XLOOKUP(1,INDIRECT("J"&amp;ROW(K14)+$F$1):J$103,INDIRECT("D"&amp;ROW(K14)+$F$1):D$103,0,0,1)</f>
        <v>40</v>
      </c>
      <c r="AX14" s="22">
        <f t="shared" ca="1" si="3"/>
        <v>8</v>
      </c>
      <c r="AY14" s="22" t="str" cm="1">
        <f t="array" aca="1" ref="AY14" ca="1">_xlfn.XLOOKUP(AW14,D$4:D$110,H$4:H$110&amp;N$4:N$110&amp;O$4:O$110,0,0,1)</f>
        <v>4630</v>
      </c>
      <c r="AZ14" s="22" t="str" cm="1">
        <f t="array" aca="1" ref="AZ14" ca="1">_xlfn.XLOOKUP(AW14,D$4:D$110,I$4:I$110&amp;P$4:P$110&amp;Q$4:Q$110,0,0,1)</f>
        <v>4760</v>
      </c>
      <c r="BA14" s="14" cm="1">
        <f t="array" ref="BA14">_xlfn.XLOOKUP(1,J$4:J13,D$4:D13,0,0,-1)</f>
        <v>50</v>
      </c>
      <c r="BB14" s="14">
        <f t="shared" si="5"/>
        <v>3</v>
      </c>
      <c r="BC14" s="14" t="str" cm="1">
        <f t="array" ref="BC14">_xlfn.SWITCH(TRUE,_xlfn.XLOOKUP(BA14,D$4:D$110,TEXT(F$4:F$110,"HH"),0,0,1)="00",B12&amp;"",_xlfn.XLOOKUP(BA14,D$4:D$110,TEXT(F$4:F$110,"HH"),0,0,1)="T","00",TRUE,_xlfn.XLOOKUP(BA14,D$4:D$110,TEXT(F$4:F$110,"HH"),0,0,1))</f>
        <v>11</v>
      </c>
      <c r="BD14" s="14" t="str">
        <f t="shared" si="4"/>
        <v>113345</v>
      </c>
    </row>
    <row r="15" spans="1:56">
      <c r="A15" s="2">
        <v>12</v>
      </c>
      <c r="B15" s="5" t="s">
        <v>127</v>
      </c>
      <c r="C15" s="5">
        <v>197325</v>
      </c>
      <c r="D15" s="5">
        <v>47</v>
      </c>
      <c r="E15" s="10" t="s">
        <v>32</v>
      </c>
      <c r="F15" s="10"/>
      <c r="G15" s="5"/>
      <c r="H15" s="5"/>
      <c r="I15" s="5"/>
      <c r="J15" s="5">
        <f t="shared" si="1"/>
        <v>0</v>
      </c>
      <c r="K15" s="7" t="str">
        <f t="shared" si="0"/>
        <v>pass</v>
      </c>
      <c r="L15" s="7" t="str" cm="1">
        <f t="array" ref="L15">_xlfn.SWITCH(TRUE,$K15="PASS",TEXT($B$1,"0000"),AND($K15="STOP",E15=""),TEXT($D$1,"0000"),$K14="TERMINAL","0000",TRUE,TEXT(E15,"MMSS"))</f>
        <v>6200</v>
      </c>
      <c r="M15" s="7" t="str" cm="1">
        <f t="array" ref="M15">_xlfn.SWITCH(TRUE,$K15="PASS",TEXT($B$1,"0000"),AND($K15="STOP",F15=""),TEXT($D$1,"0000"),$K15="TERMINAL","0000",TRUE,TEXT(F15,"MMSS"))</f>
        <v>6200</v>
      </c>
      <c r="N15" t="str" cm="1">
        <f t="array" ref="N15">_xlfn.SWITCH(TRUE,AND(LEFT(L15,2)="00",K15="TERMINAL"),"00",E15="",TEXT(LEFT($D$1,2),"00"),LEFT(L15,2)="00",$D$2&amp;"",TRUE,LEFT(L15,2))</f>
        <v>62</v>
      </c>
      <c r="O15" t="str" cm="1">
        <f t="array" ref="O15">_xlfn.SWITCH(TRUE,AND(N15="00",RIGHT(L15,2)="00",K15="TERMINAL"),"00",OR(E15="",N15=LEFT($B$1,2)),TEXT(RIGHT($D$1,2),"00"),RIGHT(L15,2)="00",$D$2&amp;"",TRUE,RIGHT(L15,2))</f>
        <v>00</v>
      </c>
      <c r="P15" t="str" cm="1">
        <f t="array" ref="P15">_xlfn.SWITCH(TRUE,AND(LEFT(M15,2)="00",K15="TERMINAL"),"00",F15="",TEXT(LEFT($D$1,2),"00"),LEFT(M15,2)="00",$D$2&amp;"",TRUE,LEFT(M15,2))</f>
        <v>00</v>
      </c>
      <c r="Q15" t="str" cm="1">
        <f t="array" ref="Q15">_xlfn.SWITCH(TRUE,AND(RIGHT(M15,2)="00",K15="TERMINAL"),"00",F15="",TEXT(RIGHT($D$1,2),"00"),RIGHT(M15,2)="00",$D$2&amp;"",TRUE,RIGHT(M15,2))</f>
        <v>00</v>
      </c>
      <c r="R15" s="7" cm="1">
        <f t="array" aca="1" ref="R15" ca="1">IF(INDIRECT("$D"&amp;(ROW(R15)+$F$1-1))=0,R14,$D15)</f>
        <v>47</v>
      </c>
      <c r="S15" s="7" cm="1">
        <f t="array" aca="1" ref="S15" ca="1">IF(INDIRECT("$D"&amp;(ROW(R15)+$F$1-1))=0,S14,$D16)</f>
        <v>46</v>
      </c>
      <c r="T15" s="7" cm="1">
        <f t="array" aca="1" ref="T15" ca="1">IF(INDIRECT("$D"&amp;(ROW(R15)+$F$1-1))=0,T14,$D17)</f>
        <v>45</v>
      </c>
      <c r="U15" s="7" cm="1">
        <f t="array" aca="1" ref="U15" ca="1">IF(INDIRECT("$D"&amp;(ROW(R15)+$F$1-1))=0,U14,$D18)</f>
        <v>44</v>
      </c>
      <c r="V15" s="7" cm="1">
        <f t="array" aca="1" ref="V15" ca="1">IF(INDIRECT("$D"&amp;(ROW(R15)+$F$1-1))=0,V14,$D19)</f>
        <v>43</v>
      </c>
      <c r="W15" s="7" cm="1">
        <f t="array" aca="1" ref="W15" ca="1">IF(INDIRECT("$D"&amp;(ROW(R15)+$F$1-1))=0,W14,$D20)</f>
        <v>42</v>
      </c>
      <c r="X15" s="7" t="str" cm="1">
        <f t="array" aca="1" ref="X15" ca="1">IF(INDIRECT("$D"&amp;(ROW(R15)+$F$1-1))=0,X13,$H15&amp;$N15&amp;$O15)</f>
        <v>6200</v>
      </c>
      <c r="Y15" s="7" t="str" cm="1">
        <f t="array" aca="1" ref="Y15" ca="1">IF(INDIRECT("$D"&amp;(ROW(R15)+$F$1-1))=0,Y14,H16&amp;$N16&amp;$O16)</f>
        <v>3960</v>
      </c>
      <c r="Z15" s="7" t="str" cm="1">
        <f t="array" aca="1" ref="Z15" ca="1">IF(INDIRECT("$D"&amp;(ROW(R15)+$F$1-1))=0,Z14,H17&amp;$N17&amp;$O17)</f>
        <v>6200</v>
      </c>
      <c r="AA15" s="7" t="str" cm="1">
        <f t="array" aca="1" ref="AA15" ca="1">IF(INDIRECT("$D"&amp;(ROW(R15)+$F$1-1))=0,AA14,H18&amp;$N18&amp;$O18)</f>
        <v>6200</v>
      </c>
      <c r="AB15" s="7" t="str" cm="1">
        <f t="array" aca="1" ref="AB15" ca="1">IF(INDIRECT("$D"&amp;(ROW(R15)+$F$1-1))=0,AB14,H19&amp;$N19&amp;$O19)</f>
        <v>6200</v>
      </c>
      <c r="AC15" s="7" t="str" cm="1">
        <f t="array" aca="1" ref="AC15" ca="1">IF(INDIRECT("$D"&amp;(ROW(R15)+$F$1-1))=0,AC14,H20&amp;$N20&amp;$O20)</f>
        <v>6200</v>
      </c>
      <c r="AD15" s="7" t="str" cm="1">
        <f t="array" aca="1" ref="AD15" ca="1">IF(INDIRECT("$D"&amp;(ROW(R15)+$F$1-1))=0,AD14,I15&amp;$P15&amp;$Q15)</f>
        <v>0000</v>
      </c>
      <c r="AE15" s="7" t="str" cm="1">
        <f t="array" aca="1" ref="AE15" ca="1">IF(INDIRECT("$D"&amp;(ROW(R15)+$F$1-1))=0,AE14,I16&amp;$P16&amp;$Q16)</f>
        <v>3930</v>
      </c>
      <c r="AF15" s="7" t="str" cm="1">
        <f t="array" aca="1" ref="AF15" ca="1">IF(INDIRECT("$D"&amp;(ROW(R15)+$F$1-1))=0,AF14,I17&amp;$P17&amp;$Q17)</f>
        <v>0000</v>
      </c>
      <c r="AG15" s="7" t="str" cm="1">
        <f t="array" aca="1" ref="AG15" ca="1">IF(INDIRECT("$D"&amp;(ROW(R15)+$F$1-1))=0,AG14,I18&amp;$P18&amp;$Q18)</f>
        <v>0000</v>
      </c>
      <c r="AH15" s="7" t="str" cm="1">
        <f t="array" aca="1" ref="AH15" ca="1">IF(INDIRECT("$D"&amp;(ROW(R15)+$F$1-1))=0,AH14,I19&amp;$P19&amp;$Q19)</f>
        <v>0000</v>
      </c>
      <c r="AI15" s="7" t="str" cm="1">
        <f t="array" aca="1" ref="AI15" ca="1">IF(INDIRECT("$D"&amp;(ROW(R15)+$F$1-1))=0,AI14,I20&amp;$P20&amp;$Q20)</f>
        <v>0000</v>
      </c>
      <c r="AJ15" s="7" t="str" cm="1">
        <f t="array" ref="AJ15">TEXT($D15,"000")&amp;TEXT(IFERROR(INDEX($D$5:$D$103,_xlfn.AGGREGATE(15,6,ROW($E$5:$E$103)/(($E$5:$E$103&lt;&gt;"p")*($E$5:$E$103&lt;&gt;"t")*(ROW($E$5:$E$103)&gt;ROW($E15))),1)-ROW($E$5)+1),$D15),"000")</f>
        <v>047046</v>
      </c>
      <c r="AK15" s="22">
        <f t="shared" si="2"/>
        <v>-1</v>
      </c>
      <c r="AL15" s="22" cm="1">
        <f t="array" aca="1" ref="AL15" ca="1">IF(INDIRECT("$K"&amp;(ROW(R15)+$F$1-1))="TERMINAL",1000489,489)*SIGN(AK15)</f>
        <v>-489</v>
      </c>
      <c r="AM15" s="7" cm="1">
        <f t="array" aca="1" ref="AM15" ca="1">IF(INDIRECT("$D"&amp;(ROW(R15)+$F$1-1))=0,AM14,$G15)</f>
        <v>0</v>
      </c>
      <c r="AN15" s="7" cm="1">
        <f t="array" aca="1" ref="AN15" ca="1">IF(INDIRECT("$D"&amp;(ROW(R15)+$F$1-1))=0,AN14,$G16)</f>
        <v>6</v>
      </c>
      <c r="AO15" s="7" cm="1">
        <f t="array" aca="1" ref="AO15" ca="1">IF(INDIRECT("$D"&amp;(ROW(R15)+$F$1-1))=0,AO14,$G17)</f>
        <v>0</v>
      </c>
      <c r="AP15" s="7" cm="1">
        <f t="array" aca="1" ref="AP15" ca="1">IF(INDIRECT("$D"&amp;(ROW(R15)+$F$1-1))=0,AP14,$G18)</f>
        <v>0</v>
      </c>
      <c r="AQ15" s="7" cm="1">
        <f t="array" aca="1" ref="AQ15" ca="1">IF(INDIRECT("$D"&amp;(ROW(R15)+$F$1-1))=0,AQ14,$G19)</f>
        <v>0</v>
      </c>
      <c r="AR15" s="7" cm="1">
        <f t="array" aca="1" ref="AR15" ca="1">IF(INDIRECT("$D"&amp;(ROW(R15)+$F$1-1))=0,AR14,$G20)</f>
        <v>0</v>
      </c>
      <c r="AS15" s="7" cm="1">
        <f t="array" aca="1" ref="AS15" ca="1">IF(INDIRECT("$D"&amp;(ROW(AS15)+$F$1-1))=0,AS14+4,1)</f>
        <v>1</v>
      </c>
      <c r="AT15" s="7" cm="1">
        <f t="array" aca="1" ref="AT15" ca="1">IF(INDIRECT("$D"&amp;(ROW(AT15)+$F$1-1))=0,AT14+4,2)</f>
        <v>2</v>
      </c>
      <c r="AU15" s="7" cm="1">
        <f t="array" aca="1" ref="AU15" ca="1">IF(INDIRECT("$D"&amp;(ROW(AU15)+$F$1-1))=0,AU14+4,3)</f>
        <v>3</v>
      </c>
      <c r="AV15" s="7" cm="1">
        <f t="array" aca="1" ref="AV15" ca="1">IF(INDIRECT("$D"&amp;(ROW(AV15)+$F$1-1))=0,AV14+4,4)</f>
        <v>4</v>
      </c>
      <c r="AW15" s="22" cm="1">
        <f t="array" aca="1" ref="AW15" ca="1">_xlfn.XLOOKUP(1,INDIRECT("J"&amp;ROW(K15)+$F$1):J$103,INDIRECT("D"&amp;ROW(K15)+$F$1):D$103,0,0,1)</f>
        <v>40</v>
      </c>
      <c r="AX15" s="22">
        <f t="shared" ca="1" si="3"/>
        <v>8</v>
      </c>
      <c r="AY15" s="22" t="str" cm="1">
        <f t="array" aca="1" ref="AY15" ca="1">_xlfn.XLOOKUP(AW15,D$4:D$110,H$4:H$110&amp;N$4:N$110&amp;O$4:O$110,0,0,1)</f>
        <v>4630</v>
      </c>
      <c r="AZ15" s="22" t="str" cm="1">
        <f t="array" aca="1" ref="AZ15" ca="1">_xlfn.XLOOKUP(AW15,D$4:D$110,I$4:I$110&amp;P$4:P$110&amp;Q$4:Q$110,0,0,1)</f>
        <v>4760</v>
      </c>
      <c r="BA15" s="14" cm="1">
        <f t="array" ref="BA15">_xlfn.XLOOKUP(1,J$4:J14,D$4:D14,0,0,-1)</f>
        <v>50</v>
      </c>
      <c r="BB15" s="14">
        <f t="shared" si="5"/>
        <v>3</v>
      </c>
      <c r="BC15" s="14" t="str" cm="1">
        <f t="array" ref="BC15">_xlfn.SWITCH(TRUE,_xlfn.XLOOKUP(BA15,D$4:D$110,TEXT(F$4:F$110,"HH"),0,0,1)="00",B13&amp;"",_xlfn.XLOOKUP(BA15,D$4:D$110,TEXT(F$4:F$110,"HH"),0,0,1)="T","00",TRUE,_xlfn.XLOOKUP(BA15,D$4:D$110,TEXT(F$4:F$110,"HH"),0,0,1))</f>
        <v>11</v>
      </c>
      <c r="BD15" s="14" t="str">
        <f t="shared" si="4"/>
        <v>113345</v>
      </c>
    </row>
    <row r="16" spans="1:56">
      <c r="A16" s="2">
        <v>13</v>
      </c>
      <c r="B16" s="5" t="s">
        <v>128</v>
      </c>
      <c r="C16" s="5">
        <v>198925</v>
      </c>
      <c r="D16" s="5">
        <v>46</v>
      </c>
      <c r="E16" s="10">
        <v>0.48541666666666666</v>
      </c>
      <c r="F16" s="10">
        <v>0.48576388888888888</v>
      </c>
      <c r="G16" s="5">
        <v>6</v>
      </c>
      <c r="H16" s="5"/>
      <c r="I16" s="5"/>
      <c r="J16" s="5">
        <f t="shared" si="1"/>
        <v>1</v>
      </c>
      <c r="K16" s="7" t="str">
        <f t="shared" si="0"/>
        <v>stop</v>
      </c>
      <c r="L16" s="7" t="str" cm="1">
        <f t="array" ref="L16">_xlfn.SWITCH(TRUE,$K16="PASS",TEXT($B$1,"0000"),AND($K16="STOP",E16=""),TEXT($D$1,"0000"),$K15="TERMINAL","0000",TRUE,TEXT(E16,"MMSS"))</f>
        <v>3900</v>
      </c>
      <c r="M16" s="7" t="str" cm="1">
        <f t="array" ref="M16">_xlfn.SWITCH(TRUE,$K16="PASS",TEXT($B$1,"0000"),AND($K16="STOP",F16=""),TEXT($D$1,"0000"),$K16="TERMINAL","0000",TRUE,TEXT(F16,"MMSS"))</f>
        <v>3930</v>
      </c>
      <c r="N16" t="str" cm="1">
        <f t="array" ref="N16">_xlfn.SWITCH(TRUE,AND(LEFT(L16,2)="00",K16="TERMINAL"),"00",E16="",TEXT(LEFT($D$1,2),"00"),LEFT(L16,2)="00",$D$2&amp;"",TRUE,LEFT(L16,2))</f>
        <v>39</v>
      </c>
      <c r="O16" t="str" cm="1">
        <f t="array" ref="O16">_xlfn.SWITCH(TRUE,AND(N16="00",RIGHT(L16,2)="00",K16="TERMINAL"),"00",OR(E16="",N16=LEFT($B$1,2)),TEXT(RIGHT($D$1,2),"00"),RIGHT(L16,2)="00",$D$2&amp;"",TRUE,RIGHT(L16,2))</f>
        <v>60</v>
      </c>
      <c r="P16" t="str" cm="1">
        <f t="array" ref="P16">_xlfn.SWITCH(TRUE,AND(LEFT(M16,2)="00",K16="TERMINAL"),"00",F16="",TEXT(LEFT($D$1,2),"00"),LEFT(M16,2)="00",$D$2&amp;"",TRUE,LEFT(M16,2))</f>
        <v>39</v>
      </c>
      <c r="Q16" t="str" cm="1">
        <f t="array" ref="Q16">_xlfn.SWITCH(TRUE,AND(RIGHT(M16,2)="00",K16="TERMINAL"),"00",F16="",TEXT(RIGHT($D$1,2),"00"),RIGHT(M16,2)="00",$D$2&amp;"",TRUE,RIGHT(M16,2))</f>
        <v>30</v>
      </c>
      <c r="R16" s="7" cm="1">
        <f t="array" aca="1" ref="R16" ca="1">IF(INDIRECT("$D"&amp;(ROW(R16)+$F$1-1))=0,R15,$D16)</f>
        <v>46</v>
      </c>
      <c r="S16" s="7" cm="1">
        <f t="array" aca="1" ref="S16" ca="1">IF(INDIRECT("$D"&amp;(ROW(R16)+$F$1-1))=0,S15,$D17)</f>
        <v>45</v>
      </c>
      <c r="T16" s="7" cm="1">
        <f t="array" aca="1" ref="T16" ca="1">IF(INDIRECT("$D"&amp;(ROW(R16)+$F$1-1))=0,T15,$D18)</f>
        <v>44</v>
      </c>
      <c r="U16" s="7" cm="1">
        <f t="array" aca="1" ref="U16" ca="1">IF(INDIRECT("$D"&amp;(ROW(R16)+$F$1-1))=0,U15,$D19)</f>
        <v>43</v>
      </c>
      <c r="V16" s="7" cm="1">
        <f t="array" aca="1" ref="V16" ca="1">IF(INDIRECT("$D"&amp;(ROW(R16)+$F$1-1))=0,V15,$D20)</f>
        <v>42</v>
      </c>
      <c r="W16" s="7" cm="1">
        <f t="array" aca="1" ref="W16" ca="1">IF(INDIRECT("$D"&amp;(ROW(R16)+$F$1-1))=0,W15,$D21)</f>
        <v>41</v>
      </c>
      <c r="X16" s="7" t="str" cm="1">
        <f t="array" aca="1" ref="X16" ca="1">IF(INDIRECT("$D"&amp;(ROW(R16)+$F$1-1))=0,X14,$H16&amp;$N16&amp;$O16)</f>
        <v>3960</v>
      </c>
      <c r="Y16" s="7" t="str" cm="1">
        <f t="array" aca="1" ref="Y16" ca="1">IF(INDIRECT("$D"&amp;(ROW(R16)+$F$1-1))=0,Y15,H17&amp;$N17&amp;$O17)</f>
        <v>6200</v>
      </c>
      <c r="Z16" s="7" t="str" cm="1">
        <f t="array" aca="1" ref="Z16" ca="1">IF(INDIRECT("$D"&amp;(ROW(R16)+$F$1-1))=0,Z15,H18&amp;$N18&amp;$O18)</f>
        <v>6200</v>
      </c>
      <c r="AA16" s="7" t="str" cm="1">
        <f t="array" aca="1" ref="AA16" ca="1">IF(INDIRECT("$D"&amp;(ROW(R16)+$F$1-1))=0,AA15,H19&amp;$N19&amp;$O19)</f>
        <v>6200</v>
      </c>
      <c r="AB16" s="7" t="str" cm="1">
        <f t="array" aca="1" ref="AB16" ca="1">IF(INDIRECT("$D"&amp;(ROW(R16)+$F$1-1))=0,AB15,H20&amp;$N20&amp;$O20)</f>
        <v>6200</v>
      </c>
      <c r="AC16" s="7" t="str" cm="1">
        <f t="array" aca="1" ref="AC16" ca="1">IF(INDIRECT("$D"&amp;(ROW(R16)+$F$1-1))=0,AC15,H21&amp;$N21&amp;$O21)</f>
        <v>6200</v>
      </c>
      <c r="AD16" s="7" t="str" cm="1">
        <f t="array" aca="1" ref="AD16" ca="1">IF(INDIRECT("$D"&amp;(ROW(R16)+$F$1-1))=0,AD15,I16&amp;$P16&amp;$Q16)</f>
        <v>3930</v>
      </c>
      <c r="AE16" s="7" t="str" cm="1">
        <f t="array" aca="1" ref="AE16" ca="1">IF(INDIRECT("$D"&amp;(ROW(R16)+$F$1-1))=0,AE15,I17&amp;$P17&amp;$Q17)</f>
        <v>0000</v>
      </c>
      <c r="AF16" s="7" t="str" cm="1">
        <f t="array" aca="1" ref="AF16" ca="1">IF(INDIRECT("$D"&amp;(ROW(R16)+$F$1-1))=0,AF15,I18&amp;$P18&amp;$Q18)</f>
        <v>0000</v>
      </c>
      <c r="AG16" s="7" t="str" cm="1">
        <f t="array" aca="1" ref="AG16" ca="1">IF(INDIRECT("$D"&amp;(ROW(R16)+$F$1-1))=0,AG15,I19&amp;$P19&amp;$Q19)</f>
        <v>0000</v>
      </c>
      <c r="AH16" s="7" t="str" cm="1">
        <f t="array" aca="1" ref="AH16" ca="1">IF(INDIRECT("$D"&amp;(ROW(R16)+$F$1-1))=0,AH15,I20&amp;$P20&amp;$Q20)</f>
        <v>0000</v>
      </c>
      <c r="AI16" s="7" t="str" cm="1">
        <f t="array" aca="1" ref="AI16" ca="1">IF(INDIRECT("$D"&amp;(ROW(R16)+$F$1-1))=0,AI15,I21&amp;$P21&amp;$Q21)</f>
        <v>0000</v>
      </c>
      <c r="AJ16" s="7" t="str" cm="1">
        <f t="array" ref="AJ16">TEXT($D16,"000")&amp;TEXT(IFERROR(INDEX($D$5:$D$103,_xlfn.AGGREGATE(15,6,ROW($E$5:$E$103)/(($E$5:$E$103&lt;&gt;"p")*($E$5:$E$103&lt;&gt;"t")*(ROW($E$5:$E$103)&gt;ROW($E16))),1)-ROW($E$5)+1),$D16),"000")</f>
        <v>046040</v>
      </c>
      <c r="AK16" s="22">
        <f t="shared" si="2"/>
        <v>500</v>
      </c>
      <c r="AL16" s="22" cm="1">
        <f t="array" aca="1" ref="AL16" ca="1">IF(INDIRECT("$K"&amp;(ROW(R16)+$F$1-1))="TERMINAL",1000489,489)*SIGN(AK16)</f>
        <v>489</v>
      </c>
      <c r="AM16" s="7" cm="1">
        <f t="array" aca="1" ref="AM16" ca="1">IF(INDIRECT("$D"&amp;(ROW(R16)+$F$1-1))=0,AM15,$G16)</f>
        <v>6</v>
      </c>
      <c r="AN16" s="7" cm="1">
        <f t="array" aca="1" ref="AN16" ca="1">IF(INDIRECT("$D"&amp;(ROW(R16)+$F$1-1))=0,AN15,$G17)</f>
        <v>0</v>
      </c>
      <c r="AO16" s="7" cm="1">
        <f t="array" aca="1" ref="AO16" ca="1">IF(INDIRECT("$D"&amp;(ROW(R16)+$F$1-1))=0,AO15,$G18)</f>
        <v>0</v>
      </c>
      <c r="AP16" s="7" cm="1">
        <f t="array" aca="1" ref="AP16" ca="1">IF(INDIRECT("$D"&amp;(ROW(R16)+$F$1-1))=0,AP15,$G19)</f>
        <v>0</v>
      </c>
      <c r="AQ16" s="7" cm="1">
        <f t="array" aca="1" ref="AQ16" ca="1">IF(INDIRECT("$D"&amp;(ROW(R16)+$F$1-1))=0,AQ15,$G20)</f>
        <v>0</v>
      </c>
      <c r="AR16" s="7" cm="1">
        <f t="array" aca="1" ref="AR16" ca="1">IF(INDIRECT("$D"&amp;(ROW(R16)+$F$1-1))=0,AR15,$G21)</f>
        <v>0</v>
      </c>
      <c r="AS16" s="7" cm="1">
        <f t="array" aca="1" ref="AS16" ca="1">IF(INDIRECT("$D"&amp;(ROW(AS16)+$F$1-1))=0,AS15+4,1)</f>
        <v>1</v>
      </c>
      <c r="AT16" s="7" cm="1">
        <f t="array" aca="1" ref="AT16" ca="1">IF(INDIRECT("$D"&amp;(ROW(AT16)+$F$1-1))=0,AT15+4,2)</f>
        <v>2</v>
      </c>
      <c r="AU16" s="7" cm="1">
        <f t="array" aca="1" ref="AU16" ca="1">IF(INDIRECT("$D"&amp;(ROW(AU16)+$F$1-1))=0,AU15+4,3)</f>
        <v>3</v>
      </c>
      <c r="AV16" s="7" cm="1">
        <f t="array" aca="1" ref="AV16" ca="1">IF(INDIRECT("$D"&amp;(ROW(AV16)+$F$1-1))=0,AV15+4,4)</f>
        <v>4</v>
      </c>
      <c r="AW16" s="22" cm="1">
        <f t="array" aca="1" ref="AW16" ca="1">_xlfn.XLOOKUP(1,INDIRECT("J"&amp;ROW(K16)+$F$1):J$103,INDIRECT("D"&amp;ROW(K16)+$F$1):D$103,0,0,1)</f>
        <v>40</v>
      </c>
      <c r="AX16" s="22">
        <f t="shared" ca="1" si="3"/>
        <v>8</v>
      </c>
      <c r="AY16" s="22" t="str" cm="1">
        <f t="array" aca="1" ref="AY16" ca="1">_xlfn.XLOOKUP(AW16,D$4:D$110,H$4:H$110&amp;N$4:N$110&amp;O$4:O$110,0,0,1)</f>
        <v>4630</v>
      </c>
      <c r="AZ16" s="22" t="str" cm="1">
        <f t="array" aca="1" ref="AZ16" ca="1">_xlfn.XLOOKUP(AW16,D$4:D$110,I$4:I$110&amp;P$4:P$110&amp;Q$4:Q$110,0,0,1)</f>
        <v>4760</v>
      </c>
      <c r="BA16" s="14" cm="1">
        <f t="array" ref="BA16">_xlfn.XLOOKUP(1,J$4:J15,D$4:D15,0,0,-1)</f>
        <v>50</v>
      </c>
      <c r="BB16" s="14">
        <f t="shared" si="5"/>
        <v>3</v>
      </c>
      <c r="BC16" s="14" t="str" cm="1">
        <f t="array" ref="BC16">_xlfn.SWITCH(TRUE,_xlfn.XLOOKUP(BA16,D$4:D$110,TEXT(F$4:F$110,"HH"),0,0,1)="00",B14&amp;"",_xlfn.XLOOKUP(BA16,D$4:D$110,TEXT(F$4:F$110,"HH"),0,0,1)="T","00",TRUE,_xlfn.XLOOKUP(BA16,D$4:D$110,TEXT(F$4:F$110,"HH"),0,0,1))</f>
        <v>11</v>
      </c>
      <c r="BD16" s="14" t="str">
        <f t="shared" si="4"/>
        <v>113345</v>
      </c>
    </row>
    <row r="17" spans="1:56">
      <c r="A17" s="2">
        <v>14</v>
      </c>
      <c r="B17" s="5" t="s">
        <v>129</v>
      </c>
      <c r="C17" s="5">
        <v>200475</v>
      </c>
      <c r="D17" s="5">
        <v>45</v>
      </c>
      <c r="E17" s="10" t="s">
        <v>32</v>
      </c>
      <c r="F17" s="10"/>
      <c r="G17" s="5"/>
      <c r="H17" s="5"/>
      <c r="I17" s="5"/>
      <c r="J17" s="5">
        <f t="shared" si="1"/>
        <v>0</v>
      </c>
      <c r="K17" s="7" t="str">
        <f t="shared" si="0"/>
        <v>pass</v>
      </c>
      <c r="L17" s="7" t="str" cm="1">
        <f t="array" ref="L17">_xlfn.SWITCH(TRUE,$K17="PASS",TEXT($B$1,"0000"),AND($K17="STOP",E17=""),TEXT($D$1,"0000"),$K16="TERMINAL","0000",TRUE,TEXT(E17,"MMSS"))</f>
        <v>6200</v>
      </c>
      <c r="M17" s="7" t="str" cm="1">
        <f t="array" ref="M17">_xlfn.SWITCH(TRUE,$K17="PASS",TEXT($B$1,"0000"),AND($K17="STOP",F17=""),TEXT($D$1,"0000"),$K17="TERMINAL","0000",TRUE,TEXT(F17,"MMSS"))</f>
        <v>6200</v>
      </c>
      <c r="N17" t="str" cm="1">
        <f t="array" ref="N17">_xlfn.SWITCH(TRUE,AND(LEFT(L17,2)="00",K17="TERMINAL"),"00",E17="",TEXT(LEFT($D$1,2),"00"),LEFT(L17,2)="00",$D$2&amp;"",TRUE,LEFT(L17,2))</f>
        <v>62</v>
      </c>
      <c r="O17" t="str" cm="1">
        <f t="array" ref="O17">_xlfn.SWITCH(TRUE,AND(N17="00",RIGHT(L17,2)="00",K17="TERMINAL"),"00",OR(E17="",N17=LEFT($B$1,2)),TEXT(RIGHT($D$1,2),"00"),RIGHT(L17,2)="00",$D$2&amp;"",TRUE,RIGHT(L17,2))</f>
        <v>00</v>
      </c>
      <c r="P17" t="str" cm="1">
        <f t="array" ref="P17">_xlfn.SWITCH(TRUE,AND(LEFT(M17,2)="00",K17="TERMINAL"),"00",F17="",TEXT(LEFT($D$1,2),"00"),LEFT(M17,2)="00",$D$2&amp;"",TRUE,LEFT(M17,2))</f>
        <v>00</v>
      </c>
      <c r="Q17" t="str" cm="1">
        <f t="array" ref="Q17">_xlfn.SWITCH(TRUE,AND(RIGHT(M17,2)="00",K17="TERMINAL"),"00",F17="",TEXT(RIGHT($D$1,2),"00"),RIGHT(M17,2)="00",$D$2&amp;"",TRUE,RIGHT(M17,2))</f>
        <v>00</v>
      </c>
      <c r="R17" s="7" cm="1">
        <f t="array" aca="1" ref="R17" ca="1">IF(INDIRECT("$D"&amp;(ROW(R17)+$F$1-1))=0,R16,$D17)</f>
        <v>45</v>
      </c>
      <c r="S17" s="7" cm="1">
        <f t="array" aca="1" ref="S17" ca="1">IF(INDIRECT("$D"&amp;(ROW(R17)+$F$1-1))=0,S16,$D18)</f>
        <v>44</v>
      </c>
      <c r="T17" s="7" cm="1">
        <f t="array" aca="1" ref="T17" ca="1">IF(INDIRECT("$D"&amp;(ROW(R17)+$F$1-1))=0,T16,$D19)</f>
        <v>43</v>
      </c>
      <c r="U17" s="7" cm="1">
        <f t="array" aca="1" ref="U17" ca="1">IF(INDIRECT("$D"&amp;(ROW(R17)+$F$1-1))=0,U16,$D20)</f>
        <v>42</v>
      </c>
      <c r="V17" s="7" cm="1">
        <f t="array" aca="1" ref="V17" ca="1">IF(INDIRECT("$D"&amp;(ROW(R17)+$F$1-1))=0,V16,$D21)</f>
        <v>41</v>
      </c>
      <c r="W17" s="7" cm="1">
        <f t="array" aca="1" ref="W17" ca="1">IF(INDIRECT("$D"&amp;(ROW(R17)+$F$1-1))=0,W16,$D22)</f>
        <v>40</v>
      </c>
      <c r="X17" s="7" t="str" cm="1">
        <f t="array" aca="1" ref="X17" ca="1">IF(INDIRECT("$D"&amp;(ROW(R17)+$F$1-1))=0,X15,$H17&amp;$N17&amp;$O17)</f>
        <v>6200</v>
      </c>
      <c r="Y17" s="7" t="str" cm="1">
        <f t="array" aca="1" ref="Y17" ca="1">IF(INDIRECT("$D"&amp;(ROW(R17)+$F$1-1))=0,Y16,H18&amp;$N18&amp;$O18)</f>
        <v>6200</v>
      </c>
      <c r="Z17" s="7" t="str" cm="1">
        <f t="array" aca="1" ref="Z17" ca="1">IF(INDIRECT("$D"&amp;(ROW(R17)+$F$1-1))=0,Z16,H19&amp;$N19&amp;$O19)</f>
        <v>6200</v>
      </c>
      <c r="AA17" s="7" t="str" cm="1">
        <f t="array" aca="1" ref="AA17" ca="1">IF(INDIRECT("$D"&amp;(ROW(R17)+$F$1-1))=0,AA16,H20&amp;$N20&amp;$O20)</f>
        <v>6200</v>
      </c>
      <c r="AB17" s="7" t="str" cm="1">
        <f t="array" aca="1" ref="AB17" ca="1">IF(INDIRECT("$D"&amp;(ROW(R17)+$F$1-1))=0,AB16,H21&amp;$N21&amp;$O21)</f>
        <v>6200</v>
      </c>
      <c r="AC17" s="7" t="str" cm="1">
        <f t="array" aca="1" ref="AC17" ca="1">IF(INDIRECT("$D"&amp;(ROW(R17)+$F$1-1))=0,AC16,H22&amp;$N22&amp;$O22)</f>
        <v>4630</v>
      </c>
      <c r="AD17" s="7" t="str" cm="1">
        <f t="array" aca="1" ref="AD17" ca="1">IF(INDIRECT("$D"&amp;(ROW(R17)+$F$1-1))=0,AD16,I17&amp;$P17&amp;$Q17)</f>
        <v>0000</v>
      </c>
      <c r="AE17" s="7" t="str" cm="1">
        <f t="array" aca="1" ref="AE17" ca="1">IF(INDIRECT("$D"&amp;(ROW(R17)+$F$1-1))=0,AE16,I18&amp;$P18&amp;$Q18)</f>
        <v>0000</v>
      </c>
      <c r="AF17" s="7" t="str" cm="1">
        <f t="array" aca="1" ref="AF17" ca="1">IF(INDIRECT("$D"&amp;(ROW(R17)+$F$1-1))=0,AF16,I19&amp;$P19&amp;$Q19)</f>
        <v>0000</v>
      </c>
      <c r="AG17" s="7" t="str" cm="1">
        <f t="array" aca="1" ref="AG17" ca="1">IF(INDIRECT("$D"&amp;(ROW(R17)+$F$1-1))=0,AG16,I20&amp;$P20&amp;$Q20)</f>
        <v>0000</v>
      </c>
      <c r="AH17" s="7" t="str" cm="1">
        <f t="array" aca="1" ref="AH17" ca="1">IF(INDIRECT("$D"&amp;(ROW(R17)+$F$1-1))=0,AH16,I21&amp;$P21&amp;$Q21)</f>
        <v>0000</v>
      </c>
      <c r="AI17" s="7" t="str" cm="1">
        <f t="array" aca="1" ref="AI17" ca="1">IF(INDIRECT("$D"&amp;(ROW(R17)+$F$1-1))=0,AI16,I22&amp;$P22&amp;$Q22)</f>
        <v>4760</v>
      </c>
      <c r="AJ17" s="7" t="str" cm="1">
        <f t="array" ref="AJ17">TEXT($D17,"000")&amp;TEXT(IFERROR(INDEX($D$5:$D$103,_xlfn.AGGREGATE(15,6,ROW($E$5:$E$103)/(($E$5:$E$103&lt;&gt;"p")*($E$5:$E$103&lt;&gt;"t")*(ROW($E$5:$E$103)&gt;ROW($E17))),1)-ROW($E$5)+1),$D17),"000")</f>
        <v>045040</v>
      </c>
      <c r="AK17" s="22">
        <f t="shared" si="2"/>
        <v>-1</v>
      </c>
      <c r="AL17" s="22" cm="1">
        <f t="array" aca="1" ref="AL17" ca="1">IF(INDIRECT("$K"&amp;(ROW(R17)+$F$1-1))="TERMINAL",1000489,489)*SIGN(AK17)</f>
        <v>-489</v>
      </c>
      <c r="AM17" s="7" cm="1">
        <f t="array" aca="1" ref="AM17" ca="1">IF(INDIRECT("$D"&amp;(ROW(R17)+$F$1-1))=0,AM16,$G17)</f>
        <v>0</v>
      </c>
      <c r="AN17" s="7" cm="1">
        <f t="array" aca="1" ref="AN17" ca="1">IF(INDIRECT("$D"&amp;(ROW(R17)+$F$1-1))=0,AN16,$G18)</f>
        <v>0</v>
      </c>
      <c r="AO17" s="7" cm="1">
        <f t="array" aca="1" ref="AO17" ca="1">IF(INDIRECT("$D"&amp;(ROW(R17)+$F$1-1))=0,AO16,$G19)</f>
        <v>0</v>
      </c>
      <c r="AP17" s="7" cm="1">
        <f t="array" aca="1" ref="AP17" ca="1">IF(INDIRECT("$D"&amp;(ROW(R17)+$F$1-1))=0,AP16,$G20)</f>
        <v>0</v>
      </c>
      <c r="AQ17" s="7" cm="1">
        <f t="array" aca="1" ref="AQ17" ca="1">IF(INDIRECT("$D"&amp;(ROW(R17)+$F$1-1))=0,AQ16,$G21)</f>
        <v>0</v>
      </c>
      <c r="AR17" s="7" cm="1">
        <f t="array" aca="1" ref="AR17" ca="1">IF(INDIRECT("$D"&amp;(ROW(R17)+$F$1-1))=0,AR16,$G22)</f>
        <v>8</v>
      </c>
      <c r="AS17" s="7" cm="1">
        <f t="array" aca="1" ref="AS17" ca="1">IF(INDIRECT("$D"&amp;(ROW(AS17)+$F$1-1))=0,AS16+4,1)</f>
        <v>1</v>
      </c>
      <c r="AT17" s="7" cm="1">
        <f t="array" aca="1" ref="AT17" ca="1">IF(INDIRECT("$D"&amp;(ROW(AT17)+$F$1-1))=0,AT16+4,2)</f>
        <v>2</v>
      </c>
      <c r="AU17" s="7" cm="1">
        <f t="array" aca="1" ref="AU17" ca="1">IF(INDIRECT("$D"&amp;(ROW(AU17)+$F$1-1))=0,AU16+4,3)</f>
        <v>3</v>
      </c>
      <c r="AV17" s="7" cm="1">
        <f t="array" aca="1" ref="AV17" ca="1">IF(INDIRECT("$D"&amp;(ROW(AV17)+$F$1-1))=0,AV16+4,4)</f>
        <v>4</v>
      </c>
      <c r="AW17" s="22" cm="1">
        <f t="array" aca="1" ref="AW17" ca="1">_xlfn.XLOOKUP(1,INDIRECT("J"&amp;ROW(K17)+$F$1):J$103,INDIRECT("D"&amp;ROW(K17)+$F$1):D$103,0,0,1)</f>
        <v>40</v>
      </c>
      <c r="AX17" s="22">
        <f t="shared" ca="1" si="3"/>
        <v>8</v>
      </c>
      <c r="AY17" s="22" t="str" cm="1">
        <f t="array" aca="1" ref="AY17" ca="1">_xlfn.XLOOKUP(AW17,D$4:D$110,H$4:H$110&amp;N$4:N$110&amp;O$4:O$110,0,0,1)</f>
        <v>4630</v>
      </c>
      <c r="AZ17" s="22" t="str" cm="1">
        <f t="array" aca="1" ref="AZ17" ca="1">_xlfn.XLOOKUP(AW17,D$4:D$110,I$4:I$110&amp;P$4:P$110&amp;Q$4:Q$110,0,0,1)</f>
        <v>4760</v>
      </c>
      <c r="BA17" s="14" cm="1">
        <f t="array" ref="BA17">_xlfn.XLOOKUP(1,J$4:J16,D$4:D16,0,0,-1)</f>
        <v>46</v>
      </c>
      <c r="BB17" s="14">
        <f t="shared" si="5"/>
        <v>6</v>
      </c>
      <c r="BC17" s="14" t="str" cm="1">
        <f t="array" ref="BC17">_xlfn.SWITCH(TRUE,_xlfn.XLOOKUP(BA17,D$4:D$110,TEXT(F$4:F$110,"HH"),0,0,1)="00",B15&amp;"",_xlfn.XLOOKUP(BA17,D$4:D$110,TEXT(F$4:F$110,"HH"),0,0,1)="T","00",TRUE,_xlfn.XLOOKUP(BA17,D$4:D$110,TEXT(F$4:F$110,"HH"),0,0,1))</f>
        <v>11</v>
      </c>
      <c r="BD17" s="14" t="str">
        <f t="shared" si="4"/>
        <v>113930</v>
      </c>
    </row>
    <row r="18" spans="1:56">
      <c r="A18" s="2">
        <v>15</v>
      </c>
      <c r="B18" s="5" t="s">
        <v>130</v>
      </c>
      <c r="C18" s="5">
        <v>202075</v>
      </c>
      <c r="D18" s="5">
        <v>44</v>
      </c>
      <c r="E18" s="10" t="s">
        <v>32</v>
      </c>
      <c r="F18" s="10"/>
      <c r="G18" s="5"/>
      <c r="H18" s="5"/>
      <c r="I18" s="5"/>
      <c r="J18" s="5">
        <f t="shared" si="1"/>
        <v>0</v>
      </c>
      <c r="K18" s="7" t="str">
        <f t="shared" si="0"/>
        <v>pass</v>
      </c>
      <c r="L18" s="7" t="str" cm="1">
        <f t="array" ref="L18">_xlfn.SWITCH(TRUE,$K18="PASS",TEXT($B$1,"0000"),AND($K18="STOP",E18=""),TEXT($D$1,"0000"),$K17="TERMINAL","0000",TRUE,TEXT(E18,"MMSS"))</f>
        <v>6200</v>
      </c>
      <c r="M18" s="7" t="str" cm="1">
        <f t="array" ref="M18">_xlfn.SWITCH(TRUE,$K18="PASS",TEXT($B$1,"0000"),AND($K18="STOP",F18=""),TEXT($D$1,"0000"),$K18="TERMINAL","0000",TRUE,TEXT(F18,"MMSS"))</f>
        <v>6200</v>
      </c>
      <c r="N18" t="str" cm="1">
        <f t="array" ref="N18">_xlfn.SWITCH(TRUE,AND(LEFT(L18,2)="00",K18="TERMINAL"),"00",E18="",TEXT(LEFT($D$1,2),"00"),LEFT(L18,2)="00",$D$2&amp;"",TRUE,LEFT(L18,2))</f>
        <v>62</v>
      </c>
      <c r="O18" t="str" cm="1">
        <f t="array" ref="O18">_xlfn.SWITCH(TRUE,AND(N18="00",RIGHT(L18,2)="00",K18="TERMINAL"),"00",OR(E18="",N18=LEFT($B$1,2)),TEXT(RIGHT($D$1,2),"00"),RIGHT(L18,2)="00",$D$2&amp;"",TRUE,RIGHT(L18,2))</f>
        <v>00</v>
      </c>
      <c r="P18" t="str" cm="1">
        <f t="array" ref="P18">_xlfn.SWITCH(TRUE,AND(LEFT(M18,2)="00",K18="TERMINAL"),"00",F18="",TEXT(LEFT($D$1,2),"00"),LEFT(M18,2)="00",$D$2&amp;"",TRUE,LEFT(M18,2))</f>
        <v>00</v>
      </c>
      <c r="Q18" t="str" cm="1">
        <f t="array" ref="Q18">_xlfn.SWITCH(TRUE,AND(RIGHT(M18,2)="00",K18="TERMINAL"),"00",F18="",TEXT(RIGHT($D$1,2),"00"),RIGHT(M18,2)="00",$D$2&amp;"",TRUE,RIGHT(M18,2))</f>
        <v>00</v>
      </c>
      <c r="R18" s="7" cm="1">
        <f t="array" aca="1" ref="R18" ca="1">IF(INDIRECT("$D"&amp;(ROW(R18)+$F$1-1))=0,R17,$D18)</f>
        <v>44</v>
      </c>
      <c r="S18" s="7" cm="1">
        <f t="array" aca="1" ref="S18" ca="1">IF(INDIRECT("$D"&amp;(ROW(R18)+$F$1-1))=0,S17,$D19)</f>
        <v>43</v>
      </c>
      <c r="T18" s="7" cm="1">
        <f t="array" aca="1" ref="T18" ca="1">IF(INDIRECT("$D"&amp;(ROW(R18)+$F$1-1))=0,T17,$D20)</f>
        <v>42</v>
      </c>
      <c r="U18" s="7" cm="1">
        <f t="array" aca="1" ref="U18" ca="1">IF(INDIRECT("$D"&amp;(ROW(R18)+$F$1-1))=0,U17,$D21)</f>
        <v>41</v>
      </c>
      <c r="V18" s="7" cm="1">
        <f t="array" aca="1" ref="V18" ca="1">IF(INDIRECT("$D"&amp;(ROW(R18)+$F$1-1))=0,V17,$D22)</f>
        <v>40</v>
      </c>
      <c r="W18" s="7" cm="1">
        <f t="array" aca="1" ref="W18" ca="1">IF(INDIRECT("$D"&amp;(ROW(R18)+$F$1-1))=0,W17,$D23)</f>
        <v>39</v>
      </c>
      <c r="X18" s="7" t="str" cm="1">
        <f t="array" aca="1" ref="X18" ca="1">IF(INDIRECT("$D"&amp;(ROW(R18)+$F$1-1))=0,X16,$H18&amp;$N18&amp;$O18)</f>
        <v>6200</v>
      </c>
      <c r="Y18" s="7" t="str" cm="1">
        <f t="array" aca="1" ref="Y18" ca="1">IF(INDIRECT("$D"&amp;(ROW(R18)+$F$1-1))=0,Y17,H19&amp;$N19&amp;$O19)</f>
        <v>6200</v>
      </c>
      <c r="Z18" s="7" t="str" cm="1">
        <f t="array" aca="1" ref="Z18" ca="1">IF(INDIRECT("$D"&amp;(ROW(R18)+$F$1-1))=0,Z17,H20&amp;$N20&amp;$O20)</f>
        <v>6200</v>
      </c>
      <c r="AA18" s="7" t="str" cm="1">
        <f t="array" aca="1" ref="AA18" ca="1">IF(INDIRECT("$D"&amp;(ROW(R18)+$F$1-1))=0,AA17,H21&amp;$N21&amp;$O21)</f>
        <v>6200</v>
      </c>
      <c r="AB18" s="7" t="str" cm="1">
        <f t="array" aca="1" ref="AB18" ca="1">IF(INDIRECT("$D"&amp;(ROW(R18)+$F$1-1))=0,AB17,H22&amp;$N22&amp;$O22)</f>
        <v>4630</v>
      </c>
      <c r="AC18" s="7" t="str" cm="1">
        <f t="array" aca="1" ref="AC18" ca="1">IF(INDIRECT("$D"&amp;(ROW(R18)+$F$1-1))=0,AC17,H23&amp;$N23&amp;$O23)</f>
        <v>5160</v>
      </c>
      <c r="AD18" s="7" t="str" cm="1">
        <f t="array" aca="1" ref="AD18" ca="1">IF(INDIRECT("$D"&amp;(ROW(R18)+$F$1-1))=0,AD17,I18&amp;$P18&amp;$Q18)</f>
        <v>0000</v>
      </c>
      <c r="AE18" s="7" t="str" cm="1">
        <f t="array" aca="1" ref="AE18" ca="1">IF(INDIRECT("$D"&amp;(ROW(R18)+$F$1-1))=0,AE17,I19&amp;$P19&amp;$Q19)</f>
        <v>0000</v>
      </c>
      <c r="AF18" s="7" t="str" cm="1">
        <f t="array" aca="1" ref="AF18" ca="1">IF(INDIRECT("$D"&amp;(ROW(R18)+$F$1-1))=0,AF17,I20&amp;$P20&amp;$Q20)</f>
        <v>0000</v>
      </c>
      <c r="AG18" s="7" t="str" cm="1">
        <f t="array" aca="1" ref="AG18" ca="1">IF(INDIRECT("$D"&amp;(ROW(R18)+$F$1-1))=0,AG17,I21&amp;$P21&amp;$Q21)</f>
        <v>0000</v>
      </c>
      <c r="AH18" s="7" t="str" cm="1">
        <f t="array" aca="1" ref="AH18" ca="1">IF(INDIRECT("$D"&amp;(ROW(R18)+$F$1-1))=0,AH17,I22&amp;$P22&amp;$Q22)</f>
        <v>4760</v>
      </c>
      <c r="AI18" s="7" t="str" cm="1">
        <f t="array" aca="1" ref="AI18" ca="1">IF(INDIRECT("$D"&amp;(ROW(R18)+$F$1-1))=0,AI17,I23&amp;$P23&amp;$Q23)</f>
        <v>5130</v>
      </c>
      <c r="AJ18" s="7" t="str" cm="1">
        <f t="array" ref="AJ18">TEXT($D18,"000")&amp;TEXT(IFERROR(INDEX($D$5:$D$103,_xlfn.AGGREGATE(15,6,ROW($E$5:$E$103)/(($E$5:$E$103&lt;&gt;"p")*($E$5:$E$103&lt;&gt;"t")*(ROW($E$5:$E$103)&gt;ROW($E18))),1)-ROW($E$5)+1),$D18),"000")</f>
        <v>044040</v>
      </c>
      <c r="AK18" s="22">
        <f t="shared" si="2"/>
        <v>-1</v>
      </c>
      <c r="AL18" s="22" cm="1">
        <f t="array" aca="1" ref="AL18" ca="1">IF(INDIRECT("$K"&amp;(ROW(R18)+$F$1-1))="TERMINAL",1000489,489)*SIGN(AK18)</f>
        <v>-489</v>
      </c>
      <c r="AM18" s="7" cm="1">
        <f t="array" aca="1" ref="AM18" ca="1">IF(INDIRECT("$D"&amp;(ROW(R18)+$F$1-1))=0,AM17,$G18)</f>
        <v>0</v>
      </c>
      <c r="AN18" s="7" cm="1">
        <f t="array" aca="1" ref="AN18" ca="1">IF(INDIRECT("$D"&amp;(ROW(R18)+$F$1-1))=0,AN17,$G19)</f>
        <v>0</v>
      </c>
      <c r="AO18" s="7" cm="1">
        <f t="array" aca="1" ref="AO18" ca="1">IF(INDIRECT("$D"&amp;(ROW(R18)+$F$1-1))=0,AO17,$G20)</f>
        <v>0</v>
      </c>
      <c r="AP18" s="7" cm="1">
        <f t="array" aca="1" ref="AP18" ca="1">IF(INDIRECT("$D"&amp;(ROW(R18)+$F$1-1))=0,AP17,$G21)</f>
        <v>0</v>
      </c>
      <c r="AQ18" s="7" cm="1">
        <f t="array" aca="1" ref="AQ18" ca="1">IF(INDIRECT("$D"&amp;(ROW(R18)+$F$1-1))=0,AQ17,$G22)</f>
        <v>8</v>
      </c>
      <c r="AR18" s="7" cm="1">
        <f t="array" aca="1" ref="AR18" ca="1">IF(INDIRECT("$D"&amp;(ROW(R18)+$F$1-1))=0,AR17,$G23)</f>
        <v>8</v>
      </c>
      <c r="AS18" s="7" cm="1">
        <f t="array" aca="1" ref="AS18" ca="1">IF(INDIRECT("$D"&amp;(ROW(AS18)+$F$1-1))=0,AS17+4,1)</f>
        <v>1</v>
      </c>
      <c r="AT18" s="7" cm="1">
        <f t="array" aca="1" ref="AT18" ca="1">IF(INDIRECT("$D"&amp;(ROW(AT18)+$F$1-1))=0,AT17+4,2)</f>
        <v>2</v>
      </c>
      <c r="AU18" s="7" cm="1">
        <f t="array" aca="1" ref="AU18" ca="1">IF(INDIRECT("$D"&amp;(ROW(AU18)+$F$1-1))=0,AU17+4,3)</f>
        <v>3</v>
      </c>
      <c r="AV18" s="7" cm="1">
        <f t="array" aca="1" ref="AV18" ca="1">IF(INDIRECT("$D"&amp;(ROW(AV18)+$F$1-1))=0,AV17+4,4)</f>
        <v>4</v>
      </c>
      <c r="AW18" s="22" cm="1">
        <f t="array" aca="1" ref="AW18" ca="1">_xlfn.XLOOKUP(1,INDIRECT("J"&amp;ROW(K18)+$F$1):J$103,INDIRECT("D"&amp;ROW(K18)+$F$1):D$103,0,0,1)</f>
        <v>39</v>
      </c>
      <c r="AX18" s="22">
        <f t="shared" ca="1" si="3"/>
        <v>8</v>
      </c>
      <c r="AY18" s="22" t="str" cm="1">
        <f t="array" aca="1" ref="AY18" ca="1">_xlfn.XLOOKUP(AW18,D$4:D$110,H$4:H$110&amp;N$4:N$110&amp;O$4:O$110,0,0,1)</f>
        <v>5160</v>
      </c>
      <c r="AZ18" s="22" t="str" cm="1">
        <f t="array" aca="1" ref="AZ18" ca="1">_xlfn.XLOOKUP(AW18,D$4:D$110,I$4:I$110&amp;P$4:P$110&amp;Q$4:Q$110,0,0,1)</f>
        <v>5130</v>
      </c>
      <c r="BA18" s="14" cm="1">
        <f t="array" ref="BA18">_xlfn.XLOOKUP(1,J$4:J17,D$4:D17,0,0,-1)</f>
        <v>46</v>
      </c>
      <c r="BB18" s="14">
        <f t="shared" si="5"/>
        <v>6</v>
      </c>
      <c r="BC18" s="14" t="str" cm="1">
        <f t="array" ref="BC18">_xlfn.SWITCH(TRUE,_xlfn.XLOOKUP(BA18,D$4:D$110,TEXT(F$4:F$110,"HH"),0,0,1)="00",B16&amp;"",_xlfn.XLOOKUP(BA18,D$4:D$110,TEXT(F$4:F$110,"HH"),0,0,1)="T","00",TRUE,_xlfn.XLOOKUP(BA18,D$4:D$110,TEXT(F$4:F$110,"HH"),0,0,1))</f>
        <v>11</v>
      </c>
      <c r="BD18" s="14" t="str">
        <f t="shared" si="4"/>
        <v>113930</v>
      </c>
    </row>
    <row r="19" spans="1:56">
      <c r="A19" s="2">
        <v>16</v>
      </c>
      <c r="B19" s="5" t="s">
        <v>131</v>
      </c>
      <c r="C19" s="5">
        <v>203845</v>
      </c>
      <c r="D19" s="5">
        <v>43</v>
      </c>
      <c r="E19" s="10" t="s">
        <v>32</v>
      </c>
      <c r="F19" s="10"/>
      <c r="G19" s="5"/>
      <c r="H19" s="5"/>
      <c r="I19" s="5"/>
      <c r="J19" s="5">
        <f t="shared" si="1"/>
        <v>0</v>
      </c>
      <c r="K19" s="7" t="str">
        <f t="shared" si="0"/>
        <v>pass</v>
      </c>
      <c r="L19" s="7" t="str" cm="1">
        <f t="array" ref="L19">_xlfn.SWITCH(TRUE,$K19="PASS",TEXT($B$1,"0000"),AND($K19="STOP",E19=""),TEXT($D$1,"0000"),$K18="TERMINAL","0000",TRUE,TEXT(E19,"MMSS"))</f>
        <v>6200</v>
      </c>
      <c r="M19" s="7" t="str" cm="1">
        <f t="array" ref="M19">_xlfn.SWITCH(TRUE,$K19="PASS",TEXT($B$1,"0000"),AND($K19="STOP",F19=""),TEXT($D$1,"0000"),$K19="TERMINAL","0000",TRUE,TEXT(F19,"MMSS"))</f>
        <v>6200</v>
      </c>
      <c r="N19" t="str" cm="1">
        <f t="array" ref="N19">_xlfn.SWITCH(TRUE,AND(LEFT(L19,2)="00",K19="TERMINAL"),"00",E19="",TEXT(LEFT($D$1,2),"00"),LEFT(L19,2)="00",$D$2&amp;"",TRUE,LEFT(L19,2))</f>
        <v>62</v>
      </c>
      <c r="O19" t="str" cm="1">
        <f t="array" ref="O19">_xlfn.SWITCH(TRUE,AND(N19="00",RIGHT(L19,2)="00",K19="TERMINAL"),"00",OR(E19="",N19=LEFT($B$1,2)),TEXT(RIGHT($D$1,2),"00"),RIGHT(L19,2)="00",$D$2&amp;"",TRUE,RIGHT(L19,2))</f>
        <v>00</v>
      </c>
      <c r="P19" t="str" cm="1">
        <f t="array" ref="P19">_xlfn.SWITCH(TRUE,AND(LEFT(M19,2)="00",K19="TERMINAL"),"00",F19="",TEXT(LEFT($D$1,2),"00"),LEFT(M19,2)="00",$D$2&amp;"",TRUE,LEFT(M19,2))</f>
        <v>00</v>
      </c>
      <c r="Q19" t="str" cm="1">
        <f t="array" ref="Q19">_xlfn.SWITCH(TRUE,AND(RIGHT(M19,2)="00",K19="TERMINAL"),"00",F19="",TEXT(RIGHT($D$1,2),"00"),RIGHT(M19,2)="00",$D$2&amp;"",TRUE,RIGHT(M19,2))</f>
        <v>00</v>
      </c>
      <c r="R19" s="7" cm="1">
        <f t="array" aca="1" ref="R19" ca="1">IF(INDIRECT("$D"&amp;(ROW(R19)+$F$1-1))=0,R18,$D19)</f>
        <v>43</v>
      </c>
      <c r="S19" s="7" cm="1">
        <f t="array" aca="1" ref="S19" ca="1">IF(INDIRECT("$D"&amp;(ROW(R19)+$F$1-1))=0,S18,$D20)</f>
        <v>42</v>
      </c>
      <c r="T19" s="7" cm="1">
        <f t="array" aca="1" ref="T19" ca="1">IF(INDIRECT("$D"&amp;(ROW(R19)+$F$1-1))=0,T18,$D21)</f>
        <v>41</v>
      </c>
      <c r="U19" s="7" cm="1">
        <f t="array" aca="1" ref="U19" ca="1">IF(INDIRECT("$D"&amp;(ROW(R19)+$F$1-1))=0,U18,$D22)</f>
        <v>40</v>
      </c>
      <c r="V19" s="7" cm="1">
        <f t="array" aca="1" ref="V19" ca="1">IF(INDIRECT("$D"&amp;(ROW(R19)+$F$1-1))=0,V18,$D23)</f>
        <v>39</v>
      </c>
      <c r="W19" s="7" cm="1">
        <f t="array" aca="1" ref="W19" ca="1">IF(INDIRECT("$D"&amp;(ROW(R19)+$F$1-1))=0,W18,$D24)</f>
        <v>38</v>
      </c>
      <c r="X19" s="7" t="str" cm="1">
        <f t="array" aca="1" ref="X19" ca="1">IF(INDIRECT("$D"&amp;(ROW(R19)+$F$1-1))=0,X17,$H19&amp;$N19&amp;$O19)</f>
        <v>6200</v>
      </c>
      <c r="Y19" s="7" t="str" cm="1">
        <f t="array" aca="1" ref="Y19" ca="1">IF(INDIRECT("$D"&amp;(ROW(R19)+$F$1-1))=0,Y18,H20&amp;$N20&amp;$O20)</f>
        <v>6200</v>
      </c>
      <c r="Z19" s="7" t="str" cm="1">
        <f t="array" aca="1" ref="Z19" ca="1">IF(INDIRECT("$D"&amp;(ROW(R19)+$F$1-1))=0,Z18,H21&amp;$N21&amp;$O21)</f>
        <v>6200</v>
      </c>
      <c r="AA19" s="7" t="str" cm="1">
        <f t="array" aca="1" ref="AA19" ca="1">IF(INDIRECT("$D"&amp;(ROW(R19)+$F$1-1))=0,AA18,H22&amp;$N22&amp;$O22)</f>
        <v>4630</v>
      </c>
      <c r="AB19" s="7" t="str" cm="1">
        <f t="array" aca="1" ref="AB19" ca="1">IF(INDIRECT("$D"&amp;(ROW(R19)+$F$1-1))=0,AB18,H23&amp;$N23&amp;$O23)</f>
        <v>5160</v>
      </c>
      <c r="AC19" s="7" t="str" cm="1">
        <f t="array" aca="1" ref="AC19" ca="1">IF(INDIRECT("$D"&amp;(ROW(R19)+$F$1-1))=0,AC18,H24&amp;$N24&amp;$O24)</f>
        <v>5530</v>
      </c>
      <c r="AD19" s="7" t="str" cm="1">
        <f t="array" aca="1" ref="AD19" ca="1">IF(INDIRECT("$D"&amp;(ROW(R19)+$F$1-1))=0,AD18,I19&amp;$P19&amp;$Q19)</f>
        <v>0000</v>
      </c>
      <c r="AE19" s="7" t="str" cm="1">
        <f t="array" aca="1" ref="AE19" ca="1">IF(INDIRECT("$D"&amp;(ROW(R19)+$F$1-1))=0,AE18,I20&amp;$P20&amp;$Q20)</f>
        <v>0000</v>
      </c>
      <c r="AF19" s="7" t="str" cm="1">
        <f t="array" aca="1" ref="AF19" ca="1">IF(INDIRECT("$D"&amp;(ROW(R19)+$F$1-1))=0,AF18,I21&amp;$P21&amp;$Q21)</f>
        <v>0000</v>
      </c>
      <c r="AG19" s="7" t="str" cm="1">
        <f t="array" aca="1" ref="AG19" ca="1">IF(INDIRECT("$D"&amp;(ROW(R19)+$F$1-1))=0,AG18,I22&amp;$P22&amp;$Q22)</f>
        <v>4760</v>
      </c>
      <c r="AH19" s="7" t="str" cm="1">
        <f t="array" aca="1" ref="AH19" ca="1">IF(INDIRECT("$D"&amp;(ROW(R19)+$F$1-1))=0,AH18,I23&amp;$P23&amp;$Q23)</f>
        <v>5130</v>
      </c>
      <c r="AI19" s="7" t="str" cm="1">
        <f t="array" aca="1" ref="AI19" ca="1">IF(INDIRECT("$D"&amp;(ROW(R19)+$F$1-1))=0,AI18,I24&amp;$P24&amp;$Q24)</f>
        <v>5660</v>
      </c>
      <c r="AJ19" s="7" t="str" cm="1">
        <f t="array" ref="AJ19">TEXT($D19,"000")&amp;TEXT(IFERROR(INDEX($D$5:$D$103,_xlfn.AGGREGATE(15,6,ROW($E$5:$E$103)/(($E$5:$E$103&lt;&gt;"p")*($E$5:$E$103&lt;&gt;"t")*(ROW($E$5:$E$103)&gt;ROW($E19))),1)-ROW($E$5)+1),$D19),"000")</f>
        <v>043040</v>
      </c>
      <c r="AK19" s="22">
        <f t="shared" si="2"/>
        <v>-1</v>
      </c>
      <c r="AL19" s="22" cm="1">
        <f t="array" aca="1" ref="AL19" ca="1">IF(INDIRECT("$K"&amp;(ROW(R19)+$F$1-1))="TERMINAL",1000489,489)*SIGN(AK19)</f>
        <v>-489</v>
      </c>
      <c r="AM19" s="7" cm="1">
        <f t="array" aca="1" ref="AM19" ca="1">IF(INDIRECT("$D"&amp;(ROW(R19)+$F$1-1))=0,AM18,$G19)</f>
        <v>0</v>
      </c>
      <c r="AN19" s="7" cm="1">
        <f t="array" aca="1" ref="AN19" ca="1">IF(INDIRECT("$D"&amp;(ROW(R19)+$F$1-1))=0,AN18,$G20)</f>
        <v>0</v>
      </c>
      <c r="AO19" s="7" cm="1">
        <f t="array" aca="1" ref="AO19" ca="1">IF(INDIRECT("$D"&amp;(ROW(R19)+$F$1-1))=0,AO18,$G21)</f>
        <v>0</v>
      </c>
      <c r="AP19" s="7" cm="1">
        <f t="array" aca="1" ref="AP19" ca="1">IF(INDIRECT("$D"&amp;(ROW(R19)+$F$1-1))=0,AP18,$G22)</f>
        <v>8</v>
      </c>
      <c r="AQ19" s="7" cm="1">
        <f t="array" aca="1" ref="AQ19" ca="1">IF(INDIRECT("$D"&amp;(ROW(R19)+$F$1-1))=0,AQ18,$G23)</f>
        <v>8</v>
      </c>
      <c r="AR19" s="7" cm="1">
        <f t="array" aca="1" ref="AR19" ca="1">IF(INDIRECT("$D"&amp;(ROW(R19)+$F$1-1))=0,AR18,$G24)</f>
        <v>0</v>
      </c>
      <c r="AS19" s="7" cm="1">
        <f t="array" aca="1" ref="AS19" ca="1">IF(INDIRECT("$D"&amp;(ROW(AS19)+$F$1-1))=0,AS18+4,1)</f>
        <v>1</v>
      </c>
      <c r="AT19" s="7" cm="1">
        <f t="array" aca="1" ref="AT19" ca="1">IF(INDIRECT("$D"&amp;(ROW(AT19)+$F$1-1))=0,AT18+4,2)</f>
        <v>2</v>
      </c>
      <c r="AU19" s="7" cm="1">
        <f t="array" aca="1" ref="AU19" ca="1">IF(INDIRECT("$D"&amp;(ROW(AU19)+$F$1-1))=0,AU18+4,3)</f>
        <v>3</v>
      </c>
      <c r="AV19" s="7" cm="1">
        <f t="array" aca="1" ref="AV19" ca="1">IF(INDIRECT("$D"&amp;(ROW(AV19)+$F$1-1))=0,AV18+4,4)</f>
        <v>4</v>
      </c>
      <c r="AW19" s="22" cm="1">
        <f t="array" aca="1" ref="AW19" ca="1">_xlfn.XLOOKUP(1,INDIRECT("J"&amp;ROW(K19)+$F$1):J$103,INDIRECT("D"&amp;ROW(K19)+$F$1):D$103,0,0,1)</f>
        <v>38</v>
      </c>
      <c r="AX19" s="22">
        <f t="shared" ca="1" si="3"/>
        <v>0</v>
      </c>
      <c r="AY19" s="22" t="str" cm="1">
        <f t="array" aca="1" ref="AY19" ca="1">_xlfn.XLOOKUP(AW19,D$4:D$110,H$4:H$110&amp;N$4:N$110&amp;O$4:O$110,0,0,1)</f>
        <v>5530</v>
      </c>
      <c r="AZ19" s="22" t="str" cm="1">
        <f t="array" aca="1" ref="AZ19" ca="1">_xlfn.XLOOKUP(AW19,D$4:D$110,I$4:I$110&amp;P$4:P$110&amp;Q$4:Q$110,0,0,1)</f>
        <v>5660</v>
      </c>
      <c r="BA19" s="14" cm="1">
        <f t="array" ref="BA19">_xlfn.XLOOKUP(1,J$4:J18,D$4:D18,0,0,-1)</f>
        <v>46</v>
      </c>
      <c r="BB19" s="14">
        <f t="shared" si="5"/>
        <v>6</v>
      </c>
      <c r="BC19" s="14" t="str" cm="1">
        <f t="array" ref="BC19">_xlfn.SWITCH(TRUE,_xlfn.XLOOKUP(BA19,D$4:D$110,TEXT(F$4:F$110,"HH"),0,0,1)="00",B17&amp;"",_xlfn.XLOOKUP(BA19,D$4:D$110,TEXT(F$4:F$110,"HH"),0,0,1)="T","00",TRUE,_xlfn.XLOOKUP(BA19,D$4:D$110,TEXT(F$4:F$110,"HH"),0,0,1))</f>
        <v>11</v>
      </c>
      <c r="BD19" s="14" t="str">
        <f t="shared" si="4"/>
        <v>113930</v>
      </c>
    </row>
    <row r="20" spans="1:56">
      <c r="A20" s="2">
        <v>17</v>
      </c>
      <c r="B20" s="5" t="s">
        <v>132</v>
      </c>
      <c r="C20" s="5">
        <v>205325</v>
      </c>
      <c r="D20" s="5">
        <v>42</v>
      </c>
      <c r="E20" s="10" t="s">
        <v>32</v>
      </c>
      <c r="F20" s="10"/>
      <c r="G20" s="5"/>
      <c r="H20" s="5"/>
      <c r="I20" s="5"/>
      <c r="J20" s="5">
        <f t="shared" si="1"/>
        <v>0</v>
      </c>
      <c r="K20" s="7" t="str">
        <f t="shared" si="0"/>
        <v>pass</v>
      </c>
      <c r="L20" s="7" t="str" cm="1">
        <f t="array" ref="L20">_xlfn.SWITCH(TRUE,$K20="PASS",TEXT($B$1,"0000"),AND($K20="STOP",E20=""),TEXT($D$1,"0000"),$K19="TERMINAL","0000",TRUE,TEXT(E20,"MMSS"))</f>
        <v>6200</v>
      </c>
      <c r="M20" s="7" t="str" cm="1">
        <f t="array" ref="M20">_xlfn.SWITCH(TRUE,$K20="PASS",TEXT($B$1,"0000"),AND($K20="STOP",F20=""),TEXT($D$1,"0000"),$K20="TERMINAL","0000",TRUE,TEXT(F20,"MMSS"))</f>
        <v>6200</v>
      </c>
      <c r="N20" t="str" cm="1">
        <f t="array" ref="N20">_xlfn.SWITCH(TRUE,AND(LEFT(L20,2)="00",K20="TERMINAL"),"00",E20="",TEXT(LEFT($D$1,2),"00"),LEFT(L20,2)="00",$D$2&amp;"",TRUE,LEFT(L20,2))</f>
        <v>62</v>
      </c>
      <c r="O20" t="str" cm="1">
        <f t="array" ref="O20">_xlfn.SWITCH(TRUE,AND(N20="00",RIGHT(L20,2)="00",K20="TERMINAL"),"00",OR(E20="",N20=LEFT($B$1,2)),TEXT(RIGHT($D$1,2),"00"),RIGHT(L20,2)="00",$D$2&amp;"",TRUE,RIGHT(L20,2))</f>
        <v>00</v>
      </c>
      <c r="P20" t="str" cm="1">
        <f t="array" ref="P20">_xlfn.SWITCH(TRUE,AND(LEFT(M20,2)="00",K20="TERMINAL"),"00",F20="",TEXT(LEFT($D$1,2),"00"),LEFT(M20,2)="00",$D$2&amp;"",TRUE,LEFT(M20,2))</f>
        <v>00</v>
      </c>
      <c r="Q20" t="str" cm="1">
        <f t="array" ref="Q20">_xlfn.SWITCH(TRUE,AND(RIGHT(M20,2)="00",K20="TERMINAL"),"00",F20="",TEXT(RIGHT($D$1,2),"00"),RIGHT(M20,2)="00",$D$2&amp;"",TRUE,RIGHT(M20,2))</f>
        <v>00</v>
      </c>
      <c r="R20" s="7" cm="1">
        <f t="array" aca="1" ref="R20" ca="1">IF(INDIRECT("$D"&amp;(ROW(R20)+$F$1-1))=0,R19,$D20)</f>
        <v>42</v>
      </c>
      <c r="S20" s="7" cm="1">
        <f t="array" aca="1" ref="S20" ca="1">IF(INDIRECT("$D"&amp;(ROW(R20)+$F$1-1))=0,S19,$D21)</f>
        <v>41</v>
      </c>
      <c r="T20" s="7" cm="1">
        <f t="array" aca="1" ref="T20" ca="1">IF(INDIRECT("$D"&amp;(ROW(R20)+$F$1-1))=0,T19,$D22)</f>
        <v>40</v>
      </c>
      <c r="U20" s="7" cm="1">
        <f t="array" aca="1" ref="U20" ca="1">IF(INDIRECT("$D"&amp;(ROW(R20)+$F$1-1))=0,U19,$D23)</f>
        <v>39</v>
      </c>
      <c r="V20" s="7" cm="1">
        <f t="array" aca="1" ref="V20" ca="1">IF(INDIRECT("$D"&amp;(ROW(R20)+$F$1-1))=0,V19,$D24)</f>
        <v>38</v>
      </c>
      <c r="W20" s="7" cm="1">
        <f t="array" aca="1" ref="W20" ca="1">IF(INDIRECT("$D"&amp;(ROW(R20)+$F$1-1))=0,W19,$D25)</f>
        <v>37</v>
      </c>
      <c r="X20" s="7" t="str" cm="1">
        <f t="array" aca="1" ref="X20" ca="1">IF(INDIRECT("$D"&amp;(ROW(R20)+$F$1-1))=0,X18,$H20&amp;$N20&amp;$O20)</f>
        <v>6200</v>
      </c>
      <c r="Y20" s="7" t="str" cm="1">
        <f t="array" aca="1" ref="Y20" ca="1">IF(INDIRECT("$D"&amp;(ROW(R20)+$F$1-1))=0,Y19,H21&amp;$N21&amp;$O21)</f>
        <v>6200</v>
      </c>
      <c r="Z20" s="7" t="str" cm="1">
        <f t="array" aca="1" ref="Z20" ca="1">IF(INDIRECT("$D"&amp;(ROW(R20)+$F$1-1))=0,Z19,H22&amp;$N22&amp;$O22)</f>
        <v>4630</v>
      </c>
      <c r="AA20" s="7" t="str" cm="1">
        <f t="array" aca="1" ref="AA20" ca="1">IF(INDIRECT("$D"&amp;(ROW(R20)+$F$1-1))=0,AA19,H23&amp;$N23&amp;$O23)</f>
        <v>5160</v>
      </c>
      <c r="AB20" s="7" t="str" cm="1">
        <f t="array" aca="1" ref="AB20" ca="1">IF(INDIRECT("$D"&amp;(ROW(R20)+$F$1-1))=0,AB19,H24&amp;$N24&amp;$O24)</f>
        <v>5530</v>
      </c>
      <c r="AC20" s="7" t="str" cm="1">
        <f t="array" aca="1" ref="AC20" ca="1">IF(INDIRECT("$D"&amp;(ROW(R20)+$F$1-1))=0,AC19,H25&amp;$N25&amp;$O25)</f>
        <v>6030</v>
      </c>
      <c r="AD20" s="7" t="str" cm="1">
        <f t="array" aca="1" ref="AD20" ca="1">IF(INDIRECT("$D"&amp;(ROW(R20)+$F$1-1))=0,AD19,I20&amp;$P20&amp;$Q20)</f>
        <v>0000</v>
      </c>
      <c r="AE20" s="7" t="str" cm="1">
        <f t="array" aca="1" ref="AE20" ca="1">IF(INDIRECT("$D"&amp;(ROW(R20)+$F$1-1))=0,AE19,I21&amp;$P21&amp;$Q21)</f>
        <v>0000</v>
      </c>
      <c r="AF20" s="7" t="str" cm="1">
        <f t="array" aca="1" ref="AF20" ca="1">IF(INDIRECT("$D"&amp;(ROW(R20)+$F$1-1))=0,AF19,I22&amp;$P22&amp;$Q22)</f>
        <v>4760</v>
      </c>
      <c r="AG20" s="7" t="str" cm="1">
        <f t="array" aca="1" ref="AG20" ca="1">IF(INDIRECT("$D"&amp;(ROW(R20)+$F$1-1))=0,AG19,I23&amp;$P23&amp;$Q23)</f>
        <v>5130</v>
      </c>
      <c r="AH20" s="7" t="str" cm="1">
        <f t="array" aca="1" ref="AH20" ca="1">IF(INDIRECT("$D"&amp;(ROW(R20)+$F$1-1))=0,AH19,I24&amp;$P24&amp;$Q24)</f>
        <v>5660</v>
      </c>
      <c r="AI20" s="7" t="str" cm="1">
        <f t="array" aca="1" ref="AI20" ca="1">IF(INDIRECT("$D"&amp;(ROW(R20)+$F$1-1))=0,AI19,I25&amp;$P25&amp;$Q25)</f>
        <v>0160</v>
      </c>
      <c r="AJ20" s="7" t="str" cm="1">
        <f t="array" ref="AJ20">TEXT($D20,"000")&amp;TEXT(IFERROR(INDEX($D$5:$D$103,_xlfn.AGGREGATE(15,6,ROW($E$5:$E$103)/(($E$5:$E$103&lt;&gt;"p")*($E$5:$E$103&lt;&gt;"t")*(ROW($E$5:$E$103)&gt;ROW($E20))),1)-ROW($E$5)+1),$D20),"000")</f>
        <v>042040</v>
      </c>
      <c r="AK20" s="22">
        <f t="shared" si="2"/>
        <v>-1</v>
      </c>
      <c r="AL20" s="22" cm="1">
        <f t="array" aca="1" ref="AL20" ca="1">IF(INDIRECT("$K"&amp;(ROW(R20)+$F$1-1))="TERMINAL",1000489,489)*SIGN(AK20)</f>
        <v>-489</v>
      </c>
      <c r="AM20" s="7" cm="1">
        <f t="array" aca="1" ref="AM20" ca="1">IF(INDIRECT("$D"&amp;(ROW(R20)+$F$1-1))=0,AM19,$G20)</f>
        <v>0</v>
      </c>
      <c r="AN20" s="7" cm="1">
        <f t="array" aca="1" ref="AN20" ca="1">IF(INDIRECT("$D"&amp;(ROW(R20)+$F$1-1))=0,AN19,$G21)</f>
        <v>0</v>
      </c>
      <c r="AO20" s="7" cm="1">
        <f t="array" aca="1" ref="AO20" ca="1">IF(INDIRECT("$D"&amp;(ROW(R20)+$F$1-1))=0,AO19,$G22)</f>
        <v>8</v>
      </c>
      <c r="AP20" s="7" cm="1">
        <f t="array" aca="1" ref="AP20" ca="1">IF(INDIRECT("$D"&amp;(ROW(R20)+$F$1-1))=0,AP19,$G23)</f>
        <v>8</v>
      </c>
      <c r="AQ20" s="7" cm="1">
        <f t="array" aca="1" ref="AQ20" ca="1">IF(INDIRECT("$D"&amp;(ROW(R20)+$F$1-1))=0,AQ19,$G24)</f>
        <v>0</v>
      </c>
      <c r="AR20" s="7" cm="1">
        <f t="array" aca="1" ref="AR20" ca="1">IF(INDIRECT("$D"&amp;(ROW(R20)+$F$1-1))=0,AR19,$G25)</f>
        <v>0</v>
      </c>
      <c r="AS20" s="7" cm="1">
        <f t="array" aca="1" ref="AS20" ca="1">IF(INDIRECT("$D"&amp;(ROW(AS20)+$F$1-1))=0,AS19+4,1)</f>
        <v>1</v>
      </c>
      <c r="AT20" s="7" cm="1">
        <f t="array" aca="1" ref="AT20" ca="1">IF(INDIRECT("$D"&amp;(ROW(AT20)+$F$1-1))=0,AT19+4,2)</f>
        <v>2</v>
      </c>
      <c r="AU20" s="7" cm="1">
        <f t="array" aca="1" ref="AU20" ca="1">IF(INDIRECT("$D"&amp;(ROW(AU20)+$F$1-1))=0,AU19+4,3)</f>
        <v>3</v>
      </c>
      <c r="AV20" s="7" cm="1">
        <f t="array" aca="1" ref="AV20" ca="1">IF(INDIRECT("$D"&amp;(ROW(AV20)+$F$1-1))=0,AV19+4,4)</f>
        <v>4</v>
      </c>
      <c r="AW20" s="22" cm="1">
        <f t="array" aca="1" ref="AW20" ca="1">_xlfn.XLOOKUP(1,INDIRECT("J"&amp;ROW(K20)+$F$1):J$103,INDIRECT("D"&amp;ROW(K20)+$F$1):D$103,0,0,1)</f>
        <v>37</v>
      </c>
      <c r="AX20" s="22">
        <f t="shared" ca="1" si="3"/>
        <v>0</v>
      </c>
      <c r="AY20" s="22" t="str" cm="1">
        <f t="array" aca="1" ref="AY20" ca="1">_xlfn.XLOOKUP(AW20,D$4:D$110,H$4:H$110&amp;N$4:N$110&amp;O$4:O$110,0,0,1)</f>
        <v>6030</v>
      </c>
      <c r="AZ20" s="22" t="str" cm="1">
        <f t="array" aca="1" ref="AZ20" ca="1">_xlfn.XLOOKUP(AW20,D$4:D$110,I$4:I$110&amp;P$4:P$110&amp;Q$4:Q$110,0,0,1)</f>
        <v>0160</v>
      </c>
      <c r="BA20" s="14" cm="1">
        <f t="array" ref="BA20">_xlfn.XLOOKUP(1,J$4:J19,D$4:D19,0,0,-1)</f>
        <v>46</v>
      </c>
      <c r="BB20" s="14">
        <f t="shared" si="5"/>
        <v>6</v>
      </c>
      <c r="BC20" s="14" t="str" cm="1">
        <f t="array" ref="BC20">_xlfn.SWITCH(TRUE,_xlfn.XLOOKUP(BA20,D$4:D$110,TEXT(F$4:F$110,"HH"),0,0,1)="00",B18&amp;"",_xlfn.XLOOKUP(BA20,D$4:D$110,TEXT(F$4:F$110,"HH"),0,0,1)="T","00",TRUE,_xlfn.XLOOKUP(BA20,D$4:D$110,TEXT(F$4:F$110,"HH"),0,0,1))</f>
        <v>11</v>
      </c>
      <c r="BD20" s="14" t="str">
        <f t="shared" si="4"/>
        <v>113930</v>
      </c>
    </row>
    <row r="21" spans="1:56">
      <c r="A21" s="2">
        <v>18</v>
      </c>
      <c r="B21" s="5" t="s">
        <v>133</v>
      </c>
      <c r="C21" s="5">
        <v>206725</v>
      </c>
      <c r="D21" s="5">
        <v>41</v>
      </c>
      <c r="E21" s="11" t="s">
        <v>32</v>
      </c>
      <c r="F21" s="10"/>
      <c r="G21" s="5"/>
      <c r="H21" s="5"/>
      <c r="I21" s="5"/>
      <c r="J21" s="5">
        <f t="shared" si="1"/>
        <v>0</v>
      </c>
      <c r="K21" s="7" t="str">
        <f t="shared" si="0"/>
        <v>pass</v>
      </c>
      <c r="L21" s="7" t="str" cm="1">
        <f t="array" ref="L21">_xlfn.SWITCH(TRUE,$K21="PASS",TEXT($B$1,"0000"),AND($K21="STOP",E21=""),TEXT($D$1,"0000"),$K20="TERMINAL","0000",TRUE,TEXT(E21,"MMSS"))</f>
        <v>6200</v>
      </c>
      <c r="M21" s="7" t="str" cm="1">
        <f t="array" ref="M21">_xlfn.SWITCH(TRUE,$K21="PASS",TEXT($B$1,"0000"),AND($K21="STOP",F21=""),TEXT($D$1,"0000"),$K21="TERMINAL","0000",TRUE,TEXT(F21,"MMSS"))</f>
        <v>6200</v>
      </c>
      <c r="N21" t="str" cm="1">
        <f t="array" ref="N21">_xlfn.SWITCH(TRUE,AND(LEFT(L21,2)="00",K21="TERMINAL"),"00",E21="",TEXT(LEFT($D$1,2),"00"),LEFT(L21,2)="00",$D$2&amp;"",TRUE,LEFT(L21,2))</f>
        <v>62</v>
      </c>
      <c r="O21" t="str" cm="1">
        <f t="array" ref="O21">_xlfn.SWITCH(TRUE,AND(N21="00",RIGHT(L21,2)="00",K21="TERMINAL"),"00",OR(E21="",N21=LEFT($B$1,2)),TEXT(RIGHT($D$1,2),"00"),RIGHT(L21,2)="00",$D$2&amp;"",TRUE,RIGHT(L21,2))</f>
        <v>00</v>
      </c>
      <c r="P21" t="str" cm="1">
        <f t="array" ref="P21">_xlfn.SWITCH(TRUE,AND(LEFT(M21,2)="00",K21="TERMINAL"),"00",F21="",TEXT(LEFT($D$1,2),"00"),LEFT(M21,2)="00",$D$2&amp;"",TRUE,LEFT(M21,2))</f>
        <v>00</v>
      </c>
      <c r="Q21" t="str" cm="1">
        <f t="array" ref="Q21">_xlfn.SWITCH(TRUE,AND(RIGHT(M21,2)="00",K21="TERMINAL"),"00",F21="",TEXT(RIGHT($D$1,2),"00"),RIGHT(M21,2)="00",$D$2&amp;"",TRUE,RIGHT(M21,2))</f>
        <v>00</v>
      </c>
      <c r="R21" s="7" cm="1">
        <f t="array" aca="1" ref="R21" ca="1">IF(INDIRECT("$D"&amp;(ROW(R21)+$F$1-1))=0,R20,$D21)</f>
        <v>41</v>
      </c>
      <c r="S21" s="7" cm="1">
        <f t="array" aca="1" ref="S21" ca="1">IF(INDIRECT("$D"&amp;(ROW(R21)+$F$1-1))=0,S20,$D22)</f>
        <v>40</v>
      </c>
      <c r="T21" s="7" cm="1">
        <f t="array" aca="1" ref="T21" ca="1">IF(INDIRECT("$D"&amp;(ROW(R21)+$F$1-1))=0,T20,$D23)</f>
        <v>39</v>
      </c>
      <c r="U21" s="7" cm="1">
        <f t="array" aca="1" ref="U21" ca="1">IF(INDIRECT("$D"&amp;(ROW(R21)+$F$1-1))=0,U20,$D24)</f>
        <v>38</v>
      </c>
      <c r="V21" s="7" cm="1">
        <f t="array" aca="1" ref="V21" ca="1">IF(INDIRECT("$D"&amp;(ROW(R21)+$F$1-1))=0,V20,$D25)</f>
        <v>37</v>
      </c>
      <c r="W21" s="7" cm="1">
        <f t="array" aca="1" ref="W21" ca="1">IF(INDIRECT("$D"&amp;(ROW(R21)+$F$1-1))=0,W20,$D26)</f>
        <v>36</v>
      </c>
      <c r="X21" s="7" t="str" cm="1">
        <f t="array" aca="1" ref="X21" ca="1">IF(INDIRECT("$D"&amp;(ROW(R21)+$F$1-1))=0,X19,$H21&amp;$N21&amp;$O21)</f>
        <v>6200</v>
      </c>
      <c r="Y21" s="7" t="str" cm="1">
        <f t="array" aca="1" ref="Y21" ca="1">IF(INDIRECT("$D"&amp;(ROW(R21)+$F$1-1))=0,Y20,H22&amp;$N22&amp;$O22)</f>
        <v>4630</v>
      </c>
      <c r="Z21" s="7" t="str" cm="1">
        <f t="array" aca="1" ref="Z21" ca="1">IF(INDIRECT("$D"&amp;(ROW(R21)+$F$1-1))=0,Z20,H23&amp;$N23&amp;$O23)</f>
        <v>5160</v>
      </c>
      <c r="AA21" s="7" t="str" cm="1">
        <f t="array" aca="1" ref="AA21" ca="1">IF(INDIRECT("$D"&amp;(ROW(R21)+$F$1-1))=0,AA20,H24&amp;$N24&amp;$O24)</f>
        <v>5530</v>
      </c>
      <c r="AB21" s="7" t="str" cm="1">
        <f t="array" aca="1" ref="AB21" ca="1">IF(INDIRECT("$D"&amp;(ROW(R21)+$F$1-1))=0,AB20,H25&amp;$N25&amp;$O25)</f>
        <v>6030</v>
      </c>
      <c r="AC21" s="7" t="str" cm="1">
        <f t="array" aca="1" ref="AC21" ca="1">IF(INDIRECT("$D"&amp;(ROW(R21)+$F$1-1))=0,AC20,H26&amp;$N26&amp;$O26)</f>
        <v>0000</v>
      </c>
      <c r="AD21" s="7" t="str" cm="1">
        <f t="array" aca="1" ref="AD21" ca="1">IF(INDIRECT("$D"&amp;(ROW(R21)+$F$1-1))=0,AD20,I21&amp;$P21&amp;$Q21)</f>
        <v>0000</v>
      </c>
      <c r="AE21" s="7" t="str" cm="1">
        <f t="array" aca="1" ref="AE21" ca="1">IF(INDIRECT("$D"&amp;(ROW(R21)+$F$1-1))=0,AE20,I22&amp;$P22&amp;$Q22)</f>
        <v>4760</v>
      </c>
      <c r="AF21" s="7" t="str" cm="1">
        <f t="array" aca="1" ref="AF21" ca="1">IF(INDIRECT("$D"&amp;(ROW(R21)+$F$1-1))=0,AF20,I23&amp;$P23&amp;$Q23)</f>
        <v>5130</v>
      </c>
      <c r="AG21" s="7" t="str" cm="1">
        <f t="array" aca="1" ref="AG21" ca="1">IF(INDIRECT("$D"&amp;(ROW(R21)+$F$1-1))=0,AG20,I24&amp;$P24&amp;$Q24)</f>
        <v>5660</v>
      </c>
      <c r="AH21" s="7" t="str" cm="1">
        <f t="array" aca="1" ref="AH21" ca="1">IF(INDIRECT("$D"&amp;(ROW(R21)+$F$1-1))=0,AH20,I25&amp;$P25&amp;$Q25)</f>
        <v>0160</v>
      </c>
      <c r="AI21" s="7" t="str" cm="1">
        <f t="array" aca="1" ref="AI21" ca="1">IF(INDIRECT("$D"&amp;(ROW(R21)+$F$1-1))=0,AI20,I26&amp;$P26&amp;$Q26)</f>
        <v>0000</v>
      </c>
      <c r="AJ21" s="7" t="str" cm="1">
        <f t="array" ref="AJ21">TEXT($D21,"000")&amp;TEXT(IFERROR(INDEX($D$5:$D$103,_xlfn.AGGREGATE(15,6,ROW($E$5:$E$103)/(($E$5:$E$103&lt;&gt;"p")*($E$5:$E$103&lt;&gt;"t")*(ROW($E$5:$E$103)&gt;ROW($E21))),1)-ROW($E$5)+1),$D21),"000")</f>
        <v>041040</v>
      </c>
      <c r="AK21" s="22">
        <f t="shared" si="2"/>
        <v>-1</v>
      </c>
      <c r="AL21" s="22" cm="1">
        <f t="array" aca="1" ref="AL21" ca="1">IF(INDIRECT("$K"&amp;(ROW(R21)+$F$1-1))="TERMINAL",1000489,489)*SIGN(AK21)</f>
        <v>-489</v>
      </c>
      <c r="AM21" s="7" cm="1">
        <f t="array" aca="1" ref="AM21" ca="1">IF(INDIRECT("$D"&amp;(ROW(R21)+$F$1-1))=0,AM20,$G21)</f>
        <v>0</v>
      </c>
      <c r="AN21" s="7" cm="1">
        <f t="array" aca="1" ref="AN21" ca="1">IF(INDIRECT("$D"&amp;(ROW(R21)+$F$1-1))=0,AN20,$G22)</f>
        <v>8</v>
      </c>
      <c r="AO21" s="7" cm="1">
        <f t="array" aca="1" ref="AO21" ca="1">IF(INDIRECT("$D"&amp;(ROW(R21)+$F$1-1))=0,AO20,$G23)</f>
        <v>8</v>
      </c>
      <c r="AP21" s="7" cm="1">
        <f t="array" aca="1" ref="AP21" ca="1">IF(INDIRECT("$D"&amp;(ROW(R21)+$F$1-1))=0,AP20,$G24)</f>
        <v>0</v>
      </c>
      <c r="AQ21" s="7" cm="1">
        <f t="array" aca="1" ref="AQ21" ca="1">IF(INDIRECT("$D"&amp;(ROW(R21)+$F$1-1))=0,AQ20,$G25)</f>
        <v>0</v>
      </c>
      <c r="AR21" s="7" cm="1">
        <f t="array" aca="1" ref="AR21" ca="1">IF(INDIRECT("$D"&amp;(ROW(R21)+$F$1-1))=0,AR20,$G26)</f>
        <v>0</v>
      </c>
      <c r="AS21" s="7" cm="1">
        <f t="array" aca="1" ref="AS21" ca="1">IF(INDIRECT("$D"&amp;(ROW(AS21)+$F$1-1))=0,AS20+4,1)</f>
        <v>1</v>
      </c>
      <c r="AT21" s="7" cm="1">
        <f t="array" aca="1" ref="AT21" ca="1">IF(INDIRECT("$D"&amp;(ROW(AT21)+$F$1-1))=0,AT20+4,2)</f>
        <v>2</v>
      </c>
      <c r="AU21" s="7" cm="1">
        <f t="array" aca="1" ref="AU21" ca="1">IF(INDIRECT("$D"&amp;(ROW(AU21)+$F$1-1))=0,AU20+4,3)</f>
        <v>3</v>
      </c>
      <c r="AV21" s="7" cm="1">
        <f t="array" aca="1" ref="AV21" ca="1">IF(INDIRECT("$D"&amp;(ROW(AV21)+$F$1-1))=0,AV20+4,4)</f>
        <v>4</v>
      </c>
      <c r="AW21" s="22" cm="1">
        <f t="array" aca="1" ref="AW21" ca="1">_xlfn.XLOOKUP(1,INDIRECT("J"&amp;ROW(K21)+$F$1):J$103,INDIRECT("D"&amp;ROW(K21)+$F$1):D$103,0,0,1)</f>
        <v>35</v>
      </c>
      <c r="AX21" s="22">
        <f t="shared" ca="1" si="3"/>
        <v>1</v>
      </c>
      <c r="AY21" s="22" t="str" cm="1">
        <f t="array" aca="1" ref="AY21" ca="1">_xlfn.XLOOKUP(AW21,D$4:D$110,H$4:H$110&amp;N$4:N$110&amp;O$4:O$110,0,0,1)</f>
        <v>0560</v>
      </c>
      <c r="AZ21" s="22" t="str" cm="1">
        <f t="array" aca="1" ref="AZ21" ca="1">_xlfn.XLOOKUP(AW21,D$4:D$110,I$4:I$110&amp;P$4:P$110&amp;Q$4:Q$110,0,0,1)</f>
        <v>0000</v>
      </c>
      <c r="BA21" s="14" cm="1">
        <f t="array" ref="BA21">_xlfn.XLOOKUP(1,J$4:J20,D$4:D20,0,0,-1)</f>
        <v>46</v>
      </c>
      <c r="BB21" s="14">
        <f t="shared" si="5"/>
        <v>6</v>
      </c>
      <c r="BC21" s="14" t="str" cm="1">
        <f t="array" ref="BC21">_xlfn.SWITCH(TRUE,_xlfn.XLOOKUP(BA21,D$4:D$110,TEXT(F$4:F$110,"HH"),0,0,1)="00",B19&amp;"",_xlfn.XLOOKUP(BA21,D$4:D$110,TEXT(F$4:F$110,"HH"),0,0,1)="T","00",TRUE,_xlfn.XLOOKUP(BA21,D$4:D$110,TEXT(F$4:F$110,"HH"),0,0,1))</f>
        <v>11</v>
      </c>
      <c r="BD21" s="14" t="str">
        <f t="shared" si="4"/>
        <v>113930</v>
      </c>
    </row>
    <row r="22" spans="1:56">
      <c r="A22" s="2">
        <v>19</v>
      </c>
      <c r="B22" s="5" t="s">
        <v>134</v>
      </c>
      <c r="C22" s="5">
        <v>208225</v>
      </c>
      <c r="D22" s="5">
        <v>40</v>
      </c>
      <c r="E22" s="10">
        <v>0.49062499999999998</v>
      </c>
      <c r="F22" s="10">
        <v>0.4909722222222222</v>
      </c>
      <c r="G22" s="5">
        <v>8</v>
      </c>
      <c r="H22" s="5"/>
      <c r="I22" s="5"/>
      <c r="J22" s="5">
        <f t="shared" si="1"/>
        <v>1</v>
      </c>
      <c r="K22" s="7" t="str">
        <f t="shared" si="0"/>
        <v>stop</v>
      </c>
      <c r="L22" s="7" t="str" cm="1">
        <f t="array" ref="L22">_xlfn.SWITCH(TRUE,$K22="PASS",TEXT($B$1,"0000"),AND($K22="STOP",E22=""),TEXT($D$1,"0000"),$K21="TERMINAL","0000",TRUE,TEXT(E22,"MMSS"))</f>
        <v>4630</v>
      </c>
      <c r="M22" s="7" t="str" cm="1">
        <f t="array" ref="M22">_xlfn.SWITCH(TRUE,$K22="PASS",TEXT($B$1,"0000"),AND($K22="STOP",F22=""),TEXT($D$1,"0000"),$K22="TERMINAL","0000",TRUE,TEXT(F22,"MMSS"))</f>
        <v>4700</v>
      </c>
      <c r="N22" t="str" cm="1">
        <f t="array" ref="N22">_xlfn.SWITCH(TRUE,AND(LEFT(L22,2)="00",K22="TERMINAL"),"00",E22="",TEXT(LEFT($D$1,2),"00"),LEFT(L22,2)="00",$D$2&amp;"",TRUE,LEFT(L22,2))</f>
        <v>46</v>
      </c>
      <c r="O22" t="str" cm="1">
        <f t="array" ref="O22">_xlfn.SWITCH(TRUE,AND(N22="00",RIGHT(L22,2)="00",K22="TERMINAL"),"00",OR(E22="",N22=LEFT($B$1,2)),TEXT(RIGHT($D$1,2),"00"),RIGHT(L22,2)="00",$D$2&amp;"",TRUE,RIGHT(L22,2))</f>
        <v>30</v>
      </c>
      <c r="P22" t="str" cm="1">
        <f t="array" ref="P22">_xlfn.SWITCH(TRUE,AND(LEFT(M22,2)="00",K22="TERMINAL"),"00",F22="",TEXT(LEFT($D$1,2),"00"),LEFT(M22,2)="00",$D$2&amp;"",TRUE,LEFT(M22,2))</f>
        <v>47</v>
      </c>
      <c r="Q22" t="str" cm="1">
        <f t="array" ref="Q22">_xlfn.SWITCH(TRUE,AND(RIGHT(M22,2)="00",K22="TERMINAL"),"00",F22="",TEXT(RIGHT($D$1,2),"00"),RIGHT(M22,2)="00",$D$2&amp;"",TRUE,RIGHT(M22,2))</f>
        <v>60</v>
      </c>
      <c r="R22" s="7" cm="1">
        <f t="array" aca="1" ref="R22" ca="1">IF(INDIRECT("$D"&amp;(ROW(R22)+$F$1-1))=0,R21,$D22)</f>
        <v>40</v>
      </c>
      <c r="S22" s="7" cm="1">
        <f t="array" aca="1" ref="S22" ca="1">IF(INDIRECT("$D"&amp;(ROW(R22)+$F$1-1))=0,S21,$D23)</f>
        <v>39</v>
      </c>
      <c r="T22" s="7" cm="1">
        <f t="array" aca="1" ref="T22" ca="1">IF(INDIRECT("$D"&amp;(ROW(R22)+$F$1-1))=0,T21,$D24)</f>
        <v>38</v>
      </c>
      <c r="U22" s="7" cm="1">
        <f t="array" aca="1" ref="U22" ca="1">IF(INDIRECT("$D"&amp;(ROW(R22)+$F$1-1))=0,U21,$D25)</f>
        <v>37</v>
      </c>
      <c r="V22" s="7" cm="1">
        <f t="array" aca="1" ref="V22" ca="1">IF(INDIRECT("$D"&amp;(ROW(R22)+$F$1-1))=0,V21,$D26)</f>
        <v>36</v>
      </c>
      <c r="W22" s="7" cm="1">
        <f t="array" aca="1" ref="W22" ca="1">IF(INDIRECT("$D"&amp;(ROW(R22)+$F$1-1))=0,W21,$D27)</f>
        <v>35</v>
      </c>
      <c r="X22" s="7" t="str" cm="1">
        <f t="array" aca="1" ref="X22" ca="1">IF(INDIRECT("$D"&amp;(ROW(R22)+$F$1-1))=0,X20,$H22&amp;$N22&amp;$O22)</f>
        <v>4630</v>
      </c>
      <c r="Y22" s="7" t="str" cm="1">
        <f t="array" aca="1" ref="Y22" ca="1">IF(INDIRECT("$D"&amp;(ROW(R22)+$F$1-1))=0,Y21,H23&amp;$N23&amp;$O23)</f>
        <v>5160</v>
      </c>
      <c r="Z22" s="7" t="str" cm="1">
        <f t="array" aca="1" ref="Z22" ca="1">IF(INDIRECT("$D"&amp;(ROW(R22)+$F$1-1))=0,Z21,H24&amp;$N24&amp;$O24)</f>
        <v>5530</v>
      </c>
      <c r="AA22" s="7" t="str" cm="1">
        <f t="array" aca="1" ref="AA22" ca="1">IF(INDIRECT("$D"&amp;(ROW(R22)+$F$1-1))=0,AA21,H25&amp;$N25&amp;$O25)</f>
        <v>6030</v>
      </c>
      <c r="AB22" s="7" t="str" cm="1">
        <f t="array" aca="1" ref="AB22" ca="1">IF(INDIRECT("$D"&amp;(ROW(R22)+$F$1-1))=0,AB21,H26&amp;$N26&amp;$O26)</f>
        <v>0000</v>
      </c>
      <c r="AC22" s="7" t="str" cm="1">
        <f t="array" aca="1" ref="AC22" ca="1">IF(INDIRECT("$D"&amp;(ROW(R22)+$F$1-1))=0,AC21,H27&amp;$N27&amp;$O27)</f>
        <v>0560</v>
      </c>
      <c r="AD22" s="7" t="str" cm="1">
        <f t="array" aca="1" ref="AD22" ca="1">IF(INDIRECT("$D"&amp;(ROW(R22)+$F$1-1))=0,AD21,I22&amp;$P22&amp;$Q22)</f>
        <v>4760</v>
      </c>
      <c r="AE22" s="7" t="str" cm="1">
        <f t="array" aca="1" ref="AE22" ca="1">IF(INDIRECT("$D"&amp;(ROW(R22)+$F$1-1))=0,AE21,I23&amp;$P23&amp;$Q23)</f>
        <v>5130</v>
      </c>
      <c r="AF22" s="7" t="str" cm="1">
        <f t="array" aca="1" ref="AF22" ca="1">IF(INDIRECT("$D"&amp;(ROW(R22)+$F$1-1))=0,AF21,I24&amp;$P24&amp;$Q24)</f>
        <v>5660</v>
      </c>
      <c r="AG22" s="7" t="str" cm="1">
        <f t="array" aca="1" ref="AG22" ca="1">IF(INDIRECT("$D"&amp;(ROW(R22)+$F$1-1))=0,AG21,I25&amp;$P25&amp;$Q25)</f>
        <v>0160</v>
      </c>
      <c r="AH22" s="7" t="str" cm="1">
        <f t="array" aca="1" ref="AH22" ca="1">IF(INDIRECT("$D"&amp;(ROW(R22)+$F$1-1))=0,AH21,I26&amp;$P26&amp;$Q26)</f>
        <v>0000</v>
      </c>
      <c r="AI22" s="7" t="str" cm="1">
        <f t="array" aca="1" ref="AI22" ca="1">IF(INDIRECT("$D"&amp;(ROW(R22)+$F$1-1))=0,AI21,I27&amp;$P27&amp;$Q27)</f>
        <v>0000</v>
      </c>
      <c r="AJ22" s="7" t="str" cm="1">
        <f t="array" ref="AJ22">TEXT($D22,"000")&amp;TEXT(IFERROR(INDEX($D$5:$D$103,_xlfn.AGGREGATE(15,6,ROW($E$5:$E$103)/(($E$5:$E$103&lt;&gt;"p")*($E$5:$E$103&lt;&gt;"t")*(ROW($E$5:$E$103)&gt;ROW($E22))),1)-ROW($E$5)+1),$D22),"000")</f>
        <v>040039</v>
      </c>
      <c r="AK22" s="22">
        <f t="shared" si="2"/>
        <v>500</v>
      </c>
      <c r="AL22" s="22" cm="1">
        <f t="array" aca="1" ref="AL22" ca="1">IF(INDIRECT("$K"&amp;(ROW(R22)+$F$1-1))="TERMINAL",1000489,489)*SIGN(AK22)</f>
        <v>489</v>
      </c>
      <c r="AM22" s="7" cm="1">
        <f t="array" aca="1" ref="AM22" ca="1">IF(INDIRECT("$D"&amp;(ROW(R22)+$F$1-1))=0,AM21,$G22)</f>
        <v>8</v>
      </c>
      <c r="AN22" s="7" cm="1">
        <f t="array" aca="1" ref="AN22" ca="1">IF(INDIRECT("$D"&amp;(ROW(R22)+$F$1-1))=0,AN21,$G23)</f>
        <v>8</v>
      </c>
      <c r="AO22" s="7" cm="1">
        <f t="array" aca="1" ref="AO22" ca="1">IF(INDIRECT("$D"&amp;(ROW(R22)+$F$1-1))=0,AO21,$G24)</f>
        <v>0</v>
      </c>
      <c r="AP22" s="7" cm="1">
        <f t="array" aca="1" ref="AP22" ca="1">IF(INDIRECT("$D"&amp;(ROW(R22)+$F$1-1))=0,AP21,$G25)</f>
        <v>0</v>
      </c>
      <c r="AQ22" s="7" cm="1">
        <f t="array" aca="1" ref="AQ22" ca="1">IF(INDIRECT("$D"&amp;(ROW(R22)+$F$1-1))=0,AQ21,$G26)</f>
        <v>0</v>
      </c>
      <c r="AR22" s="7" cm="1">
        <f t="array" aca="1" ref="AR22" ca="1">IF(INDIRECT("$D"&amp;(ROW(R22)+$F$1-1))=0,AR21,$G27)</f>
        <v>1</v>
      </c>
      <c r="AS22" s="7" cm="1">
        <f t="array" aca="1" ref="AS22" ca="1">IF(INDIRECT("$D"&amp;(ROW(AS22)+$F$1-1))=0,AS21+4,1)</f>
        <v>1</v>
      </c>
      <c r="AT22" s="7" cm="1">
        <f t="array" aca="1" ref="AT22" ca="1">IF(INDIRECT("$D"&amp;(ROW(AT22)+$F$1-1))=0,AT21+4,2)</f>
        <v>2</v>
      </c>
      <c r="AU22" s="7" cm="1">
        <f t="array" aca="1" ref="AU22" ca="1">IF(INDIRECT("$D"&amp;(ROW(AU22)+$F$1-1))=0,AU21+4,3)</f>
        <v>3</v>
      </c>
      <c r="AV22" s="7" cm="1">
        <f t="array" aca="1" ref="AV22" ca="1">IF(INDIRECT("$D"&amp;(ROW(AV22)+$F$1-1))=0,AV21+4,4)</f>
        <v>4</v>
      </c>
      <c r="AW22" s="22" cm="1">
        <f t="array" aca="1" ref="AW22" ca="1">_xlfn.XLOOKUP(1,INDIRECT("J"&amp;ROW(K22)+$F$1):J$103,INDIRECT("D"&amp;ROW(K22)+$F$1):D$103,0,0,1)</f>
        <v>35</v>
      </c>
      <c r="AX22" s="22">
        <f t="shared" ca="1" si="3"/>
        <v>1</v>
      </c>
      <c r="AY22" s="22" t="str" cm="1">
        <f t="array" aca="1" ref="AY22" ca="1">_xlfn.XLOOKUP(AW22,D$4:D$110,H$4:H$110&amp;N$4:N$110&amp;O$4:O$110,0,0,1)</f>
        <v>0560</v>
      </c>
      <c r="AZ22" s="22" t="str" cm="1">
        <f t="array" aca="1" ref="AZ22" ca="1">_xlfn.XLOOKUP(AW22,D$4:D$110,I$4:I$110&amp;P$4:P$110&amp;Q$4:Q$110,0,0,1)</f>
        <v>0000</v>
      </c>
      <c r="BA22" s="14" cm="1">
        <f t="array" ref="BA22">_xlfn.XLOOKUP(1,J$4:J21,D$4:D21,0,0,-1)</f>
        <v>46</v>
      </c>
      <c r="BB22" s="14">
        <f t="shared" si="5"/>
        <v>6</v>
      </c>
      <c r="BC22" s="14" t="str" cm="1">
        <f t="array" ref="BC22">_xlfn.SWITCH(TRUE,_xlfn.XLOOKUP(BA22,D$4:D$110,TEXT(F$4:F$110,"HH"),0,0,1)="00",B20&amp;"",_xlfn.XLOOKUP(BA22,D$4:D$110,TEXT(F$4:F$110,"HH"),0,0,1)="T","00",TRUE,_xlfn.XLOOKUP(BA22,D$4:D$110,TEXT(F$4:F$110,"HH"),0,0,1))</f>
        <v>11</v>
      </c>
      <c r="BD22" s="14" t="str">
        <f t="shared" si="4"/>
        <v>113930</v>
      </c>
    </row>
    <row r="23" spans="1:56">
      <c r="A23" s="2">
        <v>20</v>
      </c>
      <c r="B23" s="5" t="s">
        <v>135</v>
      </c>
      <c r="C23" s="5">
        <v>212675</v>
      </c>
      <c r="D23" s="5">
        <v>39</v>
      </c>
      <c r="E23" s="10">
        <v>0.49375000000000002</v>
      </c>
      <c r="F23" s="10">
        <v>0.49409722222222224</v>
      </c>
      <c r="G23" s="5">
        <v>8</v>
      </c>
      <c r="H23" s="5"/>
      <c r="I23" s="5"/>
      <c r="J23" s="5">
        <f t="shared" si="1"/>
        <v>1</v>
      </c>
      <c r="K23" s="7" t="str">
        <f t="shared" si="0"/>
        <v>stop</v>
      </c>
      <c r="L23" s="7" t="str" cm="1">
        <f t="array" ref="L23">_xlfn.SWITCH(TRUE,$K23="PASS",TEXT($B$1,"0000"),AND($K23="STOP",E23=""),TEXT($D$1,"0000"),$K22="TERMINAL","0000",TRUE,TEXT(E23,"MMSS"))</f>
        <v>5100</v>
      </c>
      <c r="M23" s="7" t="str" cm="1">
        <f t="array" ref="M23">_xlfn.SWITCH(TRUE,$K23="PASS",TEXT($B$1,"0000"),AND($K23="STOP",F23=""),TEXT($D$1,"0000"),$K23="TERMINAL","0000",TRUE,TEXT(F23,"MMSS"))</f>
        <v>5130</v>
      </c>
      <c r="N23" t="str" cm="1">
        <f t="array" ref="N23">_xlfn.SWITCH(TRUE,AND(LEFT(L23,2)="00",K23="TERMINAL"),"00",E23="",TEXT(LEFT($D$1,2),"00"),LEFT(L23,2)="00",$D$2&amp;"",TRUE,LEFT(L23,2))</f>
        <v>51</v>
      </c>
      <c r="O23" t="str" cm="1">
        <f t="array" ref="O23">_xlfn.SWITCH(TRUE,AND(N23="00",RIGHT(L23,2)="00",K23="TERMINAL"),"00",OR(E23="",N23=LEFT($B$1,2)),TEXT(RIGHT($D$1,2),"00"),RIGHT(L23,2)="00",$D$2&amp;"",TRUE,RIGHT(L23,2))</f>
        <v>60</v>
      </c>
      <c r="P23" t="str" cm="1">
        <f t="array" ref="P23">_xlfn.SWITCH(TRUE,AND(LEFT(M23,2)="00",K23="TERMINAL"),"00",F23="",TEXT(LEFT($D$1,2),"00"),LEFT(M23,2)="00",$D$2&amp;"",TRUE,LEFT(M23,2))</f>
        <v>51</v>
      </c>
      <c r="Q23" t="str" cm="1">
        <f t="array" ref="Q23">_xlfn.SWITCH(TRUE,AND(RIGHT(M23,2)="00",K23="TERMINAL"),"00",F23="",TEXT(RIGHT($D$1,2),"00"),RIGHT(M23,2)="00",$D$2&amp;"",TRUE,RIGHT(M23,2))</f>
        <v>30</v>
      </c>
      <c r="R23" s="7" cm="1">
        <f t="array" aca="1" ref="R23" ca="1">IF(INDIRECT("$D"&amp;(ROW(R23)+$F$1-1))=0,R22,$D23)</f>
        <v>39</v>
      </c>
      <c r="S23" s="7" cm="1">
        <f t="array" aca="1" ref="S23" ca="1">IF(INDIRECT("$D"&amp;(ROW(R23)+$F$1-1))=0,S22,$D24)</f>
        <v>38</v>
      </c>
      <c r="T23" s="7" cm="1">
        <f t="array" aca="1" ref="T23" ca="1">IF(INDIRECT("$D"&amp;(ROW(R23)+$F$1-1))=0,T22,$D25)</f>
        <v>37</v>
      </c>
      <c r="U23" s="7" cm="1">
        <f t="array" aca="1" ref="U23" ca="1">IF(INDIRECT("$D"&amp;(ROW(R23)+$F$1-1))=0,U22,$D26)</f>
        <v>36</v>
      </c>
      <c r="V23" s="7" cm="1">
        <f t="array" aca="1" ref="V23" ca="1">IF(INDIRECT("$D"&amp;(ROW(R23)+$F$1-1))=0,V22,$D27)</f>
        <v>35</v>
      </c>
      <c r="W23" s="7" cm="1">
        <f t="array" aca="1" ref="W23" ca="1">IF(INDIRECT("$D"&amp;(ROW(R23)+$F$1-1))=0,W22,$D28)</f>
        <v>0</v>
      </c>
      <c r="X23" s="7" t="str" cm="1">
        <f t="array" aca="1" ref="X23" ca="1">IF(INDIRECT("$D"&amp;(ROW(R23)+$F$1-1))=0,X21,$H23&amp;$N23&amp;$O23)</f>
        <v>5160</v>
      </c>
      <c r="Y23" s="7" t="str" cm="1">
        <f t="array" aca="1" ref="Y23" ca="1">IF(INDIRECT("$D"&amp;(ROW(R23)+$F$1-1))=0,Y22,H24&amp;$N24&amp;$O24)</f>
        <v>5530</v>
      </c>
      <c r="Z23" s="7" t="str" cm="1">
        <f t="array" aca="1" ref="Z23" ca="1">IF(INDIRECT("$D"&amp;(ROW(R23)+$F$1-1))=0,Z22,H25&amp;$N25&amp;$O25)</f>
        <v>6030</v>
      </c>
      <c r="AA23" s="7" t="str" cm="1">
        <f t="array" aca="1" ref="AA23" ca="1">IF(INDIRECT("$D"&amp;(ROW(R23)+$F$1-1))=0,AA22,H26&amp;$N26&amp;$O26)</f>
        <v>0000</v>
      </c>
      <c r="AB23" s="7" t="str" cm="1">
        <f t="array" aca="1" ref="AB23" ca="1">IF(INDIRECT("$D"&amp;(ROW(R23)+$F$1-1))=0,AB22,H27&amp;$N27&amp;$O27)</f>
        <v>0560</v>
      </c>
      <c r="AC23" s="7" t="str" cm="1">
        <f t="array" aca="1" ref="AC23" ca="1">IF(INDIRECT("$D"&amp;(ROW(R23)+$F$1-1))=0,AC22,H28&amp;$N28&amp;$O28)</f>
        <v>0000</v>
      </c>
      <c r="AD23" s="7" t="str" cm="1">
        <f t="array" aca="1" ref="AD23" ca="1">IF(INDIRECT("$D"&amp;(ROW(R23)+$F$1-1))=0,AD22,I23&amp;$P23&amp;$Q23)</f>
        <v>5130</v>
      </c>
      <c r="AE23" s="7" t="str" cm="1">
        <f t="array" aca="1" ref="AE23" ca="1">IF(INDIRECT("$D"&amp;(ROW(R23)+$F$1-1))=0,AE22,I24&amp;$P24&amp;$Q24)</f>
        <v>5660</v>
      </c>
      <c r="AF23" s="7" t="str" cm="1">
        <f t="array" aca="1" ref="AF23" ca="1">IF(INDIRECT("$D"&amp;(ROW(R23)+$F$1-1))=0,AF22,I25&amp;$P25&amp;$Q25)</f>
        <v>0160</v>
      </c>
      <c r="AG23" s="7" t="str" cm="1">
        <f t="array" aca="1" ref="AG23" ca="1">IF(INDIRECT("$D"&amp;(ROW(R23)+$F$1-1))=0,AG22,I26&amp;$P26&amp;$Q26)</f>
        <v>0000</v>
      </c>
      <c r="AH23" s="7" t="str" cm="1">
        <f t="array" aca="1" ref="AH23" ca="1">IF(INDIRECT("$D"&amp;(ROW(R23)+$F$1-1))=0,AH22,I27&amp;$P27&amp;$Q27)</f>
        <v>0000</v>
      </c>
      <c r="AI23" s="7" t="str" cm="1">
        <f t="array" aca="1" ref="AI23" ca="1">IF(INDIRECT("$D"&amp;(ROW(R23)+$F$1-1))=0,AI22,I28&amp;$P28&amp;$Q28)</f>
        <v>0000</v>
      </c>
      <c r="AJ23" s="7" t="str" cm="1">
        <f t="array" ref="AJ23">TEXT($D23,"000")&amp;TEXT(IFERROR(INDEX($D$5:$D$103,_xlfn.AGGREGATE(15,6,ROW($E$5:$E$103)/(($E$5:$E$103&lt;&gt;"p")*($E$5:$E$103&lt;&gt;"t")*(ROW($E$5:$E$103)&gt;ROW($E23))),1)-ROW($E$5)+1),$D23),"000")</f>
        <v>039038</v>
      </c>
      <c r="AK23" s="22">
        <f t="shared" si="2"/>
        <v>500</v>
      </c>
      <c r="AL23" s="22" cm="1">
        <f t="array" aca="1" ref="AL23" ca="1">IF(INDIRECT("$K"&amp;(ROW(R23)+$F$1-1))="TERMINAL",1000489,489)*SIGN(AK23)</f>
        <v>1000489</v>
      </c>
      <c r="AM23" s="7" cm="1">
        <f t="array" aca="1" ref="AM23" ca="1">IF(INDIRECT("$D"&amp;(ROW(R23)+$F$1-1))=0,AM22,$G23)</f>
        <v>8</v>
      </c>
      <c r="AN23" s="7" cm="1">
        <f t="array" aca="1" ref="AN23" ca="1">IF(INDIRECT("$D"&amp;(ROW(R23)+$F$1-1))=0,AN22,$G24)</f>
        <v>0</v>
      </c>
      <c r="AO23" s="7" cm="1">
        <f t="array" aca="1" ref="AO23" ca="1">IF(INDIRECT("$D"&amp;(ROW(R23)+$F$1-1))=0,AO22,$G25)</f>
        <v>0</v>
      </c>
      <c r="AP23" s="7" cm="1">
        <f t="array" aca="1" ref="AP23" ca="1">IF(INDIRECT("$D"&amp;(ROW(R23)+$F$1-1))=0,AP22,$G26)</f>
        <v>0</v>
      </c>
      <c r="AQ23" s="7" cm="1">
        <f t="array" aca="1" ref="AQ23" ca="1">IF(INDIRECT("$D"&amp;(ROW(R23)+$F$1-1))=0,AQ22,$G27)</f>
        <v>1</v>
      </c>
      <c r="AR23" s="7" cm="1">
        <f t="array" aca="1" ref="AR23" ca="1">IF(INDIRECT("$D"&amp;(ROW(R23)+$F$1-1))=0,AR22,$G28)</f>
        <v>0</v>
      </c>
      <c r="AS23" s="7" cm="1">
        <f t="array" aca="1" ref="AS23" ca="1">IF(INDIRECT("$D"&amp;(ROW(AS23)+$F$1-1))=0,AS22+4,1)</f>
        <v>1</v>
      </c>
      <c r="AT23" s="7" cm="1">
        <f t="array" aca="1" ref="AT23" ca="1">IF(INDIRECT("$D"&amp;(ROW(AT23)+$F$1-1))=0,AT22+4,2)</f>
        <v>2</v>
      </c>
      <c r="AU23" s="7" cm="1">
        <f t="array" aca="1" ref="AU23" ca="1">IF(INDIRECT("$D"&amp;(ROW(AU23)+$F$1-1))=0,AU22+4,3)</f>
        <v>3</v>
      </c>
      <c r="AV23" s="7" cm="1">
        <f t="array" aca="1" ref="AV23" ca="1">IF(INDIRECT("$D"&amp;(ROW(AV23)+$F$1-1))=0,AV22+4,4)</f>
        <v>4</v>
      </c>
      <c r="AW23" s="22" cm="1">
        <f t="array" aca="1" ref="AW23" ca="1">_xlfn.XLOOKUP(1,INDIRECT("J"&amp;ROW(K23)+$F$1):J$103,INDIRECT("D"&amp;ROW(K23)+$F$1):D$103,0,0,1)</f>
        <v>0</v>
      </c>
      <c r="AX23" s="22">
        <f t="shared" ca="1" si="3"/>
        <v>0</v>
      </c>
      <c r="AY23" s="22" cm="1">
        <f t="array" aca="1" ref="AY23" ca="1">_xlfn.XLOOKUP(AW23,D$4:D$110,H$4:H$110&amp;N$4:N$110&amp;O$4:O$110,0,0,1)</f>
        <v>0</v>
      </c>
      <c r="AZ23" s="22" cm="1">
        <f t="array" aca="1" ref="AZ23" ca="1">_xlfn.XLOOKUP(AW23,D$4:D$110,I$4:I$110&amp;P$4:P$110&amp;Q$4:Q$110,0,0,1)</f>
        <v>0</v>
      </c>
      <c r="BA23" s="14" cm="1">
        <f t="array" ref="BA23">_xlfn.XLOOKUP(1,J$4:J22,D$4:D22,0,0,-1)</f>
        <v>40</v>
      </c>
      <c r="BB23" s="14">
        <f t="shared" si="5"/>
        <v>8</v>
      </c>
      <c r="BC23" s="14" t="str" cm="1">
        <f t="array" ref="BC23">_xlfn.SWITCH(TRUE,_xlfn.XLOOKUP(BA23,D$4:D$110,TEXT(F$4:F$110,"HH"),0,0,1)="00",B21&amp;"",_xlfn.XLOOKUP(BA23,D$4:D$110,TEXT(F$4:F$110,"HH"),0,0,1)="T","00",TRUE,_xlfn.XLOOKUP(BA23,D$4:D$110,TEXT(F$4:F$110,"HH"),0,0,1))</f>
        <v>11</v>
      </c>
      <c r="BD23" s="14" t="str">
        <f t="shared" si="4"/>
        <v>114760</v>
      </c>
    </row>
    <row r="24" spans="1:56">
      <c r="A24" s="2">
        <v>21</v>
      </c>
      <c r="B24" s="5" t="s">
        <v>136</v>
      </c>
      <c r="C24" s="5">
        <v>216375</v>
      </c>
      <c r="D24" s="5">
        <v>38</v>
      </c>
      <c r="E24" s="10">
        <v>0.49687500000000001</v>
      </c>
      <c r="F24" s="10">
        <v>0.49722222222222223</v>
      </c>
      <c r="G24" s="5"/>
      <c r="H24" s="5"/>
      <c r="I24" s="5"/>
      <c r="J24" s="5">
        <f t="shared" si="1"/>
        <v>1</v>
      </c>
      <c r="K24" s="7" t="str">
        <f t="shared" si="0"/>
        <v>stop</v>
      </c>
      <c r="L24" s="7" t="str" cm="1">
        <f t="array" ref="L24">_xlfn.SWITCH(TRUE,$K24="PASS",TEXT($B$1,"0000"),AND($K24="STOP",E24=""),TEXT($D$1,"0000"),$K23="TERMINAL","0000",TRUE,TEXT(E24,"MMSS"))</f>
        <v>5530</v>
      </c>
      <c r="M24" s="7" t="str" cm="1">
        <f t="array" ref="M24">_xlfn.SWITCH(TRUE,$K24="PASS",TEXT($B$1,"0000"),AND($K24="STOP",F24=""),TEXT($D$1,"0000"),$K24="TERMINAL","0000",TRUE,TEXT(F24,"MMSS"))</f>
        <v>5600</v>
      </c>
      <c r="N24" t="str" cm="1">
        <f t="array" ref="N24">_xlfn.SWITCH(TRUE,AND(LEFT(L24,2)="00",K24="TERMINAL"),"00",E24="",TEXT(LEFT($D$1,2),"00"),LEFT(L24,2)="00",$D$2&amp;"",TRUE,LEFT(L24,2))</f>
        <v>55</v>
      </c>
      <c r="O24" t="str" cm="1">
        <f t="array" ref="O24">_xlfn.SWITCH(TRUE,AND(N24="00",RIGHT(L24,2)="00",K24="TERMINAL"),"00",OR(E24="",N24=LEFT($B$1,2)),TEXT(RIGHT($D$1,2),"00"),RIGHT(L24,2)="00",$D$2&amp;"",TRUE,RIGHT(L24,2))</f>
        <v>30</v>
      </c>
      <c r="P24" t="str" cm="1">
        <f t="array" ref="P24">_xlfn.SWITCH(TRUE,AND(LEFT(M24,2)="00",K24="TERMINAL"),"00",F24="",TEXT(LEFT($D$1,2),"00"),LEFT(M24,2)="00",$D$2&amp;"",TRUE,LEFT(M24,2))</f>
        <v>56</v>
      </c>
      <c r="Q24" t="str" cm="1">
        <f t="array" ref="Q24">_xlfn.SWITCH(TRUE,AND(RIGHT(M24,2)="00",K24="TERMINAL"),"00",F24="",TEXT(RIGHT($D$1,2),"00"),RIGHT(M24,2)="00",$D$2&amp;"",TRUE,RIGHT(M24,2))</f>
        <v>60</v>
      </c>
      <c r="R24" s="7" cm="1">
        <f t="array" aca="1" ref="R24" ca="1">IF(INDIRECT("$D"&amp;(ROW(R24)+$F$1-1))=0,R23,$D24)</f>
        <v>39</v>
      </c>
      <c r="S24" s="7" cm="1">
        <f t="array" aca="1" ref="S24" ca="1">IF(INDIRECT("$D"&amp;(ROW(R24)+$F$1-1))=0,S23,$D25)</f>
        <v>38</v>
      </c>
      <c r="T24" s="7" cm="1">
        <f t="array" aca="1" ref="T24" ca="1">IF(INDIRECT("$D"&amp;(ROW(R24)+$F$1-1))=0,T23,$D26)</f>
        <v>37</v>
      </c>
      <c r="U24" s="7" cm="1">
        <f t="array" aca="1" ref="U24" ca="1">IF(INDIRECT("$D"&amp;(ROW(R24)+$F$1-1))=0,U23,$D27)</f>
        <v>36</v>
      </c>
      <c r="V24" s="7" cm="1">
        <f t="array" aca="1" ref="V24" ca="1">IF(INDIRECT("$D"&amp;(ROW(R24)+$F$1-1))=0,V23,$D28)</f>
        <v>35</v>
      </c>
      <c r="W24" s="7" cm="1">
        <f t="array" aca="1" ref="W24" ca="1">IF(INDIRECT("$D"&amp;(ROW(R24)+$F$1-1))=0,W23,$D29)</f>
        <v>0</v>
      </c>
      <c r="X24" s="7" t="str" cm="1">
        <f t="array" aca="1" ref="X24" ca="1">IF(INDIRECT("$D"&amp;(ROW(R24)+$F$1-1))=0,X22,$H24&amp;$N24&amp;$O24)</f>
        <v>4630</v>
      </c>
      <c r="Y24" s="7" t="str" cm="1">
        <f t="array" aca="1" ref="Y24" ca="1">IF(INDIRECT("$D"&amp;(ROW(R24)+$F$1-1))=0,Y23,H25&amp;$N25&amp;$O25)</f>
        <v>5530</v>
      </c>
      <c r="Z24" s="7" t="str" cm="1">
        <f t="array" aca="1" ref="Z24" ca="1">IF(INDIRECT("$D"&amp;(ROW(R24)+$F$1-1))=0,Z23,H26&amp;$N26&amp;$O26)</f>
        <v>6030</v>
      </c>
      <c r="AA24" s="7" t="str" cm="1">
        <f t="array" aca="1" ref="AA24" ca="1">IF(INDIRECT("$D"&amp;(ROW(R24)+$F$1-1))=0,AA23,H27&amp;$N27&amp;$O27)</f>
        <v>0000</v>
      </c>
      <c r="AB24" s="7" t="str" cm="1">
        <f t="array" aca="1" ref="AB24" ca="1">IF(INDIRECT("$D"&amp;(ROW(R24)+$F$1-1))=0,AB23,H28&amp;$N28&amp;$O28)</f>
        <v>0560</v>
      </c>
      <c r="AC24" s="7" t="str" cm="1">
        <f t="array" aca="1" ref="AC24" ca="1">IF(INDIRECT("$D"&amp;(ROW(R24)+$F$1-1))=0,AC23,H29&amp;$N29&amp;$O29)</f>
        <v>0000</v>
      </c>
      <c r="AD24" s="7" t="str" cm="1">
        <f t="array" aca="1" ref="AD24" ca="1">IF(INDIRECT("$D"&amp;(ROW(R24)+$F$1-1))=0,AD23,I24&amp;$P24&amp;$Q24)</f>
        <v>5130</v>
      </c>
      <c r="AE24" s="7" t="str" cm="1">
        <f t="array" aca="1" ref="AE24" ca="1">IF(INDIRECT("$D"&amp;(ROW(R24)+$F$1-1))=0,AE23,I25&amp;$P25&amp;$Q25)</f>
        <v>5660</v>
      </c>
      <c r="AF24" s="7" t="str" cm="1">
        <f t="array" aca="1" ref="AF24" ca="1">IF(INDIRECT("$D"&amp;(ROW(R24)+$F$1-1))=0,AF23,I26&amp;$P26&amp;$Q26)</f>
        <v>0160</v>
      </c>
      <c r="AG24" s="7" t="str" cm="1">
        <f t="array" aca="1" ref="AG24" ca="1">IF(INDIRECT("$D"&amp;(ROW(R24)+$F$1-1))=0,AG23,I27&amp;$P27&amp;$Q27)</f>
        <v>0000</v>
      </c>
      <c r="AH24" s="7" t="str" cm="1">
        <f t="array" aca="1" ref="AH24" ca="1">IF(INDIRECT("$D"&amp;(ROW(R24)+$F$1-1))=0,AH23,I28&amp;$P28&amp;$Q28)</f>
        <v>0000</v>
      </c>
      <c r="AI24" s="7" t="str" cm="1">
        <f t="array" aca="1" ref="AI24" ca="1">IF(INDIRECT("$D"&amp;(ROW(R24)+$F$1-1))=0,AI23,I29&amp;$P29&amp;$Q29)</f>
        <v>0000</v>
      </c>
      <c r="AJ24" s="7" t="str" cm="1">
        <f t="array" ref="AJ24">TEXT($D24,"000")&amp;TEXT(IFERROR(INDEX($D$5:$D$103,_xlfn.AGGREGATE(15,6,ROW($E$5:$E$103)/(($E$5:$E$103&lt;&gt;"p")*($E$5:$E$103&lt;&gt;"t")*(ROW($E$5:$E$103)&gt;ROW($E24))),1)-ROW($E$5)+1),$D24),"000")</f>
        <v>038037</v>
      </c>
      <c r="AK24" s="22">
        <f t="shared" si="2"/>
        <v>500</v>
      </c>
      <c r="AL24" s="22" cm="1">
        <f t="array" aca="1" ref="AL24" ca="1">IF(INDIRECT("$K"&amp;(ROW(R24)+$F$1-1))="TERMINAL",1000489,489)*SIGN(AK24)</f>
        <v>1000489</v>
      </c>
      <c r="AM24" s="7" cm="1">
        <f t="array" aca="1" ref="AM24" ca="1">IF(INDIRECT("$D"&amp;(ROW(R24)+$F$1-1))=0,AM23,$G24)</f>
        <v>8</v>
      </c>
      <c r="AN24" s="7" cm="1">
        <f t="array" aca="1" ref="AN24" ca="1">IF(INDIRECT("$D"&amp;(ROW(R24)+$F$1-1))=0,AN23,$G25)</f>
        <v>0</v>
      </c>
      <c r="AO24" s="7" cm="1">
        <f t="array" aca="1" ref="AO24" ca="1">IF(INDIRECT("$D"&amp;(ROW(R24)+$F$1-1))=0,AO23,$G26)</f>
        <v>0</v>
      </c>
      <c r="AP24" s="7" cm="1">
        <f t="array" aca="1" ref="AP24" ca="1">IF(INDIRECT("$D"&amp;(ROW(R24)+$F$1-1))=0,AP23,$G27)</f>
        <v>0</v>
      </c>
      <c r="AQ24" s="7" cm="1">
        <f t="array" aca="1" ref="AQ24" ca="1">IF(INDIRECT("$D"&amp;(ROW(R24)+$F$1-1))=0,AQ23,$G28)</f>
        <v>1</v>
      </c>
      <c r="AR24" s="7" cm="1">
        <f t="array" aca="1" ref="AR24" ca="1">IF(INDIRECT("$D"&amp;(ROW(R24)+$F$1-1))=0,AR23,$G29)</f>
        <v>0</v>
      </c>
      <c r="AS24" s="7" cm="1">
        <f t="array" aca="1" ref="AS24" ca="1">IF(INDIRECT("$D"&amp;(ROW(AS24)+$F$1-1))=0,AS23+4,1)</f>
        <v>5</v>
      </c>
      <c r="AT24" s="7" cm="1">
        <f t="array" aca="1" ref="AT24" ca="1">IF(INDIRECT("$D"&amp;(ROW(AT24)+$F$1-1))=0,AT23+4,2)</f>
        <v>6</v>
      </c>
      <c r="AU24" s="7" cm="1">
        <f t="array" aca="1" ref="AU24" ca="1">IF(INDIRECT("$D"&amp;(ROW(AU24)+$F$1-1))=0,AU23+4,3)</f>
        <v>7</v>
      </c>
      <c r="AV24" s="7" cm="1">
        <f t="array" aca="1" ref="AV24" ca="1">IF(INDIRECT("$D"&amp;(ROW(AV24)+$F$1-1))=0,AV23+4,4)</f>
        <v>8</v>
      </c>
      <c r="AW24" s="22" cm="1">
        <f t="array" aca="1" ref="AW24" ca="1">_xlfn.XLOOKUP(1,INDIRECT("J"&amp;ROW(K24)+$F$1):J$103,INDIRECT("D"&amp;ROW(K24)+$F$1):D$103,0,0,1)</f>
        <v>0</v>
      </c>
      <c r="AX24" s="22">
        <f t="shared" ca="1" si="3"/>
        <v>0</v>
      </c>
      <c r="AY24" s="22" cm="1">
        <f t="array" aca="1" ref="AY24" ca="1">_xlfn.XLOOKUP(AW24,D$4:D$110,H$4:H$110&amp;N$4:N$110&amp;O$4:O$110,0,0,1)</f>
        <v>0</v>
      </c>
      <c r="AZ24" s="22" cm="1">
        <f t="array" aca="1" ref="AZ24" ca="1">_xlfn.XLOOKUP(AW24,D$4:D$110,I$4:I$110&amp;P$4:P$110&amp;Q$4:Q$110,0,0,1)</f>
        <v>0</v>
      </c>
      <c r="BA24" s="14" cm="1">
        <f t="array" ref="BA24">_xlfn.XLOOKUP(1,J$4:J23,D$4:D23,0,0,-1)</f>
        <v>39</v>
      </c>
      <c r="BB24" s="14">
        <f t="shared" si="5"/>
        <v>8</v>
      </c>
      <c r="BC24" s="14" t="str" cm="1">
        <f t="array" ref="BC24">_xlfn.SWITCH(TRUE,_xlfn.XLOOKUP(BA24,D$4:D$110,TEXT(F$4:F$110,"HH"),0,0,1)="00",B22&amp;"",_xlfn.XLOOKUP(BA24,D$4:D$110,TEXT(F$4:F$110,"HH"),0,0,1)="T","00",TRUE,_xlfn.XLOOKUP(BA24,D$4:D$110,TEXT(F$4:F$110,"HH"),0,0,1))</f>
        <v>11</v>
      </c>
      <c r="BD24" s="14" t="str">
        <f t="shared" si="4"/>
        <v>115130</v>
      </c>
    </row>
    <row r="25" spans="1:56">
      <c r="A25" s="2">
        <v>22</v>
      </c>
      <c r="B25" s="5" t="s">
        <v>137</v>
      </c>
      <c r="C25" s="5">
        <v>220540</v>
      </c>
      <c r="D25" s="5">
        <v>37</v>
      </c>
      <c r="E25" s="10">
        <v>0.50034722222222228</v>
      </c>
      <c r="F25" s="10">
        <v>0.50069444444444444</v>
      </c>
      <c r="G25" s="5"/>
      <c r="H25" s="5"/>
      <c r="I25" s="5"/>
      <c r="J25" s="5">
        <f t="shared" si="1"/>
        <v>1</v>
      </c>
      <c r="K25" s="7" t="str">
        <f t="shared" si="0"/>
        <v>stop</v>
      </c>
      <c r="L25" s="7" t="str" cm="1">
        <f t="array" ref="L25">_xlfn.SWITCH(TRUE,$K25="PASS",TEXT($B$1,"0000"),AND($K25="STOP",E25=""),TEXT($D$1,"0000"),$K24="TERMINAL","0000",TRUE,TEXT(E25,"MMSS"))</f>
        <v>0030</v>
      </c>
      <c r="M25" s="7" t="str" cm="1">
        <f t="array" ref="M25">_xlfn.SWITCH(TRUE,$K25="PASS",TEXT($B$1,"0000"),AND($K25="STOP",F25=""),TEXT($D$1,"0000"),$K25="TERMINAL","0000",TRUE,TEXT(F25,"MMSS"))</f>
        <v>0100</v>
      </c>
      <c r="N25" t="str" cm="1">
        <f t="array" ref="N25">_xlfn.SWITCH(TRUE,AND(LEFT(L25,2)="00",K25="TERMINAL"),"00",E25="",TEXT(LEFT($D$1,2),"00"),LEFT(L25,2)="00",$D$2&amp;"",TRUE,LEFT(L25,2))</f>
        <v>60</v>
      </c>
      <c r="O25" t="str" cm="1">
        <f t="array" ref="O25">_xlfn.SWITCH(TRUE,AND(N25="00",RIGHT(L25,2)="00",K25="TERMINAL"),"00",OR(E25="",N25=LEFT($B$1,2)),TEXT(RIGHT($D$1,2),"00"),RIGHT(L25,2)="00",$D$2&amp;"",TRUE,RIGHT(L25,2))</f>
        <v>30</v>
      </c>
      <c r="P25" t="str" cm="1">
        <f t="array" ref="P25">_xlfn.SWITCH(TRUE,AND(LEFT(M25,2)="00",K25="TERMINAL"),"00",F25="",TEXT(LEFT($D$1,2),"00"),LEFT(M25,2)="00",$D$2&amp;"",TRUE,LEFT(M25,2))</f>
        <v>01</v>
      </c>
      <c r="Q25" t="str" cm="1">
        <f t="array" ref="Q25">_xlfn.SWITCH(TRUE,AND(RIGHT(M25,2)="00",K25="TERMINAL"),"00",F25="",TEXT(RIGHT($D$1,2),"00"),RIGHT(M25,2)="00",$D$2&amp;"",TRUE,RIGHT(M25,2))</f>
        <v>60</v>
      </c>
      <c r="R25" s="7" cm="1">
        <f t="array" aca="1" ref="R25" ca="1">IF(INDIRECT("$D"&amp;(ROW(R25)+$F$1-1))=0,R24,$D25)</f>
        <v>39</v>
      </c>
      <c r="S25" s="7" cm="1">
        <f t="array" aca="1" ref="S25" ca="1">IF(INDIRECT("$D"&amp;(ROW(R25)+$F$1-1))=0,S24,$D26)</f>
        <v>38</v>
      </c>
      <c r="T25" s="7" cm="1">
        <f t="array" aca="1" ref="T25" ca="1">IF(INDIRECT("$D"&amp;(ROW(R25)+$F$1-1))=0,T24,$D27)</f>
        <v>37</v>
      </c>
      <c r="U25" s="7" cm="1">
        <f t="array" aca="1" ref="U25" ca="1">IF(INDIRECT("$D"&amp;(ROW(R25)+$F$1-1))=0,U24,$D28)</f>
        <v>36</v>
      </c>
      <c r="V25" s="7" cm="1">
        <f t="array" aca="1" ref="V25" ca="1">IF(INDIRECT("$D"&amp;(ROW(R25)+$F$1-1))=0,V24,$D29)</f>
        <v>35</v>
      </c>
      <c r="W25" s="7" cm="1">
        <f t="array" aca="1" ref="W25" ca="1">IF(INDIRECT("$D"&amp;(ROW(R25)+$F$1-1))=0,W24,$D30)</f>
        <v>0</v>
      </c>
      <c r="X25" s="7" t="str" cm="1">
        <f t="array" aca="1" ref="X25" ca="1">IF(INDIRECT("$D"&amp;(ROW(R25)+$F$1-1))=0,X23,$H25&amp;$N25&amp;$O25)</f>
        <v>5160</v>
      </c>
      <c r="Y25" s="7" t="str" cm="1">
        <f t="array" aca="1" ref="Y25" ca="1">IF(INDIRECT("$D"&amp;(ROW(R25)+$F$1-1))=0,Y24,H26&amp;$N26&amp;$O26)</f>
        <v>5530</v>
      </c>
      <c r="Z25" s="7" t="str" cm="1">
        <f t="array" aca="1" ref="Z25" ca="1">IF(INDIRECT("$D"&amp;(ROW(R25)+$F$1-1))=0,Z24,H27&amp;$N27&amp;$O27)</f>
        <v>6030</v>
      </c>
      <c r="AA25" s="7" t="str" cm="1">
        <f t="array" aca="1" ref="AA25" ca="1">IF(INDIRECT("$D"&amp;(ROW(R25)+$F$1-1))=0,AA24,H28&amp;$N28&amp;$O28)</f>
        <v>0000</v>
      </c>
      <c r="AB25" s="7" t="str" cm="1">
        <f t="array" aca="1" ref="AB25" ca="1">IF(INDIRECT("$D"&amp;(ROW(R25)+$F$1-1))=0,AB24,H29&amp;$N29&amp;$O29)</f>
        <v>0560</v>
      </c>
      <c r="AC25" s="7" t="str" cm="1">
        <f t="array" aca="1" ref="AC25" ca="1">IF(INDIRECT("$D"&amp;(ROW(R25)+$F$1-1))=0,AC24,H30&amp;$N30&amp;$O30)</f>
        <v>0000</v>
      </c>
      <c r="AD25" s="7" t="str" cm="1">
        <f t="array" aca="1" ref="AD25" ca="1">IF(INDIRECT("$D"&amp;(ROW(R25)+$F$1-1))=0,AD24,I25&amp;$P25&amp;$Q25)</f>
        <v>5130</v>
      </c>
      <c r="AE25" s="7" t="str" cm="1">
        <f t="array" aca="1" ref="AE25" ca="1">IF(INDIRECT("$D"&amp;(ROW(R25)+$F$1-1))=0,AE24,I26&amp;$P26&amp;$Q26)</f>
        <v>5660</v>
      </c>
      <c r="AF25" s="7" t="str" cm="1">
        <f t="array" aca="1" ref="AF25" ca="1">IF(INDIRECT("$D"&amp;(ROW(R25)+$F$1-1))=0,AF24,I27&amp;$P27&amp;$Q27)</f>
        <v>0160</v>
      </c>
      <c r="AG25" s="7" t="str" cm="1">
        <f t="array" aca="1" ref="AG25" ca="1">IF(INDIRECT("$D"&amp;(ROW(R25)+$F$1-1))=0,AG24,I28&amp;$P28&amp;$Q28)</f>
        <v>0000</v>
      </c>
      <c r="AH25" s="7" t="str" cm="1">
        <f t="array" aca="1" ref="AH25" ca="1">IF(INDIRECT("$D"&amp;(ROW(R25)+$F$1-1))=0,AH24,I29&amp;$P29&amp;$Q29)</f>
        <v>0000</v>
      </c>
      <c r="AI25" s="7" t="str" cm="1">
        <f t="array" aca="1" ref="AI25" ca="1">IF(INDIRECT("$D"&amp;(ROW(R25)+$F$1-1))=0,AI24,I30&amp;$P30&amp;$Q30)</f>
        <v>0000</v>
      </c>
      <c r="AJ25" s="7" t="str" cm="1">
        <f t="array" ref="AJ25">TEXT($D25,"000")&amp;TEXT(IFERROR(INDEX($D$5:$D$103,_xlfn.AGGREGATE(15,6,ROW($E$5:$E$103)/(($E$5:$E$103&lt;&gt;"p")*($E$5:$E$103&lt;&gt;"t")*(ROW($E$5:$E$103)&gt;ROW($E25))),1)-ROW($E$5)+1),$D25),"000")</f>
        <v>037036</v>
      </c>
      <c r="AK25" s="22">
        <f t="shared" si="2"/>
        <v>500</v>
      </c>
      <c r="AL25" s="22" cm="1">
        <f t="array" aca="1" ref="AL25" ca="1">IF(INDIRECT("$K"&amp;(ROW(R25)+$F$1-1))="TERMINAL",1000489,489)*SIGN(AK25)</f>
        <v>1000489</v>
      </c>
      <c r="AM25" s="7" cm="1">
        <f t="array" aca="1" ref="AM25" ca="1">IF(INDIRECT("$D"&amp;(ROW(R25)+$F$1-1))=0,AM24,$G25)</f>
        <v>8</v>
      </c>
      <c r="AN25" s="7" cm="1">
        <f t="array" aca="1" ref="AN25" ca="1">IF(INDIRECT("$D"&amp;(ROW(R25)+$F$1-1))=0,AN24,$G26)</f>
        <v>0</v>
      </c>
      <c r="AO25" s="7" cm="1">
        <f t="array" aca="1" ref="AO25" ca="1">IF(INDIRECT("$D"&amp;(ROW(R25)+$F$1-1))=0,AO24,$G27)</f>
        <v>0</v>
      </c>
      <c r="AP25" s="7" cm="1">
        <f t="array" aca="1" ref="AP25" ca="1">IF(INDIRECT("$D"&amp;(ROW(R25)+$F$1-1))=0,AP24,$G28)</f>
        <v>0</v>
      </c>
      <c r="AQ25" s="7" cm="1">
        <f t="array" aca="1" ref="AQ25" ca="1">IF(INDIRECT("$D"&amp;(ROW(R25)+$F$1-1))=0,AQ24,$G29)</f>
        <v>1</v>
      </c>
      <c r="AR25" s="7" cm="1">
        <f t="array" aca="1" ref="AR25" ca="1">IF(INDIRECT("$D"&amp;(ROW(R25)+$F$1-1))=0,AR24,$G30)</f>
        <v>0</v>
      </c>
      <c r="AS25" s="7" cm="1">
        <f t="array" aca="1" ref="AS25" ca="1">IF(INDIRECT("$D"&amp;(ROW(AS25)+$F$1-1))=0,AS24+4,1)</f>
        <v>9</v>
      </c>
      <c r="AT25" s="7" cm="1">
        <f t="array" aca="1" ref="AT25" ca="1">IF(INDIRECT("$D"&amp;(ROW(AT25)+$F$1-1))=0,AT24+4,2)</f>
        <v>10</v>
      </c>
      <c r="AU25" s="7" cm="1">
        <f t="array" aca="1" ref="AU25" ca="1">IF(INDIRECT("$D"&amp;(ROW(AU25)+$F$1-1))=0,AU24+4,3)</f>
        <v>11</v>
      </c>
      <c r="AV25" s="7" cm="1">
        <f t="array" aca="1" ref="AV25" ca="1">IF(INDIRECT("$D"&amp;(ROW(AV25)+$F$1-1))=0,AV24+4,4)</f>
        <v>12</v>
      </c>
      <c r="AW25" s="22" cm="1">
        <f t="array" aca="1" ref="AW25" ca="1">_xlfn.XLOOKUP(1,INDIRECT("J"&amp;ROW(K25)+$F$1):J$103,INDIRECT("D"&amp;ROW(K25)+$F$1):D$103,0,0,1)</f>
        <v>0</v>
      </c>
      <c r="AX25" s="22">
        <f t="shared" ca="1" si="3"/>
        <v>0</v>
      </c>
      <c r="AY25" s="22" cm="1">
        <f t="array" aca="1" ref="AY25" ca="1">_xlfn.XLOOKUP(AW25,D$4:D$110,H$4:H$110&amp;N$4:N$110&amp;O$4:O$110,0,0,1)</f>
        <v>0</v>
      </c>
      <c r="AZ25" s="22" cm="1">
        <f t="array" aca="1" ref="AZ25" ca="1">_xlfn.XLOOKUP(AW25,D$4:D$110,I$4:I$110&amp;P$4:P$110&amp;Q$4:Q$110,0,0,1)</f>
        <v>0</v>
      </c>
      <c r="BA25" s="14" cm="1">
        <f t="array" ref="BA25">_xlfn.XLOOKUP(1,J$4:J24,D$4:D24,0,0,-1)</f>
        <v>38</v>
      </c>
      <c r="BB25" s="14">
        <f t="shared" si="5"/>
        <v>0</v>
      </c>
      <c r="BC25" s="14" t="str" cm="1">
        <f t="array" ref="BC25">_xlfn.SWITCH(TRUE,_xlfn.XLOOKUP(BA25,D$4:D$110,TEXT(F$4:F$110,"HH"),0,0,1)="00",B23&amp;"",_xlfn.XLOOKUP(BA25,D$4:D$110,TEXT(F$4:F$110,"HH"),0,0,1)="T","00",TRUE,_xlfn.XLOOKUP(BA25,D$4:D$110,TEXT(F$4:F$110,"HH"),0,0,1))</f>
        <v>11</v>
      </c>
      <c r="BD25" s="14" t="str">
        <f t="shared" si="4"/>
        <v>115660</v>
      </c>
    </row>
    <row r="26" spans="1:56">
      <c r="A26" s="2">
        <v>23</v>
      </c>
      <c r="B26" s="5" t="s">
        <v>138</v>
      </c>
      <c r="C26" s="5">
        <v>221770</v>
      </c>
      <c r="D26" s="5">
        <v>36</v>
      </c>
      <c r="E26" s="10"/>
      <c r="F26" s="10"/>
      <c r="G26" s="5"/>
      <c r="H26" s="5"/>
      <c r="I26" s="5"/>
      <c r="J26" s="5">
        <f t="shared" si="1"/>
        <v>0</v>
      </c>
      <c r="K26" s="7" t="str">
        <f t="shared" si="0"/>
        <v>stop</v>
      </c>
      <c r="L26" s="7" t="str" cm="1">
        <f t="array" ref="L26">_xlfn.SWITCH(TRUE,$K26="PASS",TEXT($B$1,"0000"),AND($K26="STOP",E26=""),TEXT($D$1,"0000"),$K25="TERMINAL","0000",TRUE,TEXT(E26,"MMSS"))</f>
        <v>0000</v>
      </c>
      <c r="M26" s="7" t="str" cm="1">
        <f t="array" ref="M26">_xlfn.SWITCH(TRUE,$K26="PASS",TEXT($B$1,"0000"),AND($K26="STOP",F26=""),TEXT($D$1,"0000"),$K26="TERMINAL","0000",TRUE,TEXT(F26,"MMSS"))</f>
        <v>0000</v>
      </c>
      <c r="N26" t="str" cm="1">
        <f t="array" ref="N26">_xlfn.SWITCH(TRUE,AND(LEFT(L26,2)="00",K26="TERMINAL"),"00",E26="",TEXT(LEFT($D$1,2),"00"),LEFT(L26,2)="00",$D$2&amp;"",TRUE,LEFT(L26,2))</f>
        <v>00</v>
      </c>
      <c r="O26" t="str" cm="1">
        <f t="array" ref="O26">_xlfn.SWITCH(TRUE,AND(N26="00",RIGHT(L26,2)="00",K26="TERMINAL"),"00",OR(E26="",N26=LEFT($B$1,2)),TEXT(RIGHT($D$1,2),"00"),RIGHT(L26,2)="00",$D$2&amp;"",TRUE,RIGHT(L26,2))</f>
        <v>00</v>
      </c>
      <c r="P26" t="str" cm="1">
        <f t="array" ref="P26">_xlfn.SWITCH(TRUE,AND(LEFT(M26,2)="00",K26="TERMINAL"),"00",F26="",TEXT(LEFT($D$1,2),"00"),LEFT(M26,2)="00",$D$2&amp;"",TRUE,LEFT(M26,2))</f>
        <v>00</v>
      </c>
      <c r="Q26" t="str" cm="1">
        <f t="array" ref="Q26">_xlfn.SWITCH(TRUE,AND(RIGHT(M26,2)="00",K26="TERMINAL"),"00",F26="",TEXT(RIGHT($D$1,2),"00"),RIGHT(M26,2)="00",$D$2&amp;"",TRUE,RIGHT(M26,2))</f>
        <v>00</v>
      </c>
      <c r="R26" s="7" cm="1">
        <f t="array" aca="1" ref="R26" ca="1">IF(INDIRECT("$D"&amp;(ROW(R26)+$F$1-1))=0,R25,$D26)</f>
        <v>39</v>
      </c>
      <c r="S26" s="7" cm="1">
        <f t="array" aca="1" ref="S26" ca="1">IF(INDIRECT("$D"&amp;(ROW(R26)+$F$1-1))=0,S25,$D27)</f>
        <v>38</v>
      </c>
      <c r="T26" s="7" cm="1">
        <f t="array" aca="1" ref="T26" ca="1">IF(INDIRECT("$D"&amp;(ROW(R26)+$F$1-1))=0,T25,$D28)</f>
        <v>37</v>
      </c>
      <c r="U26" s="7" cm="1">
        <f t="array" aca="1" ref="U26" ca="1">IF(INDIRECT("$D"&amp;(ROW(R26)+$F$1-1))=0,U25,$D29)</f>
        <v>36</v>
      </c>
      <c r="V26" s="7" cm="1">
        <f t="array" aca="1" ref="V26" ca="1">IF(INDIRECT("$D"&amp;(ROW(R26)+$F$1-1))=0,V25,$D30)</f>
        <v>35</v>
      </c>
      <c r="W26" s="7" cm="1">
        <f t="array" aca="1" ref="W26" ca="1">IF(INDIRECT("$D"&amp;(ROW(R26)+$F$1-1))=0,W25,$D31)</f>
        <v>0</v>
      </c>
      <c r="X26" s="7" t="str" cm="1">
        <f t="array" aca="1" ref="X26" ca="1">IF(INDIRECT("$D"&amp;(ROW(R26)+$F$1-1))=0,X24,$H26&amp;$N26&amp;$O26)</f>
        <v>4630</v>
      </c>
      <c r="Y26" s="7" t="str" cm="1">
        <f t="array" aca="1" ref="Y26" ca="1">IF(INDIRECT("$D"&amp;(ROW(R26)+$F$1-1))=0,Y25,H27&amp;$N27&amp;$O27)</f>
        <v>5530</v>
      </c>
      <c r="Z26" s="7" t="str" cm="1">
        <f t="array" aca="1" ref="Z26" ca="1">IF(INDIRECT("$D"&amp;(ROW(R26)+$F$1-1))=0,Z25,H28&amp;$N28&amp;$O28)</f>
        <v>6030</v>
      </c>
      <c r="AA26" s="7" t="str" cm="1">
        <f t="array" aca="1" ref="AA26" ca="1">IF(INDIRECT("$D"&amp;(ROW(R26)+$F$1-1))=0,AA25,H29&amp;$N29&amp;$O29)</f>
        <v>0000</v>
      </c>
      <c r="AB26" s="7" t="str" cm="1">
        <f t="array" aca="1" ref="AB26" ca="1">IF(INDIRECT("$D"&amp;(ROW(R26)+$F$1-1))=0,AB25,H30&amp;$N30&amp;$O30)</f>
        <v>0560</v>
      </c>
      <c r="AC26" s="7" t="str" cm="1">
        <f t="array" aca="1" ref="AC26" ca="1">IF(INDIRECT("$D"&amp;(ROW(R26)+$F$1-1))=0,AC25,H31&amp;$N31&amp;$O31)</f>
        <v>0000</v>
      </c>
      <c r="AD26" s="7" t="str" cm="1">
        <f t="array" aca="1" ref="AD26" ca="1">IF(INDIRECT("$D"&amp;(ROW(R26)+$F$1-1))=0,AD25,I26&amp;$P26&amp;$Q26)</f>
        <v>5130</v>
      </c>
      <c r="AE26" s="7" t="str" cm="1">
        <f t="array" aca="1" ref="AE26" ca="1">IF(INDIRECT("$D"&amp;(ROW(R26)+$F$1-1))=0,AE25,I27&amp;$P27&amp;$Q27)</f>
        <v>5660</v>
      </c>
      <c r="AF26" s="7" t="str" cm="1">
        <f t="array" aca="1" ref="AF26" ca="1">IF(INDIRECT("$D"&amp;(ROW(R26)+$F$1-1))=0,AF25,I28&amp;$P28&amp;$Q28)</f>
        <v>0160</v>
      </c>
      <c r="AG26" s="7" t="str" cm="1">
        <f t="array" aca="1" ref="AG26" ca="1">IF(INDIRECT("$D"&amp;(ROW(R26)+$F$1-1))=0,AG25,I29&amp;$P29&amp;$Q29)</f>
        <v>0000</v>
      </c>
      <c r="AH26" s="7" t="str" cm="1">
        <f t="array" aca="1" ref="AH26" ca="1">IF(INDIRECT("$D"&amp;(ROW(R26)+$F$1-1))=0,AH25,I30&amp;$P30&amp;$Q30)</f>
        <v>0000</v>
      </c>
      <c r="AI26" s="7" t="str" cm="1">
        <f t="array" aca="1" ref="AI26" ca="1">IF(INDIRECT("$D"&amp;(ROW(R26)+$F$1-1))=0,AI25,I31&amp;$P31&amp;$Q31)</f>
        <v>0000</v>
      </c>
      <c r="AJ26" s="7" t="str" cm="1">
        <f t="array" ref="AJ26">TEXT($D26,"000")&amp;TEXT(IFERROR(INDEX($D$5:$D$103,_xlfn.AGGREGATE(15,6,ROW($E$5:$E$103)/(($E$5:$E$103&lt;&gt;"p")*($E$5:$E$103&lt;&gt;"t")*(ROW($E$5:$E$103)&gt;ROW($E26))),1)-ROW($E$5)+1),$D26),"000")</f>
        <v>036035</v>
      </c>
      <c r="AK26" s="22">
        <f t="shared" si="2"/>
        <v>500</v>
      </c>
      <c r="AL26" s="22" cm="1">
        <f t="array" aca="1" ref="AL26" ca="1">IF(INDIRECT("$K"&amp;(ROW(R26)+$F$1-1))="TERMINAL",1000489,489)*SIGN(AK26)</f>
        <v>1000489</v>
      </c>
      <c r="AM26" s="7" cm="1">
        <f t="array" aca="1" ref="AM26" ca="1">IF(INDIRECT("$D"&amp;(ROW(R26)+$F$1-1))=0,AM25,$G26)</f>
        <v>8</v>
      </c>
      <c r="AN26" s="7" cm="1">
        <f t="array" aca="1" ref="AN26" ca="1">IF(INDIRECT("$D"&amp;(ROW(R26)+$F$1-1))=0,AN25,$G27)</f>
        <v>0</v>
      </c>
      <c r="AO26" s="7" cm="1">
        <f t="array" aca="1" ref="AO26" ca="1">IF(INDIRECT("$D"&amp;(ROW(R26)+$F$1-1))=0,AO25,$G28)</f>
        <v>0</v>
      </c>
      <c r="AP26" s="7" cm="1">
        <f t="array" aca="1" ref="AP26" ca="1">IF(INDIRECT("$D"&amp;(ROW(R26)+$F$1-1))=0,AP25,$G29)</f>
        <v>0</v>
      </c>
      <c r="AQ26" s="7" cm="1">
        <f t="array" aca="1" ref="AQ26" ca="1">IF(INDIRECT("$D"&amp;(ROW(R26)+$F$1-1))=0,AQ25,$G30)</f>
        <v>1</v>
      </c>
      <c r="AR26" s="7" cm="1">
        <f t="array" aca="1" ref="AR26" ca="1">IF(INDIRECT("$D"&amp;(ROW(R26)+$F$1-1))=0,AR25,$G31)</f>
        <v>0</v>
      </c>
      <c r="AS26" s="7" cm="1">
        <f t="array" aca="1" ref="AS26" ca="1">IF(INDIRECT("$D"&amp;(ROW(AS26)+$F$1-1))=0,AS25+4,1)</f>
        <v>13</v>
      </c>
      <c r="AT26" s="7" cm="1">
        <f t="array" aca="1" ref="AT26" ca="1">IF(INDIRECT("$D"&amp;(ROW(AT26)+$F$1-1))=0,AT25+4,2)</f>
        <v>14</v>
      </c>
      <c r="AU26" s="7" cm="1">
        <f t="array" aca="1" ref="AU26" ca="1">IF(INDIRECT("$D"&amp;(ROW(AU26)+$F$1-1))=0,AU25+4,3)</f>
        <v>15</v>
      </c>
      <c r="AV26" s="7" cm="1">
        <f t="array" aca="1" ref="AV26" ca="1">IF(INDIRECT("$D"&amp;(ROW(AV26)+$F$1-1))=0,AV25+4,4)</f>
        <v>16</v>
      </c>
      <c r="AW26" s="22" cm="1">
        <f t="array" aca="1" ref="AW26" ca="1">_xlfn.XLOOKUP(1,INDIRECT("J"&amp;ROW(K26)+$F$1):J$103,INDIRECT("D"&amp;ROW(K26)+$F$1):D$103,0,0,1)</f>
        <v>0</v>
      </c>
      <c r="AX26" s="22">
        <f t="shared" ca="1" si="3"/>
        <v>0</v>
      </c>
      <c r="AY26" s="22" cm="1">
        <f t="array" aca="1" ref="AY26" ca="1">_xlfn.XLOOKUP(AW26,D$4:D$110,H$4:H$110&amp;N$4:N$110&amp;O$4:O$110,0,0,1)</f>
        <v>0</v>
      </c>
      <c r="AZ26" s="22" cm="1">
        <f t="array" aca="1" ref="AZ26" ca="1">_xlfn.XLOOKUP(AW26,D$4:D$110,I$4:I$110&amp;P$4:P$110&amp;Q$4:Q$110,0,0,1)</f>
        <v>0</v>
      </c>
      <c r="BA26" s="14" cm="1">
        <f t="array" ref="BA26">_xlfn.XLOOKUP(1,J$4:J25,D$4:D25,0,0,-1)</f>
        <v>37</v>
      </c>
      <c r="BB26" s="14">
        <f t="shared" si="5"/>
        <v>0</v>
      </c>
      <c r="BC26" s="14" t="str" cm="1">
        <f t="array" ref="BC26">_xlfn.SWITCH(TRUE,_xlfn.XLOOKUP(BA26,D$4:D$110,TEXT(F$4:F$110,"HH"),0,0,1)="00",B24&amp;"",_xlfn.XLOOKUP(BA26,D$4:D$110,TEXT(F$4:F$110,"HH"),0,0,1)="T","00",TRUE,_xlfn.XLOOKUP(BA26,D$4:D$110,TEXT(F$4:F$110,"HH"),0,0,1))</f>
        <v>12</v>
      </c>
      <c r="BD26" s="14" t="str">
        <f t="shared" si="4"/>
        <v>120160</v>
      </c>
    </row>
    <row r="27" spans="1:56">
      <c r="A27" s="2">
        <v>24</v>
      </c>
      <c r="B27" s="5" t="s">
        <v>139</v>
      </c>
      <c r="C27" s="5">
        <v>223075</v>
      </c>
      <c r="D27" s="5">
        <v>35</v>
      </c>
      <c r="E27" s="10">
        <v>0.50347222222222221</v>
      </c>
      <c r="F27" s="10" t="s">
        <v>97</v>
      </c>
      <c r="G27" s="5">
        <v>1</v>
      </c>
      <c r="H27" s="5"/>
      <c r="I27" s="5"/>
      <c r="J27" s="5">
        <f t="shared" si="1"/>
        <v>1</v>
      </c>
      <c r="K27" s="7" t="str">
        <f t="shared" si="0"/>
        <v>terminal</v>
      </c>
      <c r="L27" s="7" t="str" cm="1">
        <f t="array" ref="L27">_xlfn.SWITCH(TRUE,$K27="PASS",TEXT($B$1,"0000"),AND($K27="STOP",E27=""),TEXT($D$1,"0000"),$K26="TERMINAL","0000",TRUE,TEXT(E27,"MMSS"))</f>
        <v>0500</v>
      </c>
      <c r="M27" s="7" t="str" cm="1">
        <f t="array" ref="M27">_xlfn.SWITCH(TRUE,$K27="PASS",TEXT($B$1,"0000"),AND($K27="STOP",F27=""),TEXT($D$1,"0000"),$K27="TERMINAL","0000",TRUE,TEXT(F27,"MMSS"))</f>
        <v>0000</v>
      </c>
      <c r="N27" t="str" cm="1">
        <f t="array" ref="N27">_xlfn.SWITCH(TRUE,AND(LEFT(L27,2)="00",K27="TERMINAL"),"00",E27="",TEXT(LEFT($D$1,2),"00"),LEFT(L27,2)="00",$D$2&amp;"",TRUE,LEFT(L27,2))</f>
        <v>05</v>
      </c>
      <c r="O27" t="str" cm="1">
        <f t="array" ref="O27">_xlfn.SWITCH(TRUE,AND(N27="00",RIGHT(L27,2)="00",K27="TERMINAL"),"00",OR(E27="",N27=LEFT($B$1,2)),TEXT(RIGHT($D$1,2),"00"),RIGHT(L27,2)="00",$D$2&amp;"",TRUE,RIGHT(L27,2))</f>
        <v>60</v>
      </c>
      <c r="P27" t="str" cm="1">
        <f t="array" ref="P27">_xlfn.SWITCH(TRUE,AND(LEFT(M27,2)="00",K27="TERMINAL"),"00",F27="",TEXT(LEFT($D$1,2),"00"),LEFT(M27,2)="00",$D$2&amp;"",TRUE,LEFT(M27,2))</f>
        <v>00</v>
      </c>
      <c r="Q27" t="str" cm="1">
        <f t="array" ref="Q27">_xlfn.SWITCH(TRUE,AND(RIGHT(M27,2)="00",K27="TERMINAL"),"00",F27="",TEXT(RIGHT($D$1,2),"00"),RIGHT(M27,2)="00",$D$2&amp;"",TRUE,RIGHT(M27,2))</f>
        <v>00</v>
      </c>
      <c r="R27" s="7" cm="1">
        <f t="array" aca="1" ref="R27" ca="1">IF(INDIRECT("$D"&amp;(ROW(R27)+$F$1-1))=0,R26,$D27)</f>
        <v>39</v>
      </c>
      <c r="S27" s="7" cm="1">
        <f t="array" aca="1" ref="S27" ca="1">IF(INDIRECT("$D"&amp;(ROW(R27)+$F$1-1))=0,S26,$D28)</f>
        <v>38</v>
      </c>
      <c r="T27" s="7" cm="1">
        <f t="array" aca="1" ref="T27" ca="1">IF(INDIRECT("$D"&amp;(ROW(R27)+$F$1-1))=0,T26,$D29)</f>
        <v>37</v>
      </c>
      <c r="U27" s="7" cm="1">
        <f t="array" aca="1" ref="U27" ca="1">IF(INDIRECT("$D"&amp;(ROW(R27)+$F$1-1))=0,U26,$D30)</f>
        <v>36</v>
      </c>
      <c r="V27" s="7" cm="1">
        <f t="array" aca="1" ref="V27" ca="1">IF(INDIRECT("$D"&amp;(ROW(R27)+$F$1-1))=0,V26,$D31)</f>
        <v>35</v>
      </c>
      <c r="W27" s="7" cm="1">
        <f t="array" aca="1" ref="W27" ca="1">IF(INDIRECT("$D"&amp;(ROW(R27)+$F$1-1))=0,W26,$D32)</f>
        <v>0</v>
      </c>
      <c r="X27" s="7" t="str" cm="1">
        <f t="array" aca="1" ref="X27" ca="1">IF(INDIRECT("$D"&amp;(ROW(R27)+$F$1-1))=0,X25,$H27&amp;$N27&amp;$O27)</f>
        <v>5160</v>
      </c>
      <c r="Y27" s="7" t="str" cm="1">
        <f t="array" aca="1" ref="Y27" ca="1">IF(INDIRECT("$D"&amp;(ROW(R27)+$F$1-1))=0,Y26,H28&amp;$N28&amp;$O28)</f>
        <v>5530</v>
      </c>
      <c r="Z27" s="7" t="str" cm="1">
        <f t="array" aca="1" ref="Z27" ca="1">IF(INDIRECT("$D"&amp;(ROW(R27)+$F$1-1))=0,Z26,H29&amp;$N29&amp;$O29)</f>
        <v>6030</v>
      </c>
      <c r="AA27" s="7" t="str" cm="1">
        <f t="array" aca="1" ref="AA27" ca="1">IF(INDIRECT("$D"&amp;(ROW(R27)+$F$1-1))=0,AA26,H30&amp;$N30&amp;$O30)</f>
        <v>0000</v>
      </c>
      <c r="AB27" s="7" t="str" cm="1">
        <f t="array" aca="1" ref="AB27" ca="1">IF(INDIRECT("$D"&amp;(ROW(R27)+$F$1-1))=0,AB26,H31&amp;$N31&amp;$O31)</f>
        <v>0560</v>
      </c>
      <c r="AC27" s="7" t="str" cm="1">
        <f t="array" aca="1" ref="AC27" ca="1">IF(INDIRECT("$D"&amp;(ROW(R27)+$F$1-1))=0,AC26,H32&amp;$N32&amp;$O32)</f>
        <v>0000</v>
      </c>
      <c r="AD27" s="7" t="str" cm="1">
        <f t="array" aca="1" ref="AD27" ca="1">IF(INDIRECT("$D"&amp;(ROW(R27)+$F$1-1))=0,AD26,I27&amp;$P27&amp;$Q27)</f>
        <v>5130</v>
      </c>
      <c r="AE27" s="7" t="str" cm="1">
        <f t="array" aca="1" ref="AE27" ca="1">IF(INDIRECT("$D"&amp;(ROW(R27)+$F$1-1))=0,AE26,I28&amp;$P28&amp;$Q28)</f>
        <v>5660</v>
      </c>
      <c r="AF27" s="7" t="str" cm="1">
        <f t="array" aca="1" ref="AF27" ca="1">IF(INDIRECT("$D"&amp;(ROW(R27)+$F$1-1))=0,AF26,I29&amp;$P29&amp;$Q29)</f>
        <v>0160</v>
      </c>
      <c r="AG27" s="7" t="str" cm="1">
        <f t="array" aca="1" ref="AG27" ca="1">IF(INDIRECT("$D"&amp;(ROW(R27)+$F$1-1))=0,AG26,I30&amp;$P30&amp;$Q30)</f>
        <v>0000</v>
      </c>
      <c r="AH27" s="7" t="str" cm="1">
        <f t="array" aca="1" ref="AH27" ca="1">IF(INDIRECT("$D"&amp;(ROW(R27)+$F$1-1))=0,AH26,I31&amp;$P31&amp;$Q31)</f>
        <v>0000</v>
      </c>
      <c r="AI27" s="7" t="str" cm="1">
        <f t="array" aca="1" ref="AI27" ca="1">IF(INDIRECT("$D"&amp;(ROW(R27)+$F$1-1))=0,AI26,I32&amp;$P32&amp;$Q32)</f>
        <v>0000</v>
      </c>
      <c r="AJ27" s="7" t="str" cm="1">
        <f t="array" ref="AJ27">TEXT($D27,"000")&amp;TEXT(IFERROR(INDEX($D$5:$D$103,_xlfn.AGGREGATE(15,6,ROW($E$5:$E$103)/(($E$5:$E$103&lt;&gt;"p")*($E$5:$E$103&lt;&gt;"t")*(ROW($E$5:$E$103)&gt;ROW($E27))),1)-ROW($E$5)+1),$D27),"000")</f>
        <v>035000</v>
      </c>
      <c r="AK27" s="22">
        <f t="shared" si="2"/>
        <v>500</v>
      </c>
      <c r="AL27" s="22" cm="1">
        <f t="array" aca="1" ref="AL27" ca="1">IF(INDIRECT("$K"&amp;(ROW(R27)+$F$1-1))="TERMINAL",1000489,489)*SIGN(AK27)</f>
        <v>1000489</v>
      </c>
      <c r="AM27" s="7" cm="1">
        <f t="array" aca="1" ref="AM27" ca="1">IF(INDIRECT("$D"&amp;(ROW(R27)+$F$1-1))=0,AM26,$G27)</f>
        <v>8</v>
      </c>
      <c r="AN27" s="7" cm="1">
        <f t="array" aca="1" ref="AN27" ca="1">IF(INDIRECT("$D"&amp;(ROW(R27)+$F$1-1))=0,AN26,$G28)</f>
        <v>0</v>
      </c>
      <c r="AO27" s="7" cm="1">
        <f t="array" aca="1" ref="AO27" ca="1">IF(INDIRECT("$D"&amp;(ROW(R27)+$F$1-1))=0,AO26,$G29)</f>
        <v>0</v>
      </c>
      <c r="AP27" s="7" cm="1">
        <f t="array" aca="1" ref="AP27" ca="1">IF(INDIRECT("$D"&amp;(ROW(R27)+$F$1-1))=0,AP26,$G30)</f>
        <v>0</v>
      </c>
      <c r="AQ27" s="7" cm="1">
        <f t="array" aca="1" ref="AQ27" ca="1">IF(INDIRECT("$D"&amp;(ROW(R27)+$F$1-1))=0,AQ26,$G31)</f>
        <v>1</v>
      </c>
      <c r="AR27" s="7" cm="1">
        <f t="array" aca="1" ref="AR27" ca="1">IF(INDIRECT("$D"&amp;(ROW(R27)+$F$1-1))=0,AR26,$G32)</f>
        <v>0</v>
      </c>
      <c r="AS27" s="7" cm="1">
        <f t="array" aca="1" ref="AS27" ca="1">IF(INDIRECT("$D"&amp;(ROW(AS27)+$F$1-1))=0,AS26+4,1)</f>
        <v>17</v>
      </c>
      <c r="AT27" s="7" cm="1">
        <f t="array" aca="1" ref="AT27" ca="1">IF(INDIRECT("$D"&amp;(ROW(AT27)+$F$1-1))=0,AT26+4,2)</f>
        <v>18</v>
      </c>
      <c r="AU27" s="7" cm="1">
        <f t="array" aca="1" ref="AU27" ca="1">IF(INDIRECT("$D"&amp;(ROW(AU27)+$F$1-1))=0,AU26+4,3)</f>
        <v>19</v>
      </c>
      <c r="AV27" s="7" cm="1">
        <f t="array" aca="1" ref="AV27" ca="1">IF(INDIRECT("$D"&amp;(ROW(AV27)+$F$1-1))=0,AV26+4,4)</f>
        <v>20</v>
      </c>
      <c r="AW27" s="22" cm="1">
        <f t="array" aca="1" ref="AW27" ca="1">_xlfn.XLOOKUP(1,INDIRECT("J"&amp;ROW(K27)+$F$1):J$103,INDIRECT("D"&amp;ROW(K27)+$F$1):D$103,0,0,1)</f>
        <v>0</v>
      </c>
      <c r="AX27" s="22">
        <f t="shared" ca="1" si="3"/>
        <v>0</v>
      </c>
      <c r="AY27" s="22" cm="1">
        <f t="array" aca="1" ref="AY27" ca="1">_xlfn.XLOOKUP(AW27,D$4:D$110,H$4:H$110&amp;N$4:N$110&amp;O$4:O$110,0,0,1)</f>
        <v>0</v>
      </c>
      <c r="AZ27" s="22" cm="1">
        <f t="array" aca="1" ref="AZ27" ca="1">_xlfn.XLOOKUP(AW27,D$4:D$110,I$4:I$110&amp;P$4:P$110&amp;Q$4:Q$110,0,0,1)</f>
        <v>0</v>
      </c>
      <c r="BA27" s="14" cm="1">
        <f t="array" ref="BA27">_xlfn.XLOOKUP(1,J$4:J26,D$4:D26,0,0,-1)</f>
        <v>37</v>
      </c>
      <c r="BB27" s="14">
        <f t="shared" si="5"/>
        <v>0</v>
      </c>
      <c r="BC27" s="14" t="str" cm="1">
        <f t="array" ref="BC27">_xlfn.SWITCH(TRUE,_xlfn.XLOOKUP(BA27,D$4:D$110,TEXT(F$4:F$110,"HH"),0,0,1)="00",B25&amp;"",_xlfn.XLOOKUP(BA27,D$4:D$110,TEXT(F$4:F$110,"HH"),0,0,1)="T","00",TRUE,_xlfn.XLOOKUP(BA27,D$4:D$110,TEXT(F$4:F$110,"HH"),0,0,1))</f>
        <v>12</v>
      </c>
      <c r="BD27" s="14" t="str">
        <f t="shared" si="4"/>
        <v>120160</v>
      </c>
    </row>
    <row r="28" spans="1:56">
      <c r="A28" s="2">
        <v>25</v>
      </c>
      <c r="B28" s="5"/>
      <c r="C28" s="5"/>
      <c r="D28" s="5"/>
      <c r="E28" s="10"/>
      <c r="F28" s="10"/>
      <c r="G28" s="5"/>
      <c r="H28" s="5"/>
      <c r="I28" s="5"/>
      <c r="J28" s="5">
        <f t="shared" si="1"/>
        <v>0</v>
      </c>
      <c r="K28" s="7" t="str">
        <f t="shared" si="0"/>
        <v>terminal</v>
      </c>
      <c r="L28" s="7" t="str" cm="1">
        <f t="array" ref="L28">_xlfn.SWITCH(TRUE,$K28="PASS",TEXT($B$1,"0000"),AND($K28="STOP",E28=""),TEXT($D$1,"0000"),$K27="TERMINAL","0000",TRUE,TEXT(E28,"MMSS"))</f>
        <v>0000</v>
      </c>
      <c r="M28" s="7" t="str" cm="1">
        <f t="array" ref="M28">_xlfn.SWITCH(TRUE,$K28="PASS",TEXT($B$1,"0000"),AND($K28="STOP",F28=""),TEXT($D$1,"0000"),$K28="TERMINAL","0000",TRUE,TEXT(F28,"MMSS"))</f>
        <v>0000</v>
      </c>
      <c r="N28" t="str" cm="1">
        <f t="array" ref="N28">_xlfn.SWITCH(TRUE,AND(LEFT(L28,2)="00",K28="TERMINAL"),"00",E28="",TEXT(LEFT($D$1,2),"00"),LEFT(L28,2)="00",$D$2&amp;"",TRUE,LEFT(L28,2))</f>
        <v>00</v>
      </c>
      <c r="O28" t="str" cm="1">
        <f t="array" ref="O28">_xlfn.SWITCH(TRUE,AND(N28="00",RIGHT(L28,2)="00",K28="TERMINAL"),"00",OR(E28="",N28=LEFT($B$1,2)),TEXT(RIGHT($D$1,2),"00"),RIGHT(L28,2)="00",$D$2&amp;"",TRUE,RIGHT(L28,2))</f>
        <v>00</v>
      </c>
      <c r="P28" t="str" cm="1">
        <f t="array" ref="P28">_xlfn.SWITCH(TRUE,AND(LEFT(M28,2)="00",K28="TERMINAL"),"00",F28="",TEXT(LEFT($D$1,2),"00"),LEFT(M28,2)="00",$D$2&amp;"",TRUE,LEFT(M28,2))</f>
        <v>00</v>
      </c>
      <c r="Q28" t="str" cm="1">
        <f t="array" ref="Q28">_xlfn.SWITCH(TRUE,AND(RIGHT(M28,2)="00",K28="TERMINAL"),"00",F28="",TEXT(RIGHT($D$1,2),"00"),RIGHT(M28,2)="00",$D$2&amp;"",TRUE,RIGHT(M28,2))</f>
        <v>00</v>
      </c>
      <c r="R28" s="7" cm="1">
        <f t="array" aca="1" ref="R28" ca="1">IF(INDIRECT("$D"&amp;(ROW(R28)+$F$1-1))=0,R27,$D28)</f>
        <v>39</v>
      </c>
      <c r="S28" s="7" cm="1">
        <f t="array" aca="1" ref="S28" ca="1">IF(INDIRECT("$D"&amp;(ROW(R28)+$F$1-1))=0,S27,$D29)</f>
        <v>38</v>
      </c>
      <c r="T28" s="7" cm="1">
        <f t="array" aca="1" ref="T28" ca="1">IF(INDIRECT("$D"&amp;(ROW(R28)+$F$1-1))=0,T27,$D30)</f>
        <v>37</v>
      </c>
      <c r="U28" s="7" cm="1">
        <f t="array" aca="1" ref="U28" ca="1">IF(INDIRECT("$D"&amp;(ROW(R28)+$F$1-1))=0,U27,$D31)</f>
        <v>36</v>
      </c>
      <c r="V28" s="7" cm="1">
        <f t="array" aca="1" ref="V28" ca="1">IF(INDIRECT("$D"&amp;(ROW(R28)+$F$1-1))=0,V27,$D32)</f>
        <v>35</v>
      </c>
      <c r="W28" s="7" cm="1">
        <f t="array" aca="1" ref="W28" ca="1">IF(INDIRECT("$D"&amp;(ROW(R28)+$F$1-1))=0,W27,$D33)</f>
        <v>0</v>
      </c>
      <c r="X28" s="7" t="str" cm="1">
        <f t="array" aca="1" ref="X28" ca="1">IF(INDIRECT("$D"&amp;(ROW(R28)+$F$1-1))=0,X26,$H28&amp;$N28&amp;$O28)</f>
        <v>4630</v>
      </c>
      <c r="Y28" s="7" t="str" cm="1">
        <f t="array" aca="1" ref="Y28" ca="1">IF(INDIRECT("$D"&amp;(ROW(R28)+$F$1-1))=0,Y27,H29&amp;$N29&amp;$O29)</f>
        <v>5530</v>
      </c>
      <c r="Z28" s="7" t="str" cm="1">
        <f t="array" aca="1" ref="Z28" ca="1">IF(INDIRECT("$D"&amp;(ROW(R28)+$F$1-1))=0,Z27,H30&amp;$N30&amp;$O30)</f>
        <v>6030</v>
      </c>
      <c r="AA28" s="7" t="str" cm="1">
        <f t="array" aca="1" ref="AA28" ca="1">IF(INDIRECT("$D"&amp;(ROW(R28)+$F$1-1))=0,AA27,H31&amp;$N31&amp;$O31)</f>
        <v>0000</v>
      </c>
      <c r="AB28" s="7" t="str" cm="1">
        <f t="array" aca="1" ref="AB28" ca="1">IF(INDIRECT("$D"&amp;(ROW(R28)+$F$1-1))=0,AB27,H32&amp;$N32&amp;$O32)</f>
        <v>0560</v>
      </c>
      <c r="AC28" s="7" t="str" cm="1">
        <f t="array" aca="1" ref="AC28" ca="1">IF(INDIRECT("$D"&amp;(ROW(R28)+$F$1-1))=0,AC27,H33&amp;$N33&amp;$O33)</f>
        <v>0000</v>
      </c>
      <c r="AD28" s="7" t="str" cm="1">
        <f t="array" aca="1" ref="AD28" ca="1">IF(INDIRECT("$D"&amp;(ROW(R28)+$F$1-1))=0,AD27,I28&amp;$P28&amp;$Q28)</f>
        <v>5130</v>
      </c>
      <c r="AE28" s="7" t="str" cm="1">
        <f t="array" aca="1" ref="AE28" ca="1">IF(INDIRECT("$D"&amp;(ROW(R28)+$F$1-1))=0,AE27,I29&amp;$P29&amp;$Q29)</f>
        <v>5660</v>
      </c>
      <c r="AF28" s="7" t="str" cm="1">
        <f t="array" aca="1" ref="AF28" ca="1">IF(INDIRECT("$D"&amp;(ROW(R28)+$F$1-1))=0,AF27,I30&amp;$P30&amp;$Q30)</f>
        <v>0160</v>
      </c>
      <c r="AG28" s="7" t="str" cm="1">
        <f t="array" aca="1" ref="AG28" ca="1">IF(INDIRECT("$D"&amp;(ROW(R28)+$F$1-1))=0,AG27,I31&amp;$P31&amp;$Q31)</f>
        <v>0000</v>
      </c>
      <c r="AH28" s="7" t="str" cm="1">
        <f t="array" aca="1" ref="AH28" ca="1">IF(INDIRECT("$D"&amp;(ROW(R28)+$F$1-1))=0,AH27,I32&amp;$P32&amp;$Q32)</f>
        <v>0000</v>
      </c>
      <c r="AI28" s="7" t="str" cm="1">
        <f t="array" aca="1" ref="AI28" ca="1">IF(INDIRECT("$D"&amp;(ROW(R28)+$F$1-1))=0,AI27,I33&amp;$P33&amp;$Q33)</f>
        <v>0000</v>
      </c>
      <c r="AJ28" s="7" t="str" cm="1">
        <f t="array" ref="AJ28">TEXT($D28,"000")&amp;TEXT(IFERROR(INDEX($D$5:$D$103,_xlfn.AGGREGATE(15,6,ROW($E$5:$E$103)/(($E$5:$E$103&lt;&gt;"p")*($E$5:$E$103&lt;&gt;"t")*(ROW($E$5:$E$103)&gt;ROW($E28))),1)-ROW($E$5)+1),$D28),"000")</f>
        <v>000000</v>
      </c>
      <c r="AK28" s="22">
        <f t="shared" si="2"/>
        <v>500</v>
      </c>
      <c r="AL28" s="22" cm="1">
        <f t="array" aca="1" ref="AL28" ca="1">IF(INDIRECT("$K"&amp;(ROW(R28)+$F$1-1))="TERMINAL",1000489,489)*SIGN(AK28)</f>
        <v>1000489</v>
      </c>
      <c r="AM28" s="7" cm="1">
        <f t="array" aca="1" ref="AM28" ca="1">IF(INDIRECT("$D"&amp;(ROW(R28)+$F$1-1))=0,AM27,$G28)</f>
        <v>8</v>
      </c>
      <c r="AN28" s="7" cm="1">
        <f t="array" aca="1" ref="AN28" ca="1">IF(INDIRECT("$D"&amp;(ROW(R28)+$F$1-1))=0,AN27,$G29)</f>
        <v>0</v>
      </c>
      <c r="AO28" s="7" cm="1">
        <f t="array" aca="1" ref="AO28" ca="1">IF(INDIRECT("$D"&amp;(ROW(R28)+$F$1-1))=0,AO27,$G30)</f>
        <v>0</v>
      </c>
      <c r="AP28" s="7" cm="1">
        <f t="array" aca="1" ref="AP28" ca="1">IF(INDIRECT("$D"&amp;(ROW(R28)+$F$1-1))=0,AP27,$G31)</f>
        <v>0</v>
      </c>
      <c r="AQ28" s="7" cm="1">
        <f t="array" aca="1" ref="AQ28" ca="1">IF(INDIRECT("$D"&amp;(ROW(R28)+$F$1-1))=0,AQ27,$G32)</f>
        <v>1</v>
      </c>
      <c r="AR28" s="7" cm="1">
        <f t="array" aca="1" ref="AR28" ca="1">IF(INDIRECT("$D"&amp;(ROW(R28)+$F$1-1))=0,AR27,$G33)</f>
        <v>0</v>
      </c>
      <c r="AS28" s="7" cm="1">
        <f t="array" aca="1" ref="AS28" ca="1">IF(INDIRECT("$D"&amp;(ROW(AS28)+$F$1-1))=0,AS27+4,1)</f>
        <v>21</v>
      </c>
      <c r="AT28" s="7" cm="1">
        <f t="array" aca="1" ref="AT28" ca="1">IF(INDIRECT("$D"&amp;(ROW(AT28)+$F$1-1))=0,AT27+4,2)</f>
        <v>22</v>
      </c>
      <c r="AU28" s="7" cm="1">
        <f t="array" aca="1" ref="AU28" ca="1">IF(INDIRECT("$D"&amp;(ROW(AU28)+$F$1-1))=0,AU27+4,3)</f>
        <v>23</v>
      </c>
      <c r="AV28" s="7" cm="1">
        <f t="array" aca="1" ref="AV28" ca="1">IF(INDIRECT("$D"&amp;(ROW(AV28)+$F$1-1))=0,AV27+4,4)</f>
        <v>24</v>
      </c>
      <c r="AW28" s="22" cm="1">
        <f t="array" aca="1" ref="AW28" ca="1">_xlfn.XLOOKUP(1,INDIRECT("J"&amp;ROW(K28)+$F$1):J$103,INDIRECT("D"&amp;ROW(K28)+$F$1):D$103,0,0,1)</f>
        <v>0</v>
      </c>
      <c r="AX28" s="22">
        <f t="shared" ca="1" si="3"/>
        <v>0</v>
      </c>
      <c r="AY28" s="22" cm="1">
        <f t="array" aca="1" ref="AY28" ca="1">_xlfn.XLOOKUP(AW28,D$4:D$110,H$4:H$110&amp;N$4:N$110&amp;O$4:O$110,0,0,1)</f>
        <v>0</v>
      </c>
      <c r="AZ28" s="22" cm="1">
        <f t="array" aca="1" ref="AZ28" ca="1">_xlfn.XLOOKUP(AW28,D$4:D$110,I$4:I$110&amp;P$4:P$110&amp;Q$4:Q$110,0,0,1)</f>
        <v>0</v>
      </c>
      <c r="BA28" s="14" cm="1">
        <f t="array" ref="BA28">_xlfn.XLOOKUP(1,J$4:J27,D$4:D27,0,0,-1)</f>
        <v>35</v>
      </c>
      <c r="BB28" s="14">
        <f t="shared" si="5"/>
        <v>1</v>
      </c>
      <c r="BC28" s="14" t="str" cm="1">
        <f t="array" ref="BC28">_xlfn.SWITCH(TRUE,_xlfn.XLOOKUP(BA28,D$4:D$110,TEXT(F$4:F$110,"HH"),0,0,1)="00",B26&amp;"",_xlfn.XLOOKUP(BA28,D$4:D$110,TEXT(F$4:F$110,"HH"),0,0,1)="T","00",TRUE,_xlfn.XLOOKUP(BA28,D$4:D$110,TEXT(F$4:F$110,"HH"),0,0,1))</f>
        <v>00</v>
      </c>
      <c r="BD28" s="14" t="str">
        <f t="shared" si="4"/>
        <v>000000</v>
      </c>
    </row>
    <row r="29" spans="1:56">
      <c r="A29" s="2">
        <v>26</v>
      </c>
      <c r="B29" s="5"/>
      <c r="C29" s="5"/>
      <c r="D29" s="5"/>
      <c r="E29" s="10"/>
      <c r="F29" s="10"/>
      <c r="G29" s="5"/>
      <c r="H29" s="5"/>
      <c r="I29" s="5"/>
      <c r="J29" s="5">
        <f t="shared" si="1"/>
        <v>0</v>
      </c>
      <c r="K29" s="7" t="str">
        <f t="shared" si="0"/>
        <v>terminal</v>
      </c>
      <c r="L29" s="7" t="str" cm="1">
        <f t="array" ref="L29">_xlfn.SWITCH(TRUE,$K29="PASS",TEXT($B$1,"0000"),AND($K29="STOP",E29=""),TEXT($D$1,"0000"),$K28="TERMINAL","0000",TRUE,TEXT(E29,"MMSS"))</f>
        <v>0000</v>
      </c>
      <c r="M29" s="7" t="str" cm="1">
        <f t="array" ref="M29">_xlfn.SWITCH(TRUE,$K29="PASS",TEXT($B$1,"0000"),AND($K29="STOP",F29=""),TEXT($D$1,"0000"),$K29="TERMINAL","0000",TRUE,TEXT(F29,"MMSS"))</f>
        <v>0000</v>
      </c>
      <c r="N29" t="str" cm="1">
        <f t="array" ref="N29">_xlfn.SWITCH(TRUE,AND(LEFT(L29,2)="00",K29="TERMINAL"),"00",E29="",TEXT(LEFT($D$1,2),"00"),LEFT(L29,2)="00",$D$2&amp;"",TRUE,LEFT(L29,2))</f>
        <v>00</v>
      </c>
      <c r="O29" t="str" cm="1">
        <f t="array" ref="O29">_xlfn.SWITCH(TRUE,AND(N29="00",RIGHT(L29,2)="00",K29="TERMINAL"),"00",OR(E29="",N29=LEFT($B$1,2)),TEXT(RIGHT($D$1,2),"00"),RIGHT(L29,2)="00",$D$2&amp;"",TRUE,RIGHT(L29,2))</f>
        <v>00</v>
      </c>
      <c r="P29" t="str" cm="1">
        <f t="array" ref="P29">_xlfn.SWITCH(TRUE,AND(LEFT(M29,2)="00",K29="TERMINAL"),"00",F29="",TEXT(LEFT($D$1,2),"00"),LEFT(M29,2)="00",$D$2&amp;"",TRUE,LEFT(M29,2))</f>
        <v>00</v>
      </c>
      <c r="Q29" t="str" cm="1">
        <f t="array" ref="Q29">_xlfn.SWITCH(TRUE,AND(RIGHT(M29,2)="00",K29="TERMINAL"),"00",F29="",TEXT(RIGHT($D$1,2),"00"),RIGHT(M29,2)="00",$D$2&amp;"",TRUE,RIGHT(M29,2))</f>
        <v>00</v>
      </c>
      <c r="R29" s="7" cm="1">
        <f t="array" aca="1" ref="R29" ca="1">IF(INDIRECT("$D"&amp;(ROW(R29)+$F$1-1))=0,R28,$D29)</f>
        <v>39</v>
      </c>
      <c r="S29" s="7" cm="1">
        <f t="array" aca="1" ref="S29" ca="1">IF(INDIRECT("$D"&amp;(ROW(R29)+$F$1-1))=0,S28,$D30)</f>
        <v>38</v>
      </c>
      <c r="T29" s="7" cm="1">
        <f t="array" aca="1" ref="T29" ca="1">IF(INDIRECT("$D"&amp;(ROW(R29)+$F$1-1))=0,T28,$D31)</f>
        <v>37</v>
      </c>
      <c r="U29" s="7" cm="1">
        <f t="array" aca="1" ref="U29" ca="1">IF(INDIRECT("$D"&amp;(ROW(R29)+$F$1-1))=0,U28,$D32)</f>
        <v>36</v>
      </c>
      <c r="V29" s="7" cm="1">
        <f t="array" aca="1" ref="V29" ca="1">IF(INDIRECT("$D"&amp;(ROW(R29)+$F$1-1))=0,V28,$D33)</f>
        <v>35</v>
      </c>
      <c r="W29" s="7" cm="1">
        <f t="array" aca="1" ref="W29" ca="1">IF(INDIRECT("$D"&amp;(ROW(R29)+$F$1-1))=0,W28,$D34)</f>
        <v>0</v>
      </c>
      <c r="X29" s="7" t="str" cm="1">
        <f t="array" aca="1" ref="X29" ca="1">IF(INDIRECT("$D"&amp;(ROW(R29)+$F$1-1))=0,X27,$H29&amp;$N29&amp;$O29)</f>
        <v>5160</v>
      </c>
      <c r="Y29" s="7" t="str" cm="1">
        <f t="array" aca="1" ref="Y29" ca="1">IF(INDIRECT("$D"&amp;(ROW(R29)+$F$1-1))=0,Y28,H30&amp;$N30&amp;$O30)</f>
        <v>5530</v>
      </c>
      <c r="Z29" s="7" t="str" cm="1">
        <f t="array" aca="1" ref="Z29" ca="1">IF(INDIRECT("$D"&amp;(ROW(R29)+$F$1-1))=0,Z28,H31&amp;$N31&amp;$O31)</f>
        <v>6030</v>
      </c>
      <c r="AA29" s="7" t="str" cm="1">
        <f t="array" aca="1" ref="AA29" ca="1">IF(INDIRECT("$D"&amp;(ROW(R29)+$F$1-1))=0,AA28,H32&amp;$N32&amp;$O32)</f>
        <v>0000</v>
      </c>
      <c r="AB29" s="7" t="str" cm="1">
        <f t="array" aca="1" ref="AB29" ca="1">IF(INDIRECT("$D"&amp;(ROW(R29)+$F$1-1))=0,AB28,H33&amp;$N33&amp;$O33)</f>
        <v>0560</v>
      </c>
      <c r="AC29" s="7" t="str" cm="1">
        <f t="array" aca="1" ref="AC29" ca="1">IF(INDIRECT("$D"&amp;(ROW(R29)+$F$1-1))=0,AC28,H34&amp;$N34&amp;$O34)</f>
        <v>0000</v>
      </c>
      <c r="AD29" s="7" t="str" cm="1">
        <f t="array" aca="1" ref="AD29" ca="1">IF(INDIRECT("$D"&amp;(ROW(R29)+$F$1-1))=0,AD28,I29&amp;$P29&amp;$Q29)</f>
        <v>5130</v>
      </c>
      <c r="AE29" s="7" t="str" cm="1">
        <f t="array" aca="1" ref="AE29" ca="1">IF(INDIRECT("$D"&amp;(ROW(R29)+$F$1-1))=0,AE28,I30&amp;$P30&amp;$Q30)</f>
        <v>5660</v>
      </c>
      <c r="AF29" s="7" t="str" cm="1">
        <f t="array" aca="1" ref="AF29" ca="1">IF(INDIRECT("$D"&amp;(ROW(R29)+$F$1-1))=0,AF28,I31&amp;$P31&amp;$Q31)</f>
        <v>0160</v>
      </c>
      <c r="AG29" s="7" t="str" cm="1">
        <f t="array" aca="1" ref="AG29" ca="1">IF(INDIRECT("$D"&amp;(ROW(R29)+$F$1-1))=0,AG28,I32&amp;$P32&amp;$Q32)</f>
        <v>0000</v>
      </c>
      <c r="AH29" s="7" t="str" cm="1">
        <f t="array" aca="1" ref="AH29" ca="1">IF(INDIRECT("$D"&amp;(ROW(R29)+$F$1-1))=0,AH28,I33&amp;$P33&amp;$Q33)</f>
        <v>0000</v>
      </c>
      <c r="AI29" s="7" t="str" cm="1">
        <f t="array" aca="1" ref="AI29" ca="1">IF(INDIRECT("$D"&amp;(ROW(R29)+$F$1-1))=0,AI28,I34&amp;$P34&amp;$Q34)</f>
        <v>0000</v>
      </c>
      <c r="AJ29" s="7" t="str" cm="1">
        <f t="array" ref="AJ29">TEXT($D29,"000")&amp;TEXT(IFERROR(INDEX($D$5:$D$103,_xlfn.AGGREGATE(15,6,ROW($E$5:$E$103)/(($E$5:$E$103&lt;&gt;"p")*($E$5:$E$103&lt;&gt;"t")*(ROW($E$5:$E$103)&gt;ROW($E29))),1)-ROW($E$5)+1),$D29),"000")</f>
        <v>000000</v>
      </c>
      <c r="AK29" s="22">
        <f t="shared" si="2"/>
        <v>500</v>
      </c>
      <c r="AL29" s="22" cm="1">
        <f t="array" aca="1" ref="AL29" ca="1">IF(INDIRECT("$K"&amp;(ROW(R29)+$F$1-1))="TERMINAL",1000489,489)*SIGN(AK29)</f>
        <v>1000489</v>
      </c>
      <c r="AM29" s="7" cm="1">
        <f t="array" aca="1" ref="AM29" ca="1">IF(INDIRECT("$D"&amp;(ROW(R29)+$F$1-1))=0,AM28,$G29)</f>
        <v>8</v>
      </c>
      <c r="AN29" s="7" cm="1">
        <f t="array" aca="1" ref="AN29" ca="1">IF(INDIRECT("$D"&amp;(ROW(R29)+$F$1-1))=0,AN28,$G30)</f>
        <v>0</v>
      </c>
      <c r="AO29" s="7" cm="1">
        <f t="array" aca="1" ref="AO29" ca="1">IF(INDIRECT("$D"&amp;(ROW(R29)+$F$1-1))=0,AO28,$G31)</f>
        <v>0</v>
      </c>
      <c r="AP29" s="7" cm="1">
        <f t="array" aca="1" ref="AP29" ca="1">IF(INDIRECT("$D"&amp;(ROW(R29)+$F$1-1))=0,AP28,$G32)</f>
        <v>0</v>
      </c>
      <c r="AQ29" s="7" cm="1">
        <f t="array" aca="1" ref="AQ29" ca="1">IF(INDIRECT("$D"&amp;(ROW(R29)+$F$1-1))=0,AQ28,$G33)</f>
        <v>1</v>
      </c>
      <c r="AR29" s="7" cm="1">
        <f t="array" aca="1" ref="AR29" ca="1">IF(INDIRECT("$D"&amp;(ROW(R29)+$F$1-1))=0,AR28,$G34)</f>
        <v>0</v>
      </c>
      <c r="AS29" s="7" cm="1">
        <f t="array" aca="1" ref="AS29" ca="1">IF(INDIRECT("$D"&amp;(ROW(AS29)+$F$1-1))=0,AS28+4,1)</f>
        <v>25</v>
      </c>
      <c r="AT29" s="7" cm="1">
        <f t="array" aca="1" ref="AT29" ca="1">IF(INDIRECT("$D"&amp;(ROW(AT29)+$F$1-1))=0,AT28+4,2)</f>
        <v>26</v>
      </c>
      <c r="AU29" s="7" cm="1">
        <f t="array" aca="1" ref="AU29" ca="1">IF(INDIRECT("$D"&amp;(ROW(AU29)+$F$1-1))=0,AU28+4,3)</f>
        <v>27</v>
      </c>
      <c r="AV29" s="7" cm="1">
        <f t="array" aca="1" ref="AV29" ca="1">IF(INDIRECT("$D"&amp;(ROW(AV29)+$F$1-1))=0,AV28+4,4)</f>
        <v>28</v>
      </c>
      <c r="AW29" s="22" cm="1">
        <f t="array" aca="1" ref="AW29" ca="1">_xlfn.XLOOKUP(1,INDIRECT("J"&amp;ROW(K29)+$F$1):J$103,INDIRECT("D"&amp;ROW(K29)+$F$1):D$103,0,0,1)</f>
        <v>0</v>
      </c>
      <c r="AX29" s="22">
        <f t="shared" ca="1" si="3"/>
        <v>0</v>
      </c>
      <c r="AY29" s="22" cm="1">
        <f t="array" aca="1" ref="AY29" ca="1">_xlfn.XLOOKUP(AW29,D$4:D$110,H$4:H$110&amp;N$4:N$110&amp;O$4:O$110,0,0,1)</f>
        <v>0</v>
      </c>
      <c r="AZ29" s="22" cm="1">
        <f t="array" aca="1" ref="AZ29" ca="1">_xlfn.XLOOKUP(AW29,D$4:D$110,I$4:I$110&amp;P$4:P$110&amp;Q$4:Q$110,0,0,1)</f>
        <v>0</v>
      </c>
      <c r="BA29" s="14" cm="1">
        <f t="array" ref="BA29">_xlfn.XLOOKUP(1,J$4:J28,D$4:D28,0,0,-1)</f>
        <v>35</v>
      </c>
      <c r="BB29" s="14">
        <f t="shared" si="5"/>
        <v>1</v>
      </c>
      <c r="BC29" s="14" t="str" cm="1">
        <f t="array" ref="BC29">_xlfn.SWITCH(TRUE,_xlfn.XLOOKUP(BA29,D$4:D$110,TEXT(F$4:F$110,"HH"),0,0,1)="00",B27&amp;"",_xlfn.XLOOKUP(BA29,D$4:D$110,TEXT(F$4:F$110,"HH"),0,0,1)="T","00",TRUE,_xlfn.XLOOKUP(BA29,D$4:D$110,TEXT(F$4:F$110,"HH"),0,0,1))</f>
        <v>00</v>
      </c>
      <c r="BD29" s="14" t="str">
        <f t="shared" si="4"/>
        <v>000000</v>
      </c>
    </row>
    <row r="30" spans="1:56">
      <c r="A30" s="2">
        <v>27</v>
      </c>
      <c r="B30" s="5"/>
      <c r="C30" s="5"/>
      <c r="D30" s="5"/>
      <c r="E30" s="5"/>
      <c r="F30" s="15"/>
      <c r="G30" s="5"/>
      <c r="H30" s="5"/>
      <c r="I30" s="5"/>
      <c r="J30" s="5">
        <f t="shared" si="1"/>
        <v>0</v>
      </c>
      <c r="K30" s="7" t="str">
        <f t="shared" si="0"/>
        <v>terminal</v>
      </c>
      <c r="L30" s="7" t="str" cm="1">
        <f t="array" ref="L30">_xlfn.SWITCH(TRUE,$K30="PASS",TEXT($B$1,"0000"),AND($K30="STOP",E30=""),TEXT($D$1,"0000"),$K29="TERMINAL","0000",TRUE,TEXT(E30,"MMSS"))</f>
        <v>0000</v>
      </c>
      <c r="M30" s="7" t="str" cm="1">
        <f t="array" ref="M30">_xlfn.SWITCH(TRUE,$K30="PASS",TEXT($B$1,"0000"),AND($K30="STOP",F30=""),TEXT($D$1,"0000"),$K30="TERMINAL","0000",TRUE,TEXT(F30,"MMSS"))</f>
        <v>0000</v>
      </c>
      <c r="N30" t="str" cm="1">
        <f t="array" ref="N30">_xlfn.SWITCH(TRUE,AND(LEFT(L30,2)="00",K30="TERMINAL"),"00",E30="",TEXT(LEFT($D$1,2),"00"),LEFT(L30,2)="00",$D$2&amp;"",TRUE,LEFT(L30,2))</f>
        <v>00</v>
      </c>
      <c r="O30" t="str" cm="1">
        <f t="array" ref="O30">_xlfn.SWITCH(TRUE,AND(N30="00",RIGHT(L30,2)="00",K30="TERMINAL"),"00",OR(E30="",N30=LEFT($B$1,2)),TEXT(RIGHT($D$1,2),"00"),RIGHT(L30,2)="00",$D$2&amp;"",TRUE,RIGHT(L30,2))</f>
        <v>00</v>
      </c>
      <c r="P30" t="str" cm="1">
        <f t="array" ref="P30">_xlfn.SWITCH(TRUE,AND(LEFT(M30,2)="00",K30="TERMINAL"),"00",F30="",TEXT(LEFT($D$1,2),"00"),LEFT(M30,2)="00",$D$2&amp;"",TRUE,LEFT(M30,2))</f>
        <v>00</v>
      </c>
      <c r="Q30" t="str" cm="1">
        <f t="array" ref="Q30">_xlfn.SWITCH(TRUE,AND(RIGHT(M30,2)="00",K30="TERMINAL"),"00",F30="",TEXT(RIGHT($D$1,2),"00"),RIGHT(M30,2)="00",$D$2&amp;"",TRUE,RIGHT(M30,2))</f>
        <v>00</v>
      </c>
      <c r="R30" s="7" cm="1">
        <f t="array" aca="1" ref="R30" ca="1">IF(INDIRECT("$D"&amp;(ROW(R30)+$F$1-1))=0,R29,$D30)</f>
        <v>39</v>
      </c>
      <c r="S30" s="7" cm="1">
        <f t="array" aca="1" ref="S30" ca="1">IF(INDIRECT("$D"&amp;(ROW(R30)+$F$1-1))=0,S29,$D31)</f>
        <v>38</v>
      </c>
      <c r="T30" s="7" cm="1">
        <f t="array" aca="1" ref="T30" ca="1">IF(INDIRECT("$D"&amp;(ROW(R30)+$F$1-1))=0,T29,$D32)</f>
        <v>37</v>
      </c>
      <c r="U30" s="7" cm="1">
        <f t="array" aca="1" ref="U30" ca="1">IF(INDIRECT("$D"&amp;(ROW(R30)+$F$1-1))=0,U29,$D33)</f>
        <v>36</v>
      </c>
      <c r="V30" s="7" cm="1">
        <f t="array" aca="1" ref="V30" ca="1">IF(INDIRECT("$D"&amp;(ROW(R30)+$F$1-1))=0,V29,$D34)</f>
        <v>35</v>
      </c>
      <c r="W30" s="7" cm="1">
        <f t="array" aca="1" ref="W30" ca="1">IF(INDIRECT("$D"&amp;(ROW(R30)+$F$1-1))=0,W29,$D35)</f>
        <v>0</v>
      </c>
      <c r="X30" s="7" t="str" cm="1">
        <f t="array" aca="1" ref="X30" ca="1">IF(INDIRECT("$D"&amp;(ROW(R30)+$F$1-1))=0,X28,$H30&amp;$N30&amp;$O30)</f>
        <v>4630</v>
      </c>
      <c r="Y30" s="7" t="str" cm="1">
        <f t="array" aca="1" ref="Y30" ca="1">IF(INDIRECT("$D"&amp;(ROW(R30)+$F$1-1))=0,Y29,H31&amp;$N31&amp;$O31)</f>
        <v>5530</v>
      </c>
      <c r="Z30" s="7" t="str" cm="1">
        <f t="array" aca="1" ref="Z30" ca="1">IF(INDIRECT("$D"&amp;(ROW(R30)+$F$1-1))=0,Z29,H32&amp;$N32&amp;$O32)</f>
        <v>6030</v>
      </c>
      <c r="AA30" s="7" t="str" cm="1">
        <f t="array" aca="1" ref="AA30" ca="1">IF(INDIRECT("$D"&amp;(ROW(R30)+$F$1-1))=0,AA29,H33&amp;$N33&amp;$O33)</f>
        <v>0000</v>
      </c>
      <c r="AB30" s="7" t="str" cm="1">
        <f t="array" aca="1" ref="AB30" ca="1">IF(INDIRECT("$D"&amp;(ROW(R30)+$F$1-1))=0,AB29,H34&amp;$N34&amp;$O34)</f>
        <v>0560</v>
      </c>
      <c r="AC30" s="7" t="str" cm="1">
        <f t="array" aca="1" ref="AC30" ca="1">IF(INDIRECT("$D"&amp;(ROW(R30)+$F$1-1))=0,AC29,H35&amp;$N35&amp;$O35)</f>
        <v>0000</v>
      </c>
      <c r="AD30" s="7" t="str" cm="1">
        <f t="array" aca="1" ref="AD30" ca="1">IF(INDIRECT("$D"&amp;(ROW(R30)+$F$1-1))=0,AD29,I30&amp;$P30&amp;$Q30)</f>
        <v>5130</v>
      </c>
      <c r="AE30" s="7" t="str" cm="1">
        <f t="array" aca="1" ref="AE30" ca="1">IF(INDIRECT("$D"&amp;(ROW(R30)+$F$1-1))=0,AE29,I31&amp;$P31&amp;$Q31)</f>
        <v>5660</v>
      </c>
      <c r="AF30" s="7" t="str" cm="1">
        <f t="array" aca="1" ref="AF30" ca="1">IF(INDIRECT("$D"&amp;(ROW(R30)+$F$1-1))=0,AF29,I32&amp;$P32&amp;$Q32)</f>
        <v>0160</v>
      </c>
      <c r="AG30" s="7" t="str" cm="1">
        <f t="array" aca="1" ref="AG30" ca="1">IF(INDIRECT("$D"&amp;(ROW(R30)+$F$1-1))=0,AG29,I33&amp;$P33&amp;$Q33)</f>
        <v>0000</v>
      </c>
      <c r="AH30" s="7" t="str" cm="1">
        <f t="array" aca="1" ref="AH30" ca="1">IF(INDIRECT("$D"&amp;(ROW(R30)+$F$1-1))=0,AH29,I34&amp;$P34&amp;$Q34)</f>
        <v>0000</v>
      </c>
      <c r="AI30" s="7" t="str" cm="1">
        <f t="array" aca="1" ref="AI30" ca="1">IF(INDIRECT("$D"&amp;(ROW(R30)+$F$1-1))=0,AI29,I35&amp;$P35&amp;$Q35)</f>
        <v>0000</v>
      </c>
      <c r="AJ30" s="7" t="str" cm="1">
        <f t="array" ref="AJ30">TEXT($D30,"000")&amp;TEXT(IFERROR(INDEX($D$5:$D$103,_xlfn.AGGREGATE(15,6,ROW($E$5:$E$103)/(($E$5:$E$103&lt;&gt;"p")*($E$5:$E$103&lt;&gt;"t")*(ROW($E$5:$E$103)&gt;ROW($E30))),1)-ROW($E$5)+1),$D30),"000")</f>
        <v>000000</v>
      </c>
      <c r="AK30" s="22">
        <f t="shared" si="2"/>
        <v>500</v>
      </c>
      <c r="AL30" s="22" cm="1">
        <f t="array" aca="1" ref="AL30" ca="1">IF(INDIRECT("$K"&amp;(ROW(R30)+$F$1-1))="TERMINAL",1000489,489)*SIGN(AK30)</f>
        <v>1000489</v>
      </c>
      <c r="AM30" s="7" cm="1">
        <f t="array" aca="1" ref="AM30" ca="1">IF(INDIRECT("$D"&amp;(ROW(R30)+$F$1-1))=0,AM29,$G30)</f>
        <v>8</v>
      </c>
      <c r="AN30" s="7" cm="1">
        <f t="array" aca="1" ref="AN30" ca="1">IF(INDIRECT("$D"&amp;(ROW(R30)+$F$1-1))=0,AN29,$G31)</f>
        <v>0</v>
      </c>
      <c r="AO30" s="7" cm="1">
        <f t="array" aca="1" ref="AO30" ca="1">IF(INDIRECT("$D"&amp;(ROW(R30)+$F$1-1))=0,AO29,$G32)</f>
        <v>0</v>
      </c>
      <c r="AP30" s="7" cm="1">
        <f t="array" aca="1" ref="AP30" ca="1">IF(INDIRECT("$D"&amp;(ROW(R30)+$F$1-1))=0,AP29,$G33)</f>
        <v>0</v>
      </c>
      <c r="AQ30" s="7" cm="1">
        <f t="array" aca="1" ref="AQ30" ca="1">IF(INDIRECT("$D"&amp;(ROW(R30)+$F$1-1))=0,AQ29,$G34)</f>
        <v>1</v>
      </c>
      <c r="AR30" s="7" cm="1">
        <f t="array" aca="1" ref="AR30" ca="1">IF(INDIRECT("$D"&amp;(ROW(R30)+$F$1-1))=0,AR29,$G35)</f>
        <v>0</v>
      </c>
      <c r="AS30" s="7" cm="1">
        <f t="array" aca="1" ref="AS30" ca="1">IF(INDIRECT("$D"&amp;(ROW(AS30)+$F$1-1))=0,AS29+4,1)</f>
        <v>29</v>
      </c>
      <c r="AT30" s="7" cm="1">
        <f t="array" aca="1" ref="AT30" ca="1">IF(INDIRECT("$D"&amp;(ROW(AT30)+$F$1-1))=0,AT29+4,2)</f>
        <v>30</v>
      </c>
      <c r="AU30" s="7" cm="1">
        <f t="array" aca="1" ref="AU30" ca="1">IF(INDIRECT("$D"&amp;(ROW(AU30)+$F$1-1))=0,AU29+4,3)</f>
        <v>31</v>
      </c>
      <c r="AV30" s="7" cm="1">
        <f t="array" aca="1" ref="AV30" ca="1">IF(INDIRECT("$D"&amp;(ROW(AV30)+$F$1-1))=0,AV29+4,4)</f>
        <v>32</v>
      </c>
      <c r="AW30" s="22" cm="1">
        <f t="array" aca="1" ref="AW30" ca="1">_xlfn.XLOOKUP(1,INDIRECT("J"&amp;ROW(K30)+$F$1):J$103,INDIRECT("D"&amp;ROW(K30)+$F$1):D$103,0,0,1)</f>
        <v>0</v>
      </c>
      <c r="AX30" s="22">
        <f t="shared" ca="1" si="3"/>
        <v>0</v>
      </c>
      <c r="AY30" s="22" cm="1">
        <f t="array" aca="1" ref="AY30" ca="1">_xlfn.XLOOKUP(AW30,D$4:D$110,H$4:H$110&amp;N$4:N$110&amp;O$4:O$110,0,0,1)</f>
        <v>0</v>
      </c>
      <c r="AZ30" s="22" cm="1">
        <f t="array" aca="1" ref="AZ30" ca="1">_xlfn.XLOOKUP(AW30,D$4:D$110,I$4:I$110&amp;P$4:P$110&amp;Q$4:Q$110,0,0,1)</f>
        <v>0</v>
      </c>
      <c r="BA30" s="14" cm="1">
        <f t="array" ref="BA30">_xlfn.XLOOKUP(1,J$4:J29,D$4:D29,0,0,-1)</f>
        <v>35</v>
      </c>
      <c r="BB30" s="14">
        <f t="shared" si="5"/>
        <v>1</v>
      </c>
      <c r="BC30" s="14" t="str" cm="1">
        <f t="array" ref="BC30">_xlfn.SWITCH(TRUE,_xlfn.XLOOKUP(BA30,D$4:D$110,TEXT(F$4:F$110,"HH"),0,0,1)="00",B28&amp;"",_xlfn.XLOOKUP(BA30,D$4:D$110,TEXT(F$4:F$110,"HH"),0,0,1)="T","00",TRUE,_xlfn.XLOOKUP(BA30,D$4:D$110,TEXT(F$4:F$110,"HH"),0,0,1))</f>
        <v>00</v>
      </c>
      <c r="BD30" s="14" t="str">
        <f t="shared" si="4"/>
        <v>000000</v>
      </c>
    </row>
    <row r="31" spans="1:56">
      <c r="A31" s="2">
        <v>28</v>
      </c>
      <c r="B31" s="5"/>
      <c r="C31" s="5"/>
      <c r="D31" s="5"/>
      <c r="E31" s="5"/>
      <c r="F31" s="5"/>
      <c r="G31" s="5"/>
      <c r="H31" s="5"/>
      <c r="I31" s="5"/>
      <c r="J31" s="5">
        <f t="shared" si="1"/>
        <v>0</v>
      </c>
      <c r="K31" s="7" t="str">
        <f t="shared" si="0"/>
        <v>terminal</v>
      </c>
      <c r="L31" s="7" t="str" cm="1">
        <f t="array" ref="L31">_xlfn.SWITCH(TRUE,$K31="PASS",TEXT($B$1,"0000"),AND($K31="STOP",E31=""),TEXT($D$1,"0000"),$K30="TERMINAL","0000",TRUE,TEXT(E31,"MMSS"))</f>
        <v>0000</v>
      </c>
      <c r="M31" s="7" t="str" cm="1">
        <f t="array" ref="M31">_xlfn.SWITCH(TRUE,$K31="PASS",TEXT($B$1,"0000"),AND($K31="STOP",F31=""),TEXT($D$1,"0000"),$K31="TERMINAL","0000",TRUE,TEXT(F31,"MMSS"))</f>
        <v>0000</v>
      </c>
      <c r="N31" t="str" cm="1">
        <f t="array" ref="N31">_xlfn.SWITCH(TRUE,AND(LEFT(L31,2)="00",K31="TERMINAL"),"00",E31="",TEXT(LEFT($D$1,2),"00"),LEFT(L31,2)="00",$D$2&amp;"",TRUE,LEFT(L31,2))</f>
        <v>00</v>
      </c>
      <c r="O31" t="str" cm="1">
        <f t="array" ref="O31">_xlfn.SWITCH(TRUE,AND(N31="00",RIGHT(L31,2)="00",K31="TERMINAL"),"00",OR(E31="",N31=LEFT($B$1,2)),TEXT(RIGHT($D$1,2),"00"),RIGHT(L31,2)="00",$D$2&amp;"",TRUE,RIGHT(L31,2))</f>
        <v>00</v>
      </c>
      <c r="P31" t="str" cm="1">
        <f t="array" ref="P31">_xlfn.SWITCH(TRUE,AND(LEFT(M31,2)="00",K31="TERMINAL"),"00",F31="",TEXT(LEFT($D$1,2),"00"),LEFT(M31,2)="00",$D$2&amp;"",TRUE,LEFT(M31,2))</f>
        <v>00</v>
      </c>
      <c r="Q31" t="str" cm="1">
        <f t="array" ref="Q31">_xlfn.SWITCH(TRUE,AND(RIGHT(M31,2)="00",K31="TERMINAL"),"00",F31="",TEXT(RIGHT($D$1,2),"00"),RIGHT(M31,2)="00",$D$2&amp;"",TRUE,RIGHT(M31,2))</f>
        <v>00</v>
      </c>
      <c r="R31" s="7" cm="1">
        <f t="array" aca="1" ref="R31" ca="1">IF(INDIRECT("$D"&amp;(ROW(R31)+$F$1-1))=0,R30,$D31)</f>
        <v>39</v>
      </c>
      <c r="S31" s="7" cm="1">
        <f t="array" aca="1" ref="S31" ca="1">IF(INDIRECT("$D"&amp;(ROW(R31)+$F$1-1))=0,S30,$D32)</f>
        <v>38</v>
      </c>
      <c r="T31" s="7" cm="1">
        <f t="array" aca="1" ref="T31" ca="1">IF(INDIRECT("$D"&amp;(ROW(R31)+$F$1-1))=0,T30,$D33)</f>
        <v>37</v>
      </c>
      <c r="U31" s="7" cm="1">
        <f t="array" aca="1" ref="U31" ca="1">IF(INDIRECT("$D"&amp;(ROW(R31)+$F$1-1))=0,U30,$D34)</f>
        <v>36</v>
      </c>
      <c r="V31" s="7" cm="1">
        <f t="array" aca="1" ref="V31" ca="1">IF(INDIRECT("$D"&amp;(ROW(R31)+$F$1-1))=0,V30,$D35)</f>
        <v>35</v>
      </c>
      <c r="W31" s="7" cm="1">
        <f t="array" aca="1" ref="W31" ca="1">IF(INDIRECT("$D"&amp;(ROW(R31)+$F$1-1))=0,W30,$D36)</f>
        <v>0</v>
      </c>
      <c r="X31" s="7" t="str" cm="1">
        <f t="array" aca="1" ref="X31" ca="1">IF(INDIRECT("$D"&amp;(ROW(R31)+$F$1-1))=0,X29,$H31&amp;$N31&amp;$O31)</f>
        <v>5160</v>
      </c>
      <c r="Y31" s="7" t="str" cm="1">
        <f t="array" aca="1" ref="Y31" ca="1">IF(INDIRECT("$D"&amp;(ROW(R31)+$F$1-1))=0,Y30,H32&amp;$N32&amp;$O32)</f>
        <v>5530</v>
      </c>
      <c r="Z31" s="7" t="str" cm="1">
        <f t="array" aca="1" ref="Z31" ca="1">IF(INDIRECT("$D"&amp;(ROW(R31)+$F$1-1))=0,Z30,H33&amp;$N33&amp;$O33)</f>
        <v>6030</v>
      </c>
      <c r="AA31" s="7" t="str" cm="1">
        <f t="array" aca="1" ref="AA31" ca="1">IF(INDIRECT("$D"&amp;(ROW(R31)+$F$1-1))=0,AA30,H34&amp;$N34&amp;$O34)</f>
        <v>0000</v>
      </c>
      <c r="AB31" s="7" t="str" cm="1">
        <f t="array" aca="1" ref="AB31" ca="1">IF(INDIRECT("$D"&amp;(ROW(R31)+$F$1-1))=0,AB30,H35&amp;$N35&amp;$O35)</f>
        <v>0560</v>
      </c>
      <c r="AC31" s="7" t="str" cm="1">
        <f t="array" aca="1" ref="AC31" ca="1">IF(INDIRECT("$D"&amp;(ROW(R31)+$F$1-1))=0,AC30,H36&amp;$N36&amp;$O36)</f>
        <v>0000</v>
      </c>
      <c r="AD31" s="7" t="str" cm="1">
        <f t="array" aca="1" ref="AD31" ca="1">IF(INDIRECT("$D"&amp;(ROW(R31)+$F$1-1))=0,AD30,I31&amp;$P31&amp;$Q31)</f>
        <v>5130</v>
      </c>
      <c r="AE31" s="7" t="str" cm="1">
        <f t="array" aca="1" ref="AE31" ca="1">IF(INDIRECT("$D"&amp;(ROW(R31)+$F$1-1))=0,AE30,I32&amp;$P32&amp;$Q32)</f>
        <v>5660</v>
      </c>
      <c r="AF31" s="7" t="str" cm="1">
        <f t="array" aca="1" ref="AF31" ca="1">IF(INDIRECT("$D"&amp;(ROW(R31)+$F$1-1))=0,AF30,I33&amp;$P33&amp;$Q33)</f>
        <v>0160</v>
      </c>
      <c r="AG31" s="7" t="str" cm="1">
        <f t="array" aca="1" ref="AG31" ca="1">IF(INDIRECT("$D"&amp;(ROW(R31)+$F$1-1))=0,AG30,I34&amp;$P34&amp;$Q34)</f>
        <v>0000</v>
      </c>
      <c r="AH31" s="7" t="str" cm="1">
        <f t="array" aca="1" ref="AH31" ca="1">IF(INDIRECT("$D"&amp;(ROW(R31)+$F$1-1))=0,AH30,I35&amp;$P35&amp;$Q35)</f>
        <v>0000</v>
      </c>
      <c r="AI31" s="7" t="str" cm="1">
        <f t="array" aca="1" ref="AI31" ca="1">IF(INDIRECT("$D"&amp;(ROW(R31)+$F$1-1))=0,AI30,I36&amp;$P36&amp;$Q36)</f>
        <v>0000</v>
      </c>
      <c r="AJ31" s="7" t="str" cm="1">
        <f t="array" ref="AJ31">TEXT($D31,"000")&amp;TEXT(IFERROR(INDEX($D$5:$D$103,_xlfn.AGGREGATE(15,6,ROW($E$5:$E$103)/(($E$5:$E$103&lt;&gt;"p")*($E$5:$E$103&lt;&gt;"t")*(ROW($E$5:$E$103)&gt;ROW($E31))),1)-ROW($E$5)+1),$D31),"000")</f>
        <v>000000</v>
      </c>
      <c r="AK31" s="22">
        <f t="shared" si="2"/>
        <v>500</v>
      </c>
      <c r="AL31" s="22" cm="1">
        <f t="array" aca="1" ref="AL31" ca="1">IF(INDIRECT("$K"&amp;(ROW(R31)+$F$1-1))="TERMINAL",1000489,489)*SIGN(AK31)</f>
        <v>1000489</v>
      </c>
      <c r="AM31" s="7" cm="1">
        <f t="array" aca="1" ref="AM31" ca="1">IF(INDIRECT("$D"&amp;(ROW(R31)+$F$1-1))=0,AM30,$G31)</f>
        <v>8</v>
      </c>
      <c r="AN31" s="7" cm="1">
        <f t="array" aca="1" ref="AN31" ca="1">IF(INDIRECT("$D"&amp;(ROW(R31)+$F$1-1))=0,AN30,$G32)</f>
        <v>0</v>
      </c>
      <c r="AO31" s="7" cm="1">
        <f t="array" aca="1" ref="AO31" ca="1">IF(INDIRECT("$D"&amp;(ROW(R31)+$F$1-1))=0,AO30,$G33)</f>
        <v>0</v>
      </c>
      <c r="AP31" s="7" cm="1">
        <f t="array" aca="1" ref="AP31" ca="1">IF(INDIRECT("$D"&amp;(ROW(R31)+$F$1-1))=0,AP30,$G34)</f>
        <v>0</v>
      </c>
      <c r="AQ31" s="7" cm="1">
        <f t="array" aca="1" ref="AQ31" ca="1">IF(INDIRECT("$D"&amp;(ROW(R31)+$F$1-1))=0,AQ30,$G35)</f>
        <v>1</v>
      </c>
      <c r="AR31" s="7" cm="1">
        <f t="array" aca="1" ref="AR31" ca="1">IF(INDIRECT("$D"&amp;(ROW(R31)+$F$1-1))=0,AR30,$G36)</f>
        <v>0</v>
      </c>
      <c r="AS31" s="7" cm="1">
        <f t="array" aca="1" ref="AS31" ca="1">IF(INDIRECT("$D"&amp;(ROW(AS31)+$F$1-1))=0,AS30+4,1)</f>
        <v>33</v>
      </c>
      <c r="AT31" s="7" cm="1">
        <f t="array" aca="1" ref="AT31" ca="1">IF(INDIRECT("$D"&amp;(ROW(AT31)+$F$1-1))=0,AT30+4,2)</f>
        <v>34</v>
      </c>
      <c r="AU31" s="7" cm="1">
        <f t="array" aca="1" ref="AU31" ca="1">IF(INDIRECT("$D"&amp;(ROW(AU31)+$F$1-1))=0,AU30+4,3)</f>
        <v>35</v>
      </c>
      <c r="AV31" s="7" cm="1">
        <f t="array" aca="1" ref="AV31" ca="1">IF(INDIRECT("$D"&amp;(ROW(AV31)+$F$1-1))=0,AV30+4,4)</f>
        <v>36</v>
      </c>
      <c r="AW31" s="22" cm="1">
        <f t="array" aca="1" ref="AW31" ca="1">_xlfn.XLOOKUP(1,INDIRECT("J"&amp;ROW(K31)+$F$1):J$103,INDIRECT("D"&amp;ROW(K31)+$F$1):D$103,0,0,1)</f>
        <v>0</v>
      </c>
      <c r="AX31" s="22">
        <f t="shared" ca="1" si="3"/>
        <v>0</v>
      </c>
      <c r="AY31" s="22" cm="1">
        <f t="array" aca="1" ref="AY31" ca="1">_xlfn.XLOOKUP(AW31,D$4:D$110,H$4:H$110&amp;N$4:N$110&amp;O$4:O$110,0,0,1)</f>
        <v>0</v>
      </c>
      <c r="AZ31" s="22" cm="1">
        <f t="array" aca="1" ref="AZ31" ca="1">_xlfn.XLOOKUP(AW31,D$4:D$110,I$4:I$110&amp;P$4:P$110&amp;Q$4:Q$110,0,0,1)</f>
        <v>0</v>
      </c>
      <c r="BA31" s="14" cm="1">
        <f t="array" ref="BA31">_xlfn.XLOOKUP(1,J$4:J30,D$4:D30,0,0,-1)</f>
        <v>35</v>
      </c>
      <c r="BB31" s="14">
        <f t="shared" si="5"/>
        <v>1</v>
      </c>
      <c r="BC31" s="14" t="str" cm="1">
        <f t="array" ref="BC31">_xlfn.SWITCH(TRUE,_xlfn.XLOOKUP(BA31,D$4:D$110,TEXT(F$4:F$110,"HH"),0,0,1)="00",B29&amp;"",_xlfn.XLOOKUP(BA31,D$4:D$110,TEXT(F$4:F$110,"HH"),0,0,1)="T","00",TRUE,_xlfn.XLOOKUP(BA31,D$4:D$110,TEXT(F$4:F$110,"HH"),0,0,1))</f>
        <v>00</v>
      </c>
      <c r="BD31" s="14" t="str">
        <f t="shared" si="4"/>
        <v>000000</v>
      </c>
    </row>
    <row r="32" spans="1:56">
      <c r="A32" s="2">
        <v>29</v>
      </c>
      <c r="B32" s="5"/>
      <c r="C32" s="5"/>
      <c r="D32" s="5"/>
      <c r="E32" s="15"/>
      <c r="F32" s="15"/>
      <c r="G32" s="5"/>
      <c r="H32" s="5"/>
      <c r="I32" s="5"/>
      <c r="J32" s="5">
        <f t="shared" si="1"/>
        <v>0</v>
      </c>
      <c r="K32" s="7" t="str">
        <f t="shared" si="0"/>
        <v>terminal</v>
      </c>
      <c r="L32" s="7" t="str" cm="1">
        <f t="array" ref="L32">_xlfn.SWITCH(TRUE,$K32="PASS",TEXT($B$1,"0000"),AND($K32="STOP",E32=""),TEXT($D$1,"0000"),$K31="TERMINAL","0000",TRUE,TEXT(E32,"MMSS"))</f>
        <v>0000</v>
      </c>
      <c r="M32" s="7" t="str" cm="1">
        <f t="array" ref="M32">_xlfn.SWITCH(TRUE,$K32="PASS",TEXT($B$1,"0000"),AND($K32="STOP",F32=""),TEXT($D$1,"0000"),$K32="TERMINAL","0000",TRUE,TEXT(F32,"MMSS"))</f>
        <v>0000</v>
      </c>
      <c r="N32" t="str" cm="1">
        <f t="array" ref="N32">_xlfn.SWITCH(TRUE,AND(LEFT(L32,2)="00",K32="TERMINAL"),"00",E32="",TEXT(LEFT($D$1,2),"00"),LEFT(L32,2)="00",$D$2&amp;"",TRUE,LEFT(L32,2))</f>
        <v>00</v>
      </c>
      <c r="O32" t="str" cm="1">
        <f t="array" ref="O32">_xlfn.SWITCH(TRUE,AND(N32="00",RIGHT(L32,2)="00",K32="TERMINAL"),"00",OR(E32="",N32=LEFT($B$1,2)),TEXT(RIGHT($D$1,2),"00"),RIGHT(L32,2)="00",$D$2&amp;"",TRUE,RIGHT(L32,2))</f>
        <v>00</v>
      </c>
      <c r="P32" t="str" cm="1">
        <f t="array" ref="P32">_xlfn.SWITCH(TRUE,AND(LEFT(M32,2)="00",K32="TERMINAL"),"00",F32="",TEXT(LEFT($D$1,2),"00"),LEFT(M32,2)="00",$D$2&amp;"",TRUE,LEFT(M32,2))</f>
        <v>00</v>
      </c>
      <c r="Q32" t="str" cm="1">
        <f t="array" ref="Q32">_xlfn.SWITCH(TRUE,AND(RIGHT(M32,2)="00",K32="TERMINAL"),"00",F32="",TEXT(RIGHT($D$1,2),"00"),RIGHT(M32,2)="00",$D$2&amp;"",TRUE,RIGHT(M32,2))</f>
        <v>00</v>
      </c>
      <c r="R32" s="7" cm="1">
        <f t="array" aca="1" ref="R32" ca="1">IF(INDIRECT("$D"&amp;(ROW(R32)+$F$1-1))=0,R31,$D32)</f>
        <v>39</v>
      </c>
      <c r="S32" s="7" cm="1">
        <f t="array" aca="1" ref="S32" ca="1">IF(INDIRECT("$D"&amp;(ROW(R32)+$F$1-1))=0,S31,$D33)</f>
        <v>38</v>
      </c>
      <c r="T32" s="7" cm="1">
        <f t="array" aca="1" ref="T32" ca="1">IF(INDIRECT("$D"&amp;(ROW(R32)+$F$1-1))=0,T31,$D34)</f>
        <v>37</v>
      </c>
      <c r="U32" s="7" cm="1">
        <f t="array" aca="1" ref="U32" ca="1">IF(INDIRECT("$D"&amp;(ROW(R32)+$F$1-1))=0,U31,$D35)</f>
        <v>36</v>
      </c>
      <c r="V32" s="7" cm="1">
        <f t="array" aca="1" ref="V32" ca="1">IF(INDIRECT("$D"&amp;(ROW(R32)+$F$1-1))=0,V31,$D36)</f>
        <v>35</v>
      </c>
      <c r="W32" s="7" cm="1">
        <f t="array" aca="1" ref="W32" ca="1">IF(INDIRECT("$D"&amp;(ROW(R32)+$F$1-1))=0,W31,$D37)</f>
        <v>0</v>
      </c>
      <c r="X32" s="7" t="str" cm="1">
        <f t="array" aca="1" ref="X32" ca="1">IF(INDIRECT("$D"&amp;(ROW(R32)+$F$1-1))=0,X30,$H32&amp;$N32&amp;$O32)</f>
        <v>4630</v>
      </c>
      <c r="Y32" s="7" t="str" cm="1">
        <f t="array" aca="1" ref="Y32" ca="1">IF(INDIRECT("$D"&amp;(ROW(R32)+$F$1-1))=0,Y31,H33&amp;$N33&amp;$O33)</f>
        <v>5530</v>
      </c>
      <c r="Z32" s="7" t="str" cm="1">
        <f t="array" aca="1" ref="Z32" ca="1">IF(INDIRECT("$D"&amp;(ROW(R32)+$F$1-1))=0,Z31,H34&amp;$N34&amp;$O34)</f>
        <v>6030</v>
      </c>
      <c r="AA32" s="7" t="str" cm="1">
        <f t="array" aca="1" ref="AA32" ca="1">IF(INDIRECT("$D"&amp;(ROW(R32)+$F$1-1))=0,AA31,H35&amp;$N35&amp;$O35)</f>
        <v>0000</v>
      </c>
      <c r="AB32" s="7" t="str" cm="1">
        <f t="array" aca="1" ref="AB32" ca="1">IF(INDIRECT("$D"&amp;(ROW(R32)+$F$1-1))=0,AB31,H36&amp;$N36&amp;$O36)</f>
        <v>0560</v>
      </c>
      <c r="AC32" s="7" t="str" cm="1">
        <f t="array" aca="1" ref="AC32" ca="1">IF(INDIRECT("$D"&amp;(ROW(R32)+$F$1-1))=0,AC31,H37&amp;$N37&amp;$O37)</f>
        <v>0000</v>
      </c>
      <c r="AD32" s="7" t="str" cm="1">
        <f t="array" aca="1" ref="AD32" ca="1">IF(INDIRECT("$D"&amp;(ROW(R32)+$F$1-1))=0,AD31,I32&amp;$P32&amp;$Q32)</f>
        <v>5130</v>
      </c>
      <c r="AE32" s="7" t="str" cm="1">
        <f t="array" aca="1" ref="AE32" ca="1">IF(INDIRECT("$D"&amp;(ROW(R32)+$F$1-1))=0,AE31,I33&amp;$P33&amp;$Q33)</f>
        <v>5660</v>
      </c>
      <c r="AF32" s="7" t="str" cm="1">
        <f t="array" aca="1" ref="AF32" ca="1">IF(INDIRECT("$D"&amp;(ROW(R32)+$F$1-1))=0,AF31,I34&amp;$P34&amp;$Q34)</f>
        <v>0160</v>
      </c>
      <c r="AG32" s="7" t="str" cm="1">
        <f t="array" aca="1" ref="AG32" ca="1">IF(INDIRECT("$D"&amp;(ROW(R32)+$F$1-1))=0,AG31,I35&amp;$P35&amp;$Q35)</f>
        <v>0000</v>
      </c>
      <c r="AH32" s="7" t="str" cm="1">
        <f t="array" aca="1" ref="AH32" ca="1">IF(INDIRECT("$D"&amp;(ROW(R32)+$F$1-1))=0,AH31,I36&amp;$P36&amp;$Q36)</f>
        <v>0000</v>
      </c>
      <c r="AI32" s="7" t="str" cm="1">
        <f t="array" aca="1" ref="AI32" ca="1">IF(INDIRECT("$D"&amp;(ROW(R32)+$F$1-1))=0,AI31,I37&amp;$P37&amp;$Q37)</f>
        <v>0000</v>
      </c>
      <c r="AJ32" s="7" t="str" cm="1">
        <f t="array" ref="AJ32">TEXT($D32,"000")&amp;TEXT(IFERROR(INDEX($D$5:$D$103,_xlfn.AGGREGATE(15,6,ROW($E$5:$E$103)/(($E$5:$E$103&lt;&gt;"p")*($E$5:$E$103&lt;&gt;"t")*(ROW($E$5:$E$103)&gt;ROW($E32))),1)-ROW($E$5)+1),$D32),"000")</f>
        <v>000000</v>
      </c>
      <c r="AK32" s="22">
        <f t="shared" si="2"/>
        <v>500</v>
      </c>
      <c r="AL32" s="22" cm="1">
        <f t="array" aca="1" ref="AL32" ca="1">IF(INDIRECT("$K"&amp;(ROW(R32)+$F$1-1))="TERMINAL",1000489,489)*SIGN(AK32)</f>
        <v>1000489</v>
      </c>
      <c r="AM32" s="7" cm="1">
        <f t="array" aca="1" ref="AM32" ca="1">IF(INDIRECT("$D"&amp;(ROW(R32)+$F$1-1))=0,AM31,$G32)</f>
        <v>8</v>
      </c>
      <c r="AN32" s="7" cm="1">
        <f t="array" aca="1" ref="AN32" ca="1">IF(INDIRECT("$D"&amp;(ROW(R32)+$F$1-1))=0,AN31,$G33)</f>
        <v>0</v>
      </c>
      <c r="AO32" s="7" cm="1">
        <f t="array" aca="1" ref="AO32" ca="1">IF(INDIRECT("$D"&amp;(ROW(R32)+$F$1-1))=0,AO31,$G34)</f>
        <v>0</v>
      </c>
      <c r="AP32" s="7" cm="1">
        <f t="array" aca="1" ref="AP32" ca="1">IF(INDIRECT("$D"&amp;(ROW(R32)+$F$1-1))=0,AP31,$G35)</f>
        <v>0</v>
      </c>
      <c r="AQ32" s="7" cm="1">
        <f t="array" aca="1" ref="AQ32" ca="1">IF(INDIRECT("$D"&amp;(ROW(R32)+$F$1-1))=0,AQ31,$G36)</f>
        <v>1</v>
      </c>
      <c r="AR32" s="7" cm="1">
        <f t="array" aca="1" ref="AR32" ca="1">IF(INDIRECT("$D"&amp;(ROW(R32)+$F$1-1))=0,AR31,$G37)</f>
        <v>0</v>
      </c>
      <c r="AS32" s="7" cm="1">
        <f t="array" aca="1" ref="AS32" ca="1">IF(INDIRECT("$D"&amp;(ROW(AS32)+$F$1-1))=0,AS31+4,1)</f>
        <v>37</v>
      </c>
      <c r="AT32" s="7" cm="1">
        <f t="array" aca="1" ref="AT32" ca="1">IF(INDIRECT("$D"&amp;(ROW(AT32)+$F$1-1))=0,AT31+4,2)</f>
        <v>38</v>
      </c>
      <c r="AU32" s="7" cm="1">
        <f t="array" aca="1" ref="AU32" ca="1">IF(INDIRECT("$D"&amp;(ROW(AU32)+$F$1-1))=0,AU31+4,3)</f>
        <v>39</v>
      </c>
      <c r="AV32" s="7" cm="1">
        <f t="array" aca="1" ref="AV32" ca="1">IF(INDIRECT("$D"&amp;(ROW(AV32)+$F$1-1))=0,AV31+4,4)</f>
        <v>40</v>
      </c>
      <c r="AW32" s="22" cm="1">
        <f t="array" aca="1" ref="AW32" ca="1">_xlfn.XLOOKUP(1,INDIRECT("J"&amp;ROW(K32)+$F$1):J$103,INDIRECT("D"&amp;ROW(K32)+$F$1):D$103,0,0,1)</f>
        <v>0</v>
      </c>
      <c r="AX32" s="22">
        <f t="shared" ca="1" si="3"/>
        <v>0</v>
      </c>
      <c r="AY32" s="22" cm="1">
        <f t="array" aca="1" ref="AY32" ca="1">_xlfn.XLOOKUP(AW32,D$4:D$110,H$4:H$110&amp;N$4:N$110&amp;O$4:O$110,0,0,1)</f>
        <v>0</v>
      </c>
      <c r="AZ32" s="22" cm="1">
        <f t="array" aca="1" ref="AZ32" ca="1">_xlfn.XLOOKUP(AW32,D$4:D$110,I$4:I$110&amp;P$4:P$110&amp;Q$4:Q$110,0,0,1)</f>
        <v>0</v>
      </c>
      <c r="BA32" s="14" cm="1">
        <f t="array" ref="BA32">_xlfn.XLOOKUP(1,J$4:J31,D$4:D31,0,0,-1)</f>
        <v>35</v>
      </c>
      <c r="BB32" s="14">
        <f t="shared" si="5"/>
        <v>1</v>
      </c>
      <c r="BC32" s="14" t="str" cm="1">
        <f t="array" ref="BC32">_xlfn.SWITCH(TRUE,_xlfn.XLOOKUP(BA32,D$4:D$110,TEXT(F$4:F$110,"HH"),0,0,1)="00",B30&amp;"",_xlfn.XLOOKUP(BA32,D$4:D$110,TEXT(F$4:F$110,"HH"),0,0,1)="T","00",TRUE,_xlfn.XLOOKUP(BA32,D$4:D$110,TEXT(F$4:F$110,"HH"),0,0,1))</f>
        <v>00</v>
      </c>
      <c r="BD32" s="14" t="str">
        <f t="shared" si="4"/>
        <v>000000</v>
      </c>
    </row>
    <row r="33" spans="1:56">
      <c r="A33" s="2">
        <v>30</v>
      </c>
      <c r="B33" s="5"/>
      <c r="C33" s="5"/>
      <c r="D33" s="5"/>
      <c r="E33" s="15"/>
      <c r="F33" s="15"/>
      <c r="G33" s="5"/>
      <c r="H33" s="5"/>
      <c r="I33" s="5"/>
      <c r="J33" s="5">
        <f t="shared" si="1"/>
        <v>0</v>
      </c>
      <c r="K33" s="7" t="str">
        <f t="shared" si="0"/>
        <v>terminal</v>
      </c>
      <c r="L33" s="7" t="str" cm="1">
        <f t="array" ref="L33">_xlfn.SWITCH(TRUE,$K33="PASS",TEXT($B$1,"0000"),AND($K33="STOP",E33=""),TEXT($D$1,"0000"),$K32="TERMINAL","0000",TRUE,TEXT(E33,"MMSS"))</f>
        <v>0000</v>
      </c>
      <c r="M33" s="7" t="str" cm="1">
        <f t="array" ref="M33">_xlfn.SWITCH(TRUE,$K33="PASS",TEXT($B$1,"0000"),AND($K33="STOP",F33=""),TEXT($D$1,"0000"),$K33="TERMINAL","0000",TRUE,TEXT(F33,"MMSS"))</f>
        <v>0000</v>
      </c>
      <c r="N33" t="str" cm="1">
        <f t="array" ref="N33">_xlfn.SWITCH(TRUE,AND(LEFT(L33,2)="00",K33="TERMINAL"),"00",E33="",TEXT(LEFT($D$1,2),"00"),LEFT(L33,2)="00",$D$2&amp;"",TRUE,LEFT(L33,2))</f>
        <v>00</v>
      </c>
      <c r="O33" t="str" cm="1">
        <f t="array" ref="O33">_xlfn.SWITCH(TRUE,AND(N33="00",RIGHT(L33,2)="00",K33="TERMINAL"),"00",OR(E33="",N33=LEFT($B$1,2)),TEXT(RIGHT($D$1,2),"00"),RIGHT(L33,2)="00",$D$2&amp;"",TRUE,RIGHT(L33,2))</f>
        <v>00</v>
      </c>
      <c r="P33" t="str" cm="1">
        <f t="array" ref="P33">_xlfn.SWITCH(TRUE,AND(LEFT(M33,2)="00",K33="TERMINAL"),"00",F33="",TEXT(LEFT($D$1,2),"00"),LEFT(M33,2)="00",$D$2&amp;"",TRUE,LEFT(M33,2))</f>
        <v>00</v>
      </c>
      <c r="Q33" t="str" cm="1">
        <f t="array" ref="Q33">_xlfn.SWITCH(TRUE,AND(RIGHT(M33,2)="00",K33="TERMINAL"),"00",F33="",TEXT(RIGHT($D$1,2),"00"),RIGHT(M33,2)="00",$D$2&amp;"",TRUE,RIGHT(M33,2))</f>
        <v>00</v>
      </c>
      <c r="R33" s="7" cm="1">
        <f t="array" aca="1" ref="R33" ca="1">IF(INDIRECT("$D"&amp;(ROW(R33)+$F$1-1))=0,R32,$D33)</f>
        <v>39</v>
      </c>
      <c r="S33" s="7" cm="1">
        <f t="array" aca="1" ref="S33" ca="1">IF(INDIRECT("$D"&amp;(ROW(R33)+$F$1-1))=0,S32,$D34)</f>
        <v>38</v>
      </c>
      <c r="T33" s="7" cm="1">
        <f t="array" aca="1" ref="T33" ca="1">IF(INDIRECT("$D"&amp;(ROW(R33)+$F$1-1))=0,T32,$D35)</f>
        <v>37</v>
      </c>
      <c r="U33" s="7" cm="1">
        <f t="array" aca="1" ref="U33" ca="1">IF(INDIRECT("$D"&amp;(ROW(R33)+$F$1-1))=0,U32,$D36)</f>
        <v>36</v>
      </c>
      <c r="V33" s="7" cm="1">
        <f t="array" aca="1" ref="V33" ca="1">IF(INDIRECT("$D"&amp;(ROW(R33)+$F$1-1))=0,V32,$D37)</f>
        <v>35</v>
      </c>
      <c r="W33" s="7" cm="1">
        <f t="array" aca="1" ref="W33" ca="1">IF(INDIRECT("$D"&amp;(ROW(R33)+$F$1-1))=0,W32,$D38)</f>
        <v>0</v>
      </c>
      <c r="X33" s="7" t="str" cm="1">
        <f t="array" aca="1" ref="X33" ca="1">IF(INDIRECT("$D"&amp;(ROW(R33)+$F$1-1))=0,X31,$H33&amp;$N33&amp;$O33)</f>
        <v>5160</v>
      </c>
      <c r="Y33" s="7" t="str" cm="1">
        <f t="array" aca="1" ref="Y33" ca="1">IF(INDIRECT("$D"&amp;(ROW(R33)+$F$1-1))=0,Y32,H34&amp;$N34&amp;$O34)</f>
        <v>5530</v>
      </c>
      <c r="Z33" s="7" t="str" cm="1">
        <f t="array" aca="1" ref="Z33" ca="1">IF(INDIRECT("$D"&amp;(ROW(R33)+$F$1-1))=0,Z32,H35&amp;$N35&amp;$O35)</f>
        <v>6030</v>
      </c>
      <c r="AA33" s="7" t="str" cm="1">
        <f t="array" aca="1" ref="AA33" ca="1">IF(INDIRECT("$D"&amp;(ROW(R33)+$F$1-1))=0,AA32,H36&amp;$N36&amp;$O36)</f>
        <v>0000</v>
      </c>
      <c r="AB33" s="7" t="str" cm="1">
        <f t="array" aca="1" ref="AB33" ca="1">IF(INDIRECT("$D"&amp;(ROW(R33)+$F$1-1))=0,AB32,H37&amp;$N37&amp;$O37)</f>
        <v>0560</v>
      </c>
      <c r="AC33" s="7" t="str" cm="1">
        <f t="array" aca="1" ref="AC33" ca="1">IF(INDIRECT("$D"&amp;(ROW(R33)+$F$1-1))=0,AC32,H38&amp;$N38&amp;$O38)</f>
        <v>0000</v>
      </c>
      <c r="AD33" s="7" t="str" cm="1">
        <f t="array" aca="1" ref="AD33" ca="1">IF(INDIRECT("$D"&amp;(ROW(R33)+$F$1-1))=0,AD32,I33&amp;$P33&amp;$Q33)</f>
        <v>5130</v>
      </c>
      <c r="AE33" s="7" t="str" cm="1">
        <f t="array" aca="1" ref="AE33" ca="1">IF(INDIRECT("$D"&amp;(ROW(R33)+$F$1-1))=0,AE32,I34&amp;$P34&amp;$Q34)</f>
        <v>5660</v>
      </c>
      <c r="AF33" s="7" t="str" cm="1">
        <f t="array" aca="1" ref="AF33" ca="1">IF(INDIRECT("$D"&amp;(ROW(R33)+$F$1-1))=0,AF32,I35&amp;$P35&amp;$Q35)</f>
        <v>0160</v>
      </c>
      <c r="AG33" s="7" t="str" cm="1">
        <f t="array" aca="1" ref="AG33" ca="1">IF(INDIRECT("$D"&amp;(ROW(R33)+$F$1-1))=0,AG32,I36&amp;$P36&amp;$Q36)</f>
        <v>0000</v>
      </c>
      <c r="AH33" s="7" t="str" cm="1">
        <f t="array" aca="1" ref="AH33" ca="1">IF(INDIRECT("$D"&amp;(ROW(R33)+$F$1-1))=0,AH32,I37&amp;$P37&amp;$Q37)</f>
        <v>0000</v>
      </c>
      <c r="AI33" s="7" t="str" cm="1">
        <f t="array" aca="1" ref="AI33" ca="1">IF(INDIRECT("$D"&amp;(ROW(R33)+$F$1-1))=0,AI32,I38&amp;$P38&amp;$Q38)</f>
        <v>0000</v>
      </c>
      <c r="AJ33" s="7" t="str" cm="1">
        <f t="array" ref="AJ33">TEXT($D33,"000")&amp;TEXT(IFERROR(INDEX($D$5:$D$103,_xlfn.AGGREGATE(15,6,ROW($E$5:$E$103)/(($E$5:$E$103&lt;&gt;"p")*($E$5:$E$103&lt;&gt;"t")*(ROW($E$5:$E$103)&gt;ROW($E33))),1)-ROW($E$5)+1),$D33),"000")</f>
        <v>000000</v>
      </c>
      <c r="AK33" s="22">
        <f t="shared" si="2"/>
        <v>500</v>
      </c>
      <c r="AL33" s="22" cm="1">
        <f t="array" aca="1" ref="AL33" ca="1">IF(INDIRECT("$K"&amp;(ROW(R33)+$F$1-1))="TERMINAL",1000489,489)*SIGN(AK33)</f>
        <v>1000489</v>
      </c>
      <c r="AM33" s="7" cm="1">
        <f t="array" aca="1" ref="AM33" ca="1">IF(INDIRECT("$D"&amp;(ROW(R33)+$F$1-1))=0,AM32,$G33)</f>
        <v>8</v>
      </c>
      <c r="AN33" s="7" cm="1">
        <f t="array" aca="1" ref="AN33" ca="1">IF(INDIRECT("$D"&amp;(ROW(R33)+$F$1-1))=0,AN32,$G34)</f>
        <v>0</v>
      </c>
      <c r="AO33" s="7" cm="1">
        <f t="array" aca="1" ref="AO33" ca="1">IF(INDIRECT("$D"&amp;(ROW(R33)+$F$1-1))=0,AO32,$G35)</f>
        <v>0</v>
      </c>
      <c r="AP33" s="7" cm="1">
        <f t="array" aca="1" ref="AP33" ca="1">IF(INDIRECT("$D"&amp;(ROW(R33)+$F$1-1))=0,AP32,$G36)</f>
        <v>0</v>
      </c>
      <c r="AQ33" s="7" cm="1">
        <f t="array" aca="1" ref="AQ33" ca="1">IF(INDIRECT("$D"&amp;(ROW(R33)+$F$1-1))=0,AQ32,$G37)</f>
        <v>1</v>
      </c>
      <c r="AR33" s="7" cm="1">
        <f t="array" aca="1" ref="AR33" ca="1">IF(INDIRECT("$D"&amp;(ROW(R33)+$F$1-1))=0,AR32,$G38)</f>
        <v>0</v>
      </c>
      <c r="AS33" s="7" cm="1">
        <f t="array" aca="1" ref="AS33" ca="1">IF(INDIRECT("$D"&amp;(ROW(AS33)+$F$1-1))=0,AS32+4,1)</f>
        <v>41</v>
      </c>
      <c r="AT33" s="7" cm="1">
        <f t="array" aca="1" ref="AT33" ca="1">IF(INDIRECT("$D"&amp;(ROW(AT33)+$F$1-1))=0,AT32+4,2)</f>
        <v>42</v>
      </c>
      <c r="AU33" s="7" cm="1">
        <f t="array" aca="1" ref="AU33" ca="1">IF(INDIRECT("$D"&amp;(ROW(AU33)+$F$1-1))=0,AU32+4,3)</f>
        <v>43</v>
      </c>
      <c r="AV33" s="7" cm="1">
        <f t="array" aca="1" ref="AV33" ca="1">IF(INDIRECT("$D"&amp;(ROW(AV33)+$F$1-1))=0,AV32+4,4)</f>
        <v>44</v>
      </c>
      <c r="AW33" s="22" cm="1">
        <f t="array" aca="1" ref="AW33" ca="1">_xlfn.XLOOKUP(1,INDIRECT("J"&amp;ROW(K33)+$F$1):J$103,INDIRECT("D"&amp;ROW(K33)+$F$1):D$103,0,0,1)</f>
        <v>0</v>
      </c>
      <c r="AX33" s="22">
        <f t="shared" ca="1" si="3"/>
        <v>0</v>
      </c>
      <c r="AY33" s="22" cm="1">
        <f t="array" aca="1" ref="AY33" ca="1">_xlfn.XLOOKUP(AW33,D$4:D$110,H$4:H$110&amp;N$4:N$110&amp;O$4:O$110,0,0,1)</f>
        <v>0</v>
      </c>
      <c r="AZ33" s="22" cm="1">
        <f t="array" aca="1" ref="AZ33" ca="1">_xlfn.XLOOKUP(AW33,D$4:D$110,I$4:I$110&amp;P$4:P$110&amp;Q$4:Q$110,0,0,1)</f>
        <v>0</v>
      </c>
      <c r="BA33" s="14" cm="1">
        <f t="array" ref="BA33">_xlfn.XLOOKUP(1,J$4:J32,D$4:D32,0,0,-1)</f>
        <v>35</v>
      </c>
      <c r="BB33" s="14">
        <f t="shared" si="5"/>
        <v>1</v>
      </c>
      <c r="BC33" s="14" t="str" cm="1">
        <f t="array" ref="BC33">_xlfn.SWITCH(TRUE,_xlfn.XLOOKUP(BA33,D$4:D$110,TEXT(F$4:F$110,"HH"),0,0,1)="00",B31&amp;"",_xlfn.XLOOKUP(BA33,D$4:D$110,TEXT(F$4:F$110,"HH"),0,0,1)="T","00",TRUE,_xlfn.XLOOKUP(BA33,D$4:D$110,TEXT(F$4:F$110,"HH"),0,0,1))</f>
        <v>00</v>
      </c>
      <c r="BD33" s="14" t="str">
        <f t="shared" si="4"/>
        <v>000000</v>
      </c>
    </row>
    <row r="34" spans="1:56">
      <c r="A34" s="2">
        <v>31</v>
      </c>
      <c r="B34" s="5"/>
      <c r="C34" s="5"/>
      <c r="D34" s="5"/>
      <c r="E34" s="5"/>
      <c r="F34" s="5"/>
      <c r="G34" s="5"/>
      <c r="H34" s="5"/>
      <c r="I34" s="5"/>
      <c r="J34" s="5">
        <f t="shared" si="1"/>
        <v>0</v>
      </c>
      <c r="K34" s="7" t="str">
        <f t="shared" si="0"/>
        <v>terminal</v>
      </c>
      <c r="L34" s="7" t="str" cm="1">
        <f t="array" ref="L34">_xlfn.SWITCH(TRUE,$K34="PASS",TEXT($B$1,"0000"),AND($K34="STOP",E34=""),TEXT($D$1,"0000"),$K33="TERMINAL","0000",TRUE,TEXT(E34,"MMSS"))</f>
        <v>0000</v>
      </c>
      <c r="M34" s="7" t="str" cm="1">
        <f t="array" ref="M34">_xlfn.SWITCH(TRUE,$K34="PASS",TEXT($B$1,"0000"),AND($K34="STOP",F34=""),TEXT($D$1,"0000"),$K34="TERMINAL","0000",TRUE,TEXT(F34,"MMSS"))</f>
        <v>0000</v>
      </c>
      <c r="N34" t="str" cm="1">
        <f t="array" ref="N34">_xlfn.SWITCH(TRUE,AND(LEFT(L34,2)="00",K34="TERMINAL"),"00",E34="",TEXT(LEFT($D$1,2),"00"),LEFT(L34,2)="00",$D$2&amp;"",TRUE,LEFT(L34,2))</f>
        <v>00</v>
      </c>
      <c r="O34" t="str" cm="1">
        <f t="array" ref="O34">_xlfn.SWITCH(TRUE,AND(N34="00",RIGHT(L34,2)="00",K34="TERMINAL"),"00",OR(E34="",N34=LEFT($B$1,2)),TEXT(RIGHT($D$1,2),"00"),RIGHT(L34,2)="00",$D$2&amp;"",TRUE,RIGHT(L34,2))</f>
        <v>00</v>
      </c>
      <c r="P34" t="str" cm="1">
        <f t="array" ref="P34">_xlfn.SWITCH(TRUE,AND(LEFT(M34,2)="00",K34="TERMINAL"),"00",F34="",TEXT(LEFT($D$1,2),"00"),LEFT(M34,2)="00",$D$2&amp;"",TRUE,LEFT(M34,2))</f>
        <v>00</v>
      </c>
      <c r="Q34" t="str" cm="1">
        <f t="array" ref="Q34">_xlfn.SWITCH(TRUE,AND(RIGHT(M34,2)="00",K34="TERMINAL"),"00",F34="",TEXT(RIGHT($D$1,2),"00"),RIGHT(M34,2)="00",$D$2&amp;"",TRUE,RIGHT(M34,2))</f>
        <v>00</v>
      </c>
      <c r="R34" s="7" cm="1">
        <f t="array" aca="1" ref="R34" ca="1">IF(INDIRECT("$D"&amp;(ROW(R34)+$F$1-1))=0,R33,$D34)</f>
        <v>39</v>
      </c>
      <c r="S34" s="7" cm="1">
        <f t="array" aca="1" ref="S34" ca="1">IF(INDIRECT("$D"&amp;(ROW(R34)+$F$1-1))=0,S33,$D35)</f>
        <v>38</v>
      </c>
      <c r="T34" s="7" cm="1">
        <f t="array" aca="1" ref="T34" ca="1">IF(INDIRECT("$D"&amp;(ROW(R34)+$F$1-1))=0,T33,$D36)</f>
        <v>37</v>
      </c>
      <c r="U34" s="7" cm="1">
        <f t="array" aca="1" ref="U34" ca="1">IF(INDIRECT("$D"&amp;(ROW(R34)+$F$1-1))=0,U33,$D37)</f>
        <v>36</v>
      </c>
      <c r="V34" s="7" cm="1">
        <f t="array" aca="1" ref="V34" ca="1">IF(INDIRECT("$D"&amp;(ROW(R34)+$F$1-1))=0,V33,$D38)</f>
        <v>35</v>
      </c>
      <c r="W34" s="7" cm="1">
        <f t="array" aca="1" ref="W34" ca="1">IF(INDIRECT("$D"&amp;(ROW(R34)+$F$1-1))=0,W33,$D39)</f>
        <v>0</v>
      </c>
      <c r="X34" s="7" t="str" cm="1">
        <f t="array" aca="1" ref="X34" ca="1">IF(INDIRECT("$D"&amp;(ROW(R34)+$F$1-1))=0,X32,$H34&amp;$N34&amp;$O34)</f>
        <v>4630</v>
      </c>
      <c r="Y34" s="7" t="str" cm="1">
        <f t="array" aca="1" ref="Y34" ca="1">IF(INDIRECT("$D"&amp;(ROW(R34)+$F$1-1))=0,Y33,H35&amp;$N35&amp;$O35)</f>
        <v>5530</v>
      </c>
      <c r="Z34" s="7" t="str" cm="1">
        <f t="array" aca="1" ref="Z34" ca="1">IF(INDIRECT("$D"&amp;(ROW(R34)+$F$1-1))=0,Z33,H36&amp;$N36&amp;$O36)</f>
        <v>6030</v>
      </c>
      <c r="AA34" s="7" t="str" cm="1">
        <f t="array" aca="1" ref="AA34" ca="1">IF(INDIRECT("$D"&amp;(ROW(R34)+$F$1-1))=0,AA33,H37&amp;$N37&amp;$O37)</f>
        <v>0000</v>
      </c>
      <c r="AB34" s="7" t="str" cm="1">
        <f t="array" aca="1" ref="AB34" ca="1">IF(INDIRECT("$D"&amp;(ROW(R34)+$F$1-1))=0,AB33,H38&amp;$N38&amp;$O38)</f>
        <v>0560</v>
      </c>
      <c r="AC34" s="7" t="str" cm="1">
        <f t="array" aca="1" ref="AC34" ca="1">IF(INDIRECT("$D"&amp;(ROW(R34)+$F$1-1))=0,AC33,H39&amp;$N39&amp;$O39)</f>
        <v>0000</v>
      </c>
      <c r="AD34" s="7" t="str" cm="1">
        <f t="array" aca="1" ref="AD34" ca="1">IF(INDIRECT("$D"&amp;(ROW(R34)+$F$1-1))=0,AD33,I34&amp;$P34&amp;$Q34)</f>
        <v>5130</v>
      </c>
      <c r="AE34" s="7" t="str" cm="1">
        <f t="array" aca="1" ref="AE34" ca="1">IF(INDIRECT("$D"&amp;(ROW(R34)+$F$1-1))=0,AE33,I35&amp;$P35&amp;$Q35)</f>
        <v>5660</v>
      </c>
      <c r="AF34" s="7" t="str" cm="1">
        <f t="array" aca="1" ref="AF34" ca="1">IF(INDIRECT("$D"&amp;(ROW(R34)+$F$1-1))=0,AF33,I36&amp;$P36&amp;$Q36)</f>
        <v>0160</v>
      </c>
      <c r="AG34" s="7" t="str" cm="1">
        <f t="array" aca="1" ref="AG34" ca="1">IF(INDIRECT("$D"&amp;(ROW(R34)+$F$1-1))=0,AG33,I37&amp;$P37&amp;$Q37)</f>
        <v>0000</v>
      </c>
      <c r="AH34" s="7" t="str" cm="1">
        <f t="array" aca="1" ref="AH34" ca="1">IF(INDIRECT("$D"&amp;(ROW(R34)+$F$1-1))=0,AH33,I38&amp;$P38&amp;$Q38)</f>
        <v>0000</v>
      </c>
      <c r="AI34" s="7" t="str" cm="1">
        <f t="array" aca="1" ref="AI34" ca="1">IF(INDIRECT("$D"&amp;(ROW(R34)+$F$1-1))=0,AI33,I39&amp;$P39&amp;$Q39)</f>
        <v>0000</v>
      </c>
      <c r="AJ34" s="7" t="str" cm="1">
        <f t="array" ref="AJ34">TEXT($D34,"000")&amp;TEXT(IFERROR(INDEX($D$5:$D$103,_xlfn.AGGREGATE(15,6,ROW($E$5:$E$103)/(($E$5:$E$103&lt;&gt;"p")*($E$5:$E$103&lt;&gt;"t")*(ROW($E$5:$E$103)&gt;ROW($E34))),1)-ROW($E$5)+1),$D34),"000")</f>
        <v>000000</v>
      </c>
      <c r="AK34" s="22">
        <f t="shared" si="2"/>
        <v>500</v>
      </c>
      <c r="AL34" s="22" cm="1">
        <f t="array" aca="1" ref="AL34" ca="1">IF(INDIRECT("$K"&amp;(ROW(R34)+$F$1-1))="TERMINAL",1000489,489)*SIGN(AK34)</f>
        <v>1000489</v>
      </c>
      <c r="AM34" s="7" cm="1">
        <f t="array" aca="1" ref="AM34" ca="1">IF(INDIRECT("$D"&amp;(ROW(R34)+$F$1-1))=0,AM33,$G34)</f>
        <v>8</v>
      </c>
      <c r="AN34" s="7" cm="1">
        <f t="array" aca="1" ref="AN34" ca="1">IF(INDIRECT("$D"&amp;(ROW(R34)+$F$1-1))=0,AN33,$G35)</f>
        <v>0</v>
      </c>
      <c r="AO34" s="7" cm="1">
        <f t="array" aca="1" ref="AO34" ca="1">IF(INDIRECT("$D"&amp;(ROW(R34)+$F$1-1))=0,AO33,$G36)</f>
        <v>0</v>
      </c>
      <c r="AP34" s="7" cm="1">
        <f t="array" aca="1" ref="AP34" ca="1">IF(INDIRECT("$D"&amp;(ROW(R34)+$F$1-1))=0,AP33,$G37)</f>
        <v>0</v>
      </c>
      <c r="AQ34" s="7" cm="1">
        <f t="array" aca="1" ref="AQ34" ca="1">IF(INDIRECT("$D"&amp;(ROW(R34)+$F$1-1))=0,AQ33,$G38)</f>
        <v>1</v>
      </c>
      <c r="AR34" s="7" cm="1">
        <f t="array" aca="1" ref="AR34" ca="1">IF(INDIRECT("$D"&amp;(ROW(R34)+$F$1-1))=0,AR33,$G39)</f>
        <v>0</v>
      </c>
      <c r="AS34" s="7" cm="1">
        <f t="array" aca="1" ref="AS34" ca="1">IF(INDIRECT("$D"&amp;(ROW(AS34)+$F$1-1))=0,AS33+4,1)</f>
        <v>45</v>
      </c>
      <c r="AT34" s="7" cm="1">
        <f t="array" aca="1" ref="AT34" ca="1">IF(INDIRECT("$D"&amp;(ROW(AT34)+$F$1-1))=0,AT33+4,2)</f>
        <v>46</v>
      </c>
      <c r="AU34" s="7" cm="1">
        <f t="array" aca="1" ref="AU34" ca="1">IF(INDIRECT("$D"&amp;(ROW(AU34)+$F$1-1))=0,AU33+4,3)</f>
        <v>47</v>
      </c>
      <c r="AV34" s="7" cm="1">
        <f t="array" aca="1" ref="AV34" ca="1">IF(INDIRECT("$D"&amp;(ROW(AV34)+$F$1-1))=0,AV33+4,4)</f>
        <v>48</v>
      </c>
      <c r="AW34" s="22" cm="1">
        <f t="array" aca="1" ref="AW34" ca="1">_xlfn.XLOOKUP(1,INDIRECT("J"&amp;ROW(K34)+$F$1):J$103,INDIRECT("D"&amp;ROW(K34)+$F$1):D$103,0,0,1)</f>
        <v>0</v>
      </c>
      <c r="AX34" s="22">
        <f t="shared" ca="1" si="3"/>
        <v>0</v>
      </c>
      <c r="AY34" s="22" cm="1">
        <f t="array" aca="1" ref="AY34" ca="1">_xlfn.XLOOKUP(AW34,D$4:D$110,H$4:H$110&amp;N$4:N$110&amp;O$4:O$110,0,0,1)</f>
        <v>0</v>
      </c>
      <c r="AZ34" s="22" cm="1">
        <f t="array" aca="1" ref="AZ34" ca="1">_xlfn.XLOOKUP(AW34,D$4:D$110,I$4:I$110&amp;P$4:P$110&amp;Q$4:Q$110,0,0,1)</f>
        <v>0</v>
      </c>
      <c r="BA34" s="14" cm="1">
        <f t="array" ref="BA34">_xlfn.XLOOKUP(1,J$4:J33,D$4:D33,0,0,-1)</f>
        <v>35</v>
      </c>
      <c r="BB34" s="14">
        <f t="shared" si="5"/>
        <v>1</v>
      </c>
      <c r="BC34" s="14" t="str" cm="1">
        <f t="array" ref="BC34">_xlfn.SWITCH(TRUE,_xlfn.XLOOKUP(BA34,D$4:D$110,TEXT(F$4:F$110,"HH"),0,0,1)="00",B32&amp;"",_xlfn.XLOOKUP(BA34,D$4:D$110,TEXT(F$4:F$110,"HH"),0,0,1)="T","00",TRUE,_xlfn.XLOOKUP(BA34,D$4:D$110,TEXT(F$4:F$110,"HH"),0,0,1))</f>
        <v>00</v>
      </c>
      <c r="BD34" s="14" t="str">
        <f t="shared" si="4"/>
        <v>000000</v>
      </c>
    </row>
    <row r="35" spans="1:56">
      <c r="A35" s="2">
        <v>32</v>
      </c>
      <c r="B35" s="5"/>
      <c r="C35" s="5"/>
      <c r="D35" s="5"/>
      <c r="E35" s="15"/>
      <c r="F35" s="5"/>
      <c r="G35" s="5"/>
      <c r="H35" s="5"/>
      <c r="I35" s="5"/>
      <c r="J35" s="5">
        <f t="shared" si="1"/>
        <v>0</v>
      </c>
      <c r="K35" s="7" t="str">
        <f t="shared" si="0"/>
        <v>terminal</v>
      </c>
      <c r="L35" s="7" t="str" cm="1">
        <f t="array" ref="L35">_xlfn.SWITCH(TRUE,$K35="PASS",TEXT($B$1,"0000"),AND($K35="STOP",E35=""),TEXT($D$1,"0000"),$K34="TERMINAL","0000",TRUE,TEXT(E35,"MMSS"))</f>
        <v>0000</v>
      </c>
      <c r="M35" s="7" t="str" cm="1">
        <f t="array" ref="M35">_xlfn.SWITCH(TRUE,$K35="PASS",TEXT($B$1,"0000"),AND($K35="STOP",F35=""),TEXT($D$1,"0000"),$K35="TERMINAL","0000",TRUE,TEXT(F35,"MMSS"))</f>
        <v>0000</v>
      </c>
      <c r="N35" t="str" cm="1">
        <f t="array" ref="N35">_xlfn.SWITCH(TRUE,AND(LEFT(L35,2)="00",K35="TERMINAL"),"00",E35="",TEXT(LEFT($D$1,2),"00"),LEFT(L35,2)="00",$D$2&amp;"",TRUE,LEFT(L35,2))</f>
        <v>00</v>
      </c>
      <c r="O35" t="str" cm="1">
        <f t="array" ref="O35">_xlfn.SWITCH(TRUE,AND(N35="00",RIGHT(L35,2)="00",K35="TERMINAL"),"00",OR(E35="",N35=LEFT($B$1,2)),TEXT(RIGHT($D$1,2),"00"),RIGHT(L35,2)="00",$D$2&amp;"",TRUE,RIGHT(L35,2))</f>
        <v>00</v>
      </c>
      <c r="P35" t="str" cm="1">
        <f t="array" ref="P35">_xlfn.SWITCH(TRUE,AND(LEFT(M35,2)="00",K35="TERMINAL"),"00",F35="",TEXT(LEFT($D$1,2),"00"),LEFT(M35,2)="00",$D$2&amp;"",TRUE,LEFT(M35,2))</f>
        <v>00</v>
      </c>
      <c r="Q35" t="str" cm="1">
        <f t="array" ref="Q35">_xlfn.SWITCH(TRUE,AND(RIGHT(M35,2)="00",K35="TERMINAL"),"00",F35="",TEXT(RIGHT($D$1,2),"00"),RIGHT(M35,2)="00",$D$2&amp;"",TRUE,RIGHT(M35,2))</f>
        <v>00</v>
      </c>
      <c r="R35" s="7" cm="1">
        <f t="array" aca="1" ref="R35" ca="1">IF(INDIRECT("$D"&amp;(ROW(R35)+$F$1-1))=0,R34,$D35)</f>
        <v>39</v>
      </c>
      <c r="S35" s="7" cm="1">
        <f t="array" aca="1" ref="S35" ca="1">IF(INDIRECT("$D"&amp;(ROW(R35)+$F$1-1))=0,S34,$D36)</f>
        <v>38</v>
      </c>
      <c r="T35" s="7" cm="1">
        <f t="array" aca="1" ref="T35" ca="1">IF(INDIRECT("$D"&amp;(ROW(R35)+$F$1-1))=0,T34,$D37)</f>
        <v>37</v>
      </c>
      <c r="U35" s="7" cm="1">
        <f t="array" aca="1" ref="U35" ca="1">IF(INDIRECT("$D"&amp;(ROW(R35)+$F$1-1))=0,U34,$D38)</f>
        <v>36</v>
      </c>
      <c r="V35" s="7" cm="1">
        <f t="array" aca="1" ref="V35" ca="1">IF(INDIRECT("$D"&amp;(ROW(R35)+$F$1-1))=0,V34,$D39)</f>
        <v>35</v>
      </c>
      <c r="W35" s="7" cm="1">
        <f t="array" aca="1" ref="W35" ca="1">IF(INDIRECT("$D"&amp;(ROW(R35)+$F$1-1))=0,W34,$D40)</f>
        <v>0</v>
      </c>
      <c r="X35" s="7" t="str" cm="1">
        <f t="array" aca="1" ref="X35" ca="1">IF(INDIRECT("$D"&amp;(ROW(R35)+$F$1-1))=0,X33,$H35&amp;$N35&amp;$O35)</f>
        <v>5160</v>
      </c>
      <c r="Y35" s="7" t="str" cm="1">
        <f t="array" aca="1" ref="Y35" ca="1">IF(INDIRECT("$D"&amp;(ROW(R35)+$F$1-1))=0,Y34,H36&amp;$N36&amp;$O36)</f>
        <v>5530</v>
      </c>
      <c r="Z35" s="7" t="str" cm="1">
        <f t="array" aca="1" ref="Z35" ca="1">IF(INDIRECT("$D"&amp;(ROW(R35)+$F$1-1))=0,Z34,H37&amp;$N37&amp;$O37)</f>
        <v>6030</v>
      </c>
      <c r="AA35" s="7" t="str" cm="1">
        <f t="array" aca="1" ref="AA35" ca="1">IF(INDIRECT("$D"&amp;(ROW(R35)+$F$1-1))=0,AA34,H38&amp;$N38&amp;$O38)</f>
        <v>0000</v>
      </c>
      <c r="AB35" s="7" t="str" cm="1">
        <f t="array" aca="1" ref="AB35" ca="1">IF(INDIRECT("$D"&amp;(ROW(R35)+$F$1-1))=0,AB34,H39&amp;$N39&amp;$O39)</f>
        <v>0560</v>
      </c>
      <c r="AC35" s="7" t="str" cm="1">
        <f t="array" aca="1" ref="AC35" ca="1">IF(INDIRECT("$D"&amp;(ROW(R35)+$F$1-1))=0,AC34,H40&amp;$N40&amp;$O40)</f>
        <v>0000</v>
      </c>
      <c r="AD35" s="7" t="str" cm="1">
        <f t="array" aca="1" ref="AD35" ca="1">IF(INDIRECT("$D"&amp;(ROW(R35)+$F$1-1))=0,AD34,I35&amp;$P35&amp;$Q35)</f>
        <v>5130</v>
      </c>
      <c r="AE35" s="7" t="str" cm="1">
        <f t="array" aca="1" ref="AE35" ca="1">IF(INDIRECT("$D"&amp;(ROW(R35)+$F$1-1))=0,AE34,I36&amp;$P36&amp;$Q36)</f>
        <v>5660</v>
      </c>
      <c r="AF35" s="7" t="str" cm="1">
        <f t="array" aca="1" ref="AF35" ca="1">IF(INDIRECT("$D"&amp;(ROW(R35)+$F$1-1))=0,AF34,I37&amp;$P37&amp;$Q37)</f>
        <v>0160</v>
      </c>
      <c r="AG35" s="7" t="str" cm="1">
        <f t="array" aca="1" ref="AG35" ca="1">IF(INDIRECT("$D"&amp;(ROW(R35)+$F$1-1))=0,AG34,I38&amp;$P38&amp;$Q38)</f>
        <v>0000</v>
      </c>
      <c r="AH35" s="7" t="str" cm="1">
        <f t="array" aca="1" ref="AH35" ca="1">IF(INDIRECT("$D"&amp;(ROW(R35)+$F$1-1))=0,AH34,I39&amp;$P39&amp;$Q39)</f>
        <v>0000</v>
      </c>
      <c r="AI35" s="7" t="str" cm="1">
        <f t="array" aca="1" ref="AI35" ca="1">IF(INDIRECT("$D"&amp;(ROW(R35)+$F$1-1))=0,AI34,I40&amp;$P40&amp;$Q40)</f>
        <v>0000</v>
      </c>
      <c r="AJ35" s="7" t="str" cm="1">
        <f t="array" ref="AJ35">TEXT($D35,"000")&amp;TEXT(IFERROR(INDEX($D$5:$D$103,_xlfn.AGGREGATE(15,6,ROW($E$5:$E$103)/(($E$5:$E$103&lt;&gt;"p")*($E$5:$E$103&lt;&gt;"t")*(ROW($E$5:$E$103)&gt;ROW($E35))),1)-ROW($E$5)+1),$D35),"000")</f>
        <v>000000</v>
      </c>
      <c r="AK35" s="22">
        <f t="shared" si="2"/>
        <v>500</v>
      </c>
      <c r="AL35" s="22" cm="1">
        <f t="array" aca="1" ref="AL35" ca="1">IF(INDIRECT("$K"&amp;(ROW(R35)+$F$1-1))="TERMINAL",1000489,489)*SIGN(AK35)</f>
        <v>1000489</v>
      </c>
      <c r="AM35" s="7" cm="1">
        <f t="array" aca="1" ref="AM35" ca="1">IF(INDIRECT("$D"&amp;(ROW(R35)+$F$1-1))=0,AM34,$G35)</f>
        <v>8</v>
      </c>
      <c r="AN35" s="7" cm="1">
        <f t="array" aca="1" ref="AN35" ca="1">IF(INDIRECT("$D"&amp;(ROW(R35)+$F$1-1))=0,AN34,$G36)</f>
        <v>0</v>
      </c>
      <c r="AO35" s="7" cm="1">
        <f t="array" aca="1" ref="AO35" ca="1">IF(INDIRECT("$D"&amp;(ROW(R35)+$F$1-1))=0,AO34,$G37)</f>
        <v>0</v>
      </c>
      <c r="AP35" s="7" cm="1">
        <f t="array" aca="1" ref="AP35" ca="1">IF(INDIRECT("$D"&amp;(ROW(R35)+$F$1-1))=0,AP34,$G38)</f>
        <v>0</v>
      </c>
      <c r="AQ35" s="7" cm="1">
        <f t="array" aca="1" ref="AQ35" ca="1">IF(INDIRECT("$D"&amp;(ROW(R35)+$F$1-1))=0,AQ34,$G39)</f>
        <v>1</v>
      </c>
      <c r="AR35" s="7" cm="1">
        <f t="array" aca="1" ref="AR35" ca="1">IF(INDIRECT("$D"&amp;(ROW(R35)+$F$1-1))=0,AR34,$G40)</f>
        <v>0</v>
      </c>
      <c r="AS35" s="7" cm="1">
        <f t="array" aca="1" ref="AS35" ca="1">IF(INDIRECT("$D"&amp;(ROW(AS35)+$F$1-1))=0,AS34+4,1)</f>
        <v>49</v>
      </c>
      <c r="AT35" s="7" cm="1">
        <f t="array" aca="1" ref="AT35" ca="1">IF(INDIRECT("$D"&amp;(ROW(AT35)+$F$1-1))=0,AT34+4,2)</f>
        <v>50</v>
      </c>
      <c r="AU35" s="7" cm="1">
        <f t="array" aca="1" ref="AU35" ca="1">IF(INDIRECT("$D"&amp;(ROW(AU35)+$F$1-1))=0,AU34+4,3)</f>
        <v>51</v>
      </c>
      <c r="AV35" s="7" cm="1">
        <f t="array" aca="1" ref="AV35" ca="1">IF(INDIRECT("$D"&amp;(ROW(AV35)+$F$1-1))=0,AV34+4,4)</f>
        <v>52</v>
      </c>
      <c r="AW35" s="22" cm="1">
        <f t="array" aca="1" ref="AW35" ca="1">_xlfn.XLOOKUP(1,INDIRECT("J"&amp;ROW(K35)+$F$1):J$103,INDIRECT("D"&amp;ROW(K35)+$F$1):D$103,0,0,1)</f>
        <v>0</v>
      </c>
      <c r="AX35" s="22">
        <f t="shared" ca="1" si="3"/>
        <v>0</v>
      </c>
      <c r="AY35" s="22" cm="1">
        <f t="array" aca="1" ref="AY35" ca="1">_xlfn.XLOOKUP(AW35,D$4:D$110,H$4:H$110&amp;N$4:N$110&amp;O$4:O$110,0,0,1)</f>
        <v>0</v>
      </c>
      <c r="AZ35" s="22" cm="1">
        <f t="array" aca="1" ref="AZ35" ca="1">_xlfn.XLOOKUP(AW35,D$4:D$110,I$4:I$110&amp;P$4:P$110&amp;Q$4:Q$110,0,0,1)</f>
        <v>0</v>
      </c>
      <c r="BA35" s="14" cm="1">
        <f t="array" ref="BA35">_xlfn.XLOOKUP(1,J$4:J34,D$4:D34,0,0,-1)</f>
        <v>35</v>
      </c>
      <c r="BB35" s="14">
        <f t="shared" si="5"/>
        <v>1</v>
      </c>
      <c r="BC35" s="14" t="str" cm="1">
        <f t="array" ref="BC35">_xlfn.SWITCH(TRUE,_xlfn.XLOOKUP(BA35,D$4:D$110,TEXT(F$4:F$110,"HH"),0,0,1)="00",B33&amp;"",_xlfn.XLOOKUP(BA35,D$4:D$110,TEXT(F$4:F$110,"HH"),0,0,1)="T","00",TRUE,_xlfn.XLOOKUP(BA35,D$4:D$110,TEXT(F$4:F$110,"HH"),0,0,1))</f>
        <v>00</v>
      </c>
      <c r="BD35" s="14" t="str">
        <f t="shared" si="4"/>
        <v>000000</v>
      </c>
    </row>
    <row r="36" spans="1:56">
      <c r="A36" s="2">
        <v>33</v>
      </c>
      <c r="B36" s="5"/>
      <c r="C36" s="5"/>
      <c r="D36" s="5"/>
      <c r="E36" s="5"/>
      <c r="F36" s="15"/>
      <c r="G36" s="5"/>
      <c r="H36" s="5"/>
      <c r="I36" s="5"/>
      <c r="J36" s="5">
        <f t="shared" si="1"/>
        <v>0</v>
      </c>
      <c r="K36" s="7" t="str">
        <f t="shared" si="0"/>
        <v>terminal</v>
      </c>
      <c r="L36" s="7" t="str" cm="1">
        <f t="array" ref="L36">_xlfn.SWITCH(TRUE,$K36="PASS",TEXT($B$1,"0000"),AND($K36="STOP",E36=""),TEXT($D$1,"0000"),$K35="TERMINAL","0000",TRUE,TEXT(E36,"MMSS"))</f>
        <v>0000</v>
      </c>
      <c r="M36" s="7" t="str" cm="1">
        <f t="array" ref="M36">_xlfn.SWITCH(TRUE,$K36="PASS",TEXT($B$1,"0000"),AND($K36="STOP",F36=""),TEXT($D$1,"0000"),$K36="TERMINAL","0000",TRUE,TEXT(F36,"MMSS"))</f>
        <v>0000</v>
      </c>
      <c r="N36" t="str" cm="1">
        <f t="array" ref="N36">_xlfn.SWITCH(TRUE,AND(LEFT(L36,2)="00",K36="TERMINAL"),"00",E36="",TEXT(LEFT($D$1,2),"00"),LEFT(L36,2)="00",$D$2&amp;"",TRUE,LEFT(L36,2))</f>
        <v>00</v>
      </c>
      <c r="O36" t="str" cm="1">
        <f t="array" ref="O36">_xlfn.SWITCH(TRUE,AND(N36="00",RIGHT(L36,2)="00",K36="TERMINAL"),"00",OR(E36="",N36=LEFT($B$1,2)),TEXT(RIGHT($D$1,2),"00"),RIGHT(L36,2)="00",$D$2&amp;"",TRUE,RIGHT(L36,2))</f>
        <v>00</v>
      </c>
      <c r="P36" t="str" cm="1">
        <f t="array" ref="P36">_xlfn.SWITCH(TRUE,AND(LEFT(M36,2)="00",K36="TERMINAL"),"00",F36="",TEXT(LEFT($D$1,2),"00"),LEFT(M36,2)="00",$D$2&amp;"",TRUE,LEFT(M36,2))</f>
        <v>00</v>
      </c>
      <c r="Q36" t="str" cm="1">
        <f t="array" ref="Q36">_xlfn.SWITCH(TRUE,AND(RIGHT(M36,2)="00",K36="TERMINAL"),"00",F36="",TEXT(RIGHT($D$1,2),"00"),RIGHT(M36,2)="00",$D$2&amp;"",TRUE,RIGHT(M36,2))</f>
        <v>00</v>
      </c>
      <c r="R36" s="7" cm="1">
        <f t="array" aca="1" ref="R36" ca="1">IF(INDIRECT("$D"&amp;(ROW(R36)+$F$1-1))=0,R35,$D36)</f>
        <v>39</v>
      </c>
      <c r="S36" s="7" cm="1">
        <f t="array" aca="1" ref="S36" ca="1">IF(INDIRECT("$D"&amp;(ROW(R36)+$F$1-1))=0,S35,$D37)</f>
        <v>38</v>
      </c>
      <c r="T36" s="7" cm="1">
        <f t="array" aca="1" ref="T36" ca="1">IF(INDIRECT("$D"&amp;(ROW(R36)+$F$1-1))=0,T35,$D38)</f>
        <v>37</v>
      </c>
      <c r="U36" s="7" cm="1">
        <f t="array" aca="1" ref="U36" ca="1">IF(INDIRECT("$D"&amp;(ROW(R36)+$F$1-1))=0,U35,$D39)</f>
        <v>36</v>
      </c>
      <c r="V36" s="7" cm="1">
        <f t="array" aca="1" ref="V36" ca="1">IF(INDIRECT("$D"&amp;(ROW(R36)+$F$1-1))=0,V35,$D40)</f>
        <v>35</v>
      </c>
      <c r="W36" s="7" cm="1">
        <f t="array" aca="1" ref="W36" ca="1">IF(INDIRECT("$D"&amp;(ROW(R36)+$F$1-1))=0,W35,$D41)</f>
        <v>0</v>
      </c>
      <c r="X36" s="7" t="str" cm="1">
        <f t="array" aca="1" ref="X36" ca="1">IF(INDIRECT("$D"&amp;(ROW(R36)+$F$1-1))=0,X34,$H36&amp;$N36&amp;$O36)</f>
        <v>4630</v>
      </c>
      <c r="Y36" s="7" t="str" cm="1">
        <f t="array" aca="1" ref="Y36" ca="1">IF(INDIRECT("$D"&amp;(ROW(R36)+$F$1-1))=0,Y35,H37&amp;$N37&amp;$O37)</f>
        <v>5530</v>
      </c>
      <c r="Z36" s="7" t="str" cm="1">
        <f t="array" aca="1" ref="Z36" ca="1">IF(INDIRECT("$D"&amp;(ROW(R36)+$F$1-1))=0,Z35,H38&amp;$N38&amp;$O38)</f>
        <v>6030</v>
      </c>
      <c r="AA36" s="7" t="str" cm="1">
        <f t="array" aca="1" ref="AA36" ca="1">IF(INDIRECT("$D"&amp;(ROW(R36)+$F$1-1))=0,AA35,H39&amp;$N39&amp;$O39)</f>
        <v>0000</v>
      </c>
      <c r="AB36" s="7" t="str" cm="1">
        <f t="array" aca="1" ref="AB36" ca="1">IF(INDIRECT("$D"&amp;(ROW(R36)+$F$1-1))=0,AB35,H40&amp;$N40&amp;$O40)</f>
        <v>0560</v>
      </c>
      <c r="AC36" s="7" t="str" cm="1">
        <f t="array" aca="1" ref="AC36" ca="1">IF(INDIRECT("$D"&amp;(ROW(R36)+$F$1-1))=0,AC35,H41&amp;$N41&amp;$O41)</f>
        <v>0000</v>
      </c>
      <c r="AD36" s="7" t="str" cm="1">
        <f t="array" aca="1" ref="AD36" ca="1">IF(INDIRECT("$D"&amp;(ROW(R36)+$F$1-1))=0,AD35,I36&amp;$P36&amp;$Q36)</f>
        <v>5130</v>
      </c>
      <c r="AE36" s="7" t="str" cm="1">
        <f t="array" aca="1" ref="AE36" ca="1">IF(INDIRECT("$D"&amp;(ROW(R36)+$F$1-1))=0,AE35,I37&amp;$P37&amp;$Q37)</f>
        <v>5660</v>
      </c>
      <c r="AF36" s="7" t="str" cm="1">
        <f t="array" aca="1" ref="AF36" ca="1">IF(INDIRECT("$D"&amp;(ROW(R36)+$F$1-1))=0,AF35,I38&amp;$P38&amp;$Q38)</f>
        <v>0160</v>
      </c>
      <c r="AG36" s="7" t="str" cm="1">
        <f t="array" aca="1" ref="AG36" ca="1">IF(INDIRECT("$D"&amp;(ROW(R36)+$F$1-1))=0,AG35,I39&amp;$P39&amp;$Q39)</f>
        <v>0000</v>
      </c>
      <c r="AH36" s="7" t="str" cm="1">
        <f t="array" aca="1" ref="AH36" ca="1">IF(INDIRECT("$D"&amp;(ROW(R36)+$F$1-1))=0,AH35,I40&amp;$P40&amp;$Q40)</f>
        <v>0000</v>
      </c>
      <c r="AI36" s="7" t="str" cm="1">
        <f t="array" aca="1" ref="AI36" ca="1">IF(INDIRECT("$D"&amp;(ROW(R36)+$F$1-1))=0,AI35,I41&amp;$P41&amp;$Q41)</f>
        <v>0000</v>
      </c>
      <c r="AJ36" s="7" t="str" cm="1">
        <f t="array" ref="AJ36">TEXT($D36,"000")&amp;TEXT(IFERROR(INDEX($D$5:$D$103,_xlfn.AGGREGATE(15,6,ROW($E$5:$E$103)/(($E$5:$E$103&lt;&gt;"p")*($E$5:$E$103&lt;&gt;"t")*(ROW($E$5:$E$103)&gt;ROW($E36))),1)-ROW($E$5)+1),$D36),"000")</f>
        <v>000000</v>
      </c>
      <c r="AK36" s="22">
        <f t="shared" si="2"/>
        <v>500</v>
      </c>
      <c r="AL36" s="22" cm="1">
        <f t="array" aca="1" ref="AL36" ca="1">IF(INDIRECT("$K"&amp;(ROW(R36)+$F$1-1))="TERMINAL",1000489,489)*SIGN(AK36)</f>
        <v>1000489</v>
      </c>
      <c r="AM36" s="7" cm="1">
        <f t="array" aca="1" ref="AM36" ca="1">IF(INDIRECT("$D"&amp;(ROW(R36)+$F$1-1))=0,AM35,$G36)</f>
        <v>8</v>
      </c>
      <c r="AN36" s="7" cm="1">
        <f t="array" aca="1" ref="AN36" ca="1">IF(INDIRECT("$D"&amp;(ROW(R36)+$F$1-1))=0,AN35,$G37)</f>
        <v>0</v>
      </c>
      <c r="AO36" s="7" cm="1">
        <f t="array" aca="1" ref="AO36" ca="1">IF(INDIRECT("$D"&amp;(ROW(R36)+$F$1-1))=0,AO35,$G38)</f>
        <v>0</v>
      </c>
      <c r="AP36" s="7" cm="1">
        <f t="array" aca="1" ref="AP36" ca="1">IF(INDIRECT("$D"&amp;(ROW(R36)+$F$1-1))=0,AP35,$G39)</f>
        <v>0</v>
      </c>
      <c r="AQ36" s="7" cm="1">
        <f t="array" aca="1" ref="AQ36" ca="1">IF(INDIRECT("$D"&amp;(ROW(R36)+$F$1-1))=0,AQ35,$G40)</f>
        <v>1</v>
      </c>
      <c r="AR36" s="7" cm="1">
        <f t="array" aca="1" ref="AR36" ca="1">IF(INDIRECT("$D"&amp;(ROW(R36)+$F$1-1))=0,AR35,$G41)</f>
        <v>0</v>
      </c>
      <c r="AS36" s="7" cm="1">
        <f t="array" aca="1" ref="AS36" ca="1">IF(INDIRECT("$D"&amp;(ROW(AS36)+$F$1-1))=0,AS35+4,1)</f>
        <v>53</v>
      </c>
      <c r="AT36" s="7" cm="1">
        <f t="array" aca="1" ref="AT36" ca="1">IF(INDIRECT("$D"&amp;(ROW(AT36)+$F$1-1))=0,AT35+4,2)</f>
        <v>54</v>
      </c>
      <c r="AU36" s="7" cm="1">
        <f t="array" aca="1" ref="AU36" ca="1">IF(INDIRECT("$D"&amp;(ROW(AU36)+$F$1-1))=0,AU35+4,3)</f>
        <v>55</v>
      </c>
      <c r="AV36" s="7" cm="1">
        <f t="array" aca="1" ref="AV36" ca="1">IF(INDIRECT("$D"&amp;(ROW(AV36)+$F$1-1))=0,AV35+4,4)</f>
        <v>56</v>
      </c>
      <c r="AW36" s="22" cm="1">
        <f t="array" aca="1" ref="AW36" ca="1">_xlfn.XLOOKUP(1,INDIRECT("J"&amp;ROW(K36)+$F$1):J$103,INDIRECT("D"&amp;ROW(K36)+$F$1):D$103,0,0,1)</f>
        <v>0</v>
      </c>
      <c r="AX36" s="22">
        <f t="shared" ca="1" si="3"/>
        <v>0</v>
      </c>
      <c r="AY36" s="22" cm="1">
        <f t="array" aca="1" ref="AY36" ca="1">_xlfn.XLOOKUP(AW36,D$4:D$110,H$4:H$110&amp;N$4:N$110&amp;O$4:O$110,0,0,1)</f>
        <v>0</v>
      </c>
      <c r="AZ36" s="22" cm="1">
        <f t="array" aca="1" ref="AZ36" ca="1">_xlfn.XLOOKUP(AW36,D$4:D$110,I$4:I$110&amp;P$4:P$110&amp;Q$4:Q$110,0,0,1)</f>
        <v>0</v>
      </c>
      <c r="BA36" s="14" cm="1">
        <f t="array" ref="BA36">_xlfn.XLOOKUP(1,J$4:J35,D$4:D35,0,0,-1)</f>
        <v>35</v>
      </c>
      <c r="BB36" s="14">
        <f t="shared" si="5"/>
        <v>1</v>
      </c>
      <c r="BC36" s="14" t="str" cm="1">
        <f t="array" ref="BC36">_xlfn.SWITCH(TRUE,_xlfn.XLOOKUP(BA36,D$4:D$110,TEXT(F$4:F$110,"HH"),0,0,1)="00",B34&amp;"",_xlfn.XLOOKUP(BA36,D$4:D$110,TEXT(F$4:F$110,"HH"),0,0,1)="T","00",TRUE,_xlfn.XLOOKUP(BA36,D$4:D$110,TEXT(F$4:F$110,"HH"),0,0,1))</f>
        <v>00</v>
      </c>
      <c r="BD36" s="14" t="str">
        <f t="shared" si="4"/>
        <v>000000</v>
      </c>
    </row>
    <row r="37" spans="1:56">
      <c r="A37" s="2">
        <v>34</v>
      </c>
      <c r="B37" s="5"/>
      <c r="C37" s="5"/>
      <c r="D37" s="5"/>
      <c r="E37" s="5"/>
      <c r="F37" s="5"/>
      <c r="G37" s="5"/>
      <c r="H37" s="5"/>
      <c r="I37" s="5"/>
      <c r="J37" s="5">
        <f t="shared" si="1"/>
        <v>0</v>
      </c>
      <c r="K37" s="7" t="str">
        <f t="shared" si="0"/>
        <v>terminal</v>
      </c>
      <c r="L37" s="7" t="str" cm="1">
        <f t="array" ref="L37">_xlfn.SWITCH(TRUE,$K37="PASS",TEXT($B$1,"0000"),AND($K37="STOP",E37=""),TEXT($D$1,"0000"),$K36="TERMINAL","0000",TRUE,TEXT(E37,"MMSS"))</f>
        <v>0000</v>
      </c>
      <c r="M37" s="7" t="str" cm="1">
        <f t="array" ref="M37">_xlfn.SWITCH(TRUE,$K37="PASS",TEXT($B$1,"0000"),AND($K37="STOP",F37=""),TEXT($D$1,"0000"),$K37="TERMINAL","0000",TRUE,TEXT(F37,"MMSS"))</f>
        <v>0000</v>
      </c>
      <c r="N37" t="str" cm="1">
        <f t="array" ref="N37">_xlfn.SWITCH(TRUE,AND(LEFT(L37,2)="00",K37="TERMINAL"),"00",E37="",TEXT(LEFT($D$1,2),"00"),LEFT(L37,2)="00",$D$2&amp;"",TRUE,LEFT(L37,2))</f>
        <v>00</v>
      </c>
      <c r="O37" t="str" cm="1">
        <f t="array" ref="O37">_xlfn.SWITCH(TRUE,AND(N37="00",RIGHT(L37,2)="00",K37="TERMINAL"),"00",OR(E37="",N37=LEFT($B$1,2)),TEXT(RIGHT($D$1,2),"00"),RIGHT(L37,2)="00",$D$2&amp;"",TRUE,RIGHT(L37,2))</f>
        <v>00</v>
      </c>
      <c r="P37" t="str" cm="1">
        <f t="array" ref="P37">_xlfn.SWITCH(TRUE,AND(LEFT(M37,2)="00",K37="TERMINAL"),"00",F37="",TEXT(LEFT($D$1,2),"00"),LEFT(M37,2)="00",$D$2&amp;"",TRUE,LEFT(M37,2))</f>
        <v>00</v>
      </c>
      <c r="Q37" t="str" cm="1">
        <f t="array" ref="Q37">_xlfn.SWITCH(TRUE,AND(RIGHT(M37,2)="00",K37="TERMINAL"),"00",F37="",TEXT(RIGHT($D$1,2),"00"),RIGHT(M37,2)="00",$D$2&amp;"",TRUE,RIGHT(M37,2))</f>
        <v>00</v>
      </c>
      <c r="R37" s="7" cm="1">
        <f t="array" aca="1" ref="R37" ca="1">IF(INDIRECT("$D"&amp;(ROW(R37)+$F$1-1))=0,R36,$D37)</f>
        <v>39</v>
      </c>
      <c r="S37" s="7" cm="1">
        <f t="array" aca="1" ref="S37" ca="1">IF(INDIRECT("$D"&amp;(ROW(R37)+$F$1-1))=0,S36,$D38)</f>
        <v>38</v>
      </c>
      <c r="T37" s="7" cm="1">
        <f t="array" aca="1" ref="T37" ca="1">IF(INDIRECT("$D"&amp;(ROW(R37)+$F$1-1))=0,T36,$D39)</f>
        <v>37</v>
      </c>
      <c r="U37" s="7" cm="1">
        <f t="array" aca="1" ref="U37" ca="1">IF(INDIRECT("$D"&amp;(ROW(R37)+$F$1-1))=0,U36,$D40)</f>
        <v>36</v>
      </c>
      <c r="V37" s="7" cm="1">
        <f t="array" aca="1" ref="V37" ca="1">IF(INDIRECT("$D"&amp;(ROW(R37)+$F$1-1))=0,V36,$D41)</f>
        <v>35</v>
      </c>
      <c r="W37" s="7" cm="1">
        <f t="array" aca="1" ref="W37" ca="1">IF(INDIRECT("$D"&amp;(ROW(R37)+$F$1-1))=0,W36,$D42)</f>
        <v>0</v>
      </c>
      <c r="X37" s="7" t="str" cm="1">
        <f t="array" aca="1" ref="X37" ca="1">IF(INDIRECT("$D"&amp;(ROW(R37)+$F$1-1))=0,X35,$H37&amp;$N37&amp;$O37)</f>
        <v>5160</v>
      </c>
      <c r="Y37" s="7" t="str" cm="1">
        <f t="array" aca="1" ref="Y37" ca="1">IF(INDIRECT("$D"&amp;(ROW(R37)+$F$1-1))=0,Y36,H38&amp;$N38&amp;$O38)</f>
        <v>5530</v>
      </c>
      <c r="Z37" s="7" t="str" cm="1">
        <f t="array" aca="1" ref="Z37" ca="1">IF(INDIRECT("$D"&amp;(ROW(R37)+$F$1-1))=0,Z36,H39&amp;$N39&amp;$O39)</f>
        <v>6030</v>
      </c>
      <c r="AA37" s="7" t="str" cm="1">
        <f t="array" aca="1" ref="AA37" ca="1">IF(INDIRECT("$D"&amp;(ROW(R37)+$F$1-1))=0,AA36,H40&amp;$N40&amp;$O40)</f>
        <v>0000</v>
      </c>
      <c r="AB37" s="7" t="str" cm="1">
        <f t="array" aca="1" ref="AB37" ca="1">IF(INDIRECT("$D"&amp;(ROW(R37)+$F$1-1))=0,AB36,H41&amp;$N41&amp;$O41)</f>
        <v>0560</v>
      </c>
      <c r="AC37" s="7" t="str" cm="1">
        <f t="array" aca="1" ref="AC37" ca="1">IF(INDIRECT("$D"&amp;(ROW(R37)+$F$1-1))=0,AC36,H42&amp;$N42&amp;$O42)</f>
        <v>0000</v>
      </c>
      <c r="AD37" s="7" t="str" cm="1">
        <f t="array" aca="1" ref="AD37" ca="1">IF(INDIRECT("$D"&amp;(ROW(R37)+$F$1-1))=0,AD36,I37&amp;$P37&amp;$Q37)</f>
        <v>5130</v>
      </c>
      <c r="AE37" s="7" t="str" cm="1">
        <f t="array" aca="1" ref="AE37" ca="1">IF(INDIRECT("$D"&amp;(ROW(R37)+$F$1-1))=0,AE36,I38&amp;$P38&amp;$Q38)</f>
        <v>5660</v>
      </c>
      <c r="AF37" s="7" t="str" cm="1">
        <f t="array" aca="1" ref="AF37" ca="1">IF(INDIRECT("$D"&amp;(ROW(R37)+$F$1-1))=0,AF36,I39&amp;$P39&amp;$Q39)</f>
        <v>0160</v>
      </c>
      <c r="AG37" s="7" t="str" cm="1">
        <f t="array" aca="1" ref="AG37" ca="1">IF(INDIRECT("$D"&amp;(ROW(R37)+$F$1-1))=0,AG36,I40&amp;$P40&amp;$Q40)</f>
        <v>0000</v>
      </c>
      <c r="AH37" s="7" t="str" cm="1">
        <f t="array" aca="1" ref="AH37" ca="1">IF(INDIRECT("$D"&amp;(ROW(R37)+$F$1-1))=0,AH36,I41&amp;$P41&amp;$Q41)</f>
        <v>0000</v>
      </c>
      <c r="AI37" s="7" t="str" cm="1">
        <f t="array" aca="1" ref="AI37" ca="1">IF(INDIRECT("$D"&amp;(ROW(R37)+$F$1-1))=0,AI36,I42&amp;$P42&amp;$Q42)</f>
        <v>0000</v>
      </c>
      <c r="AJ37" s="7" t="str" cm="1">
        <f t="array" ref="AJ37">TEXT($D37,"000")&amp;TEXT(IFERROR(INDEX($D$5:$D$103,_xlfn.AGGREGATE(15,6,ROW($E$5:$E$103)/(($E$5:$E$103&lt;&gt;"p")*($E$5:$E$103&lt;&gt;"t")*(ROW($E$5:$E$103)&gt;ROW($E37))),1)-ROW($E$5)+1),$D37),"000")</f>
        <v>000000</v>
      </c>
      <c r="AK37" s="22">
        <f t="shared" si="2"/>
        <v>500</v>
      </c>
      <c r="AL37" s="22" cm="1">
        <f t="array" aca="1" ref="AL37" ca="1">IF(INDIRECT("$K"&amp;(ROW(R37)+$F$1-1))="TERMINAL",1000489,489)*SIGN(AK37)</f>
        <v>1000489</v>
      </c>
      <c r="AM37" s="7" cm="1">
        <f t="array" aca="1" ref="AM37" ca="1">IF(INDIRECT("$D"&amp;(ROW(R37)+$F$1-1))=0,AM36,$G37)</f>
        <v>8</v>
      </c>
      <c r="AN37" s="7" cm="1">
        <f t="array" aca="1" ref="AN37" ca="1">IF(INDIRECT("$D"&amp;(ROW(R37)+$F$1-1))=0,AN36,$G38)</f>
        <v>0</v>
      </c>
      <c r="AO37" s="7" cm="1">
        <f t="array" aca="1" ref="AO37" ca="1">IF(INDIRECT("$D"&amp;(ROW(R37)+$F$1-1))=0,AO36,$G39)</f>
        <v>0</v>
      </c>
      <c r="AP37" s="7" cm="1">
        <f t="array" aca="1" ref="AP37" ca="1">IF(INDIRECT("$D"&amp;(ROW(R37)+$F$1-1))=0,AP36,$G40)</f>
        <v>0</v>
      </c>
      <c r="AQ37" s="7" cm="1">
        <f t="array" aca="1" ref="AQ37" ca="1">IF(INDIRECT("$D"&amp;(ROW(R37)+$F$1-1))=0,AQ36,$G41)</f>
        <v>1</v>
      </c>
      <c r="AR37" s="7" cm="1">
        <f t="array" aca="1" ref="AR37" ca="1">IF(INDIRECT("$D"&amp;(ROW(R37)+$F$1-1))=0,AR36,$G42)</f>
        <v>0</v>
      </c>
      <c r="AS37" s="7" cm="1">
        <f t="array" aca="1" ref="AS37" ca="1">IF(INDIRECT("$D"&amp;(ROW(AS37)+$F$1-1))=0,AS36+4,1)</f>
        <v>57</v>
      </c>
      <c r="AT37" s="7" cm="1">
        <f t="array" aca="1" ref="AT37" ca="1">IF(INDIRECT("$D"&amp;(ROW(AT37)+$F$1-1))=0,AT36+4,2)</f>
        <v>58</v>
      </c>
      <c r="AU37" s="7" cm="1">
        <f t="array" aca="1" ref="AU37" ca="1">IF(INDIRECT("$D"&amp;(ROW(AU37)+$F$1-1))=0,AU36+4,3)</f>
        <v>59</v>
      </c>
      <c r="AV37" s="7" cm="1">
        <f t="array" aca="1" ref="AV37" ca="1">IF(INDIRECT("$D"&amp;(ROW(AV37)+$F$1-1))=0,AV36+4,4)</f>
        <v>60</v>
      </c>
      <c r="AW37" s="22" cm="1">
        <f t="array" aca="1" ref="AW37" ca="1">_xlfn.XLOOKUP(1,INDIRECT("J"&amp;ROW(K37)+$F$1):J$103,INDIRECT("D"&amp;ROW(K37)+$F$1):D$103,0,0,1)</f>
        <v>0</v>
      </c>
      <c r="AX37" s="22">
        <f t="shared" ca="1" si="3"/>
        <v>0</v>
      </c>
      <c r="AY37" s="22" cm="1">
        <f t="array" aca="1" ref="AY37" ca="1">_xlfn.XLOOKUP(AW37,D$4:D$110,H$4:H$110&amp;N$4:N$110&amp;O$4:O$110,0,0,1)</f>
        <v>0</v>
      </c>
      <c r="AZ37" s="22" cm="1">
        <f t="array" aca="1" ref="AZ37" ca="1">_xlfn.XLOOKUP(AW37,D$4:D$110,I$4:I$110&amp;P$4:P$110&amp;Q$4:Q$110,0,0,1)</f>
        <v>0</v>
      </c>
      <c r="BA37" s="14" cm="1">
        <f t="array" ref="BA37">_xlfn.XLOOKUP(1,J$4:J36,D$4:D36,0,0,-1)</f>
        <v>35</v>
      </c>
      <c r="BB37" s="14">
        <f t="shared" si="5"/>
        <v>1</v>
      </c>
      <c r="BC37" s="14" t="str" cm="1">
        <f t="array" ref="BC37">_xlfn.SWITCH(TRUE,_xlfn.XLOOKUP(BA37,D$4:D$110,TEXT(F$4:F$110,"HH"),0,0,1)="00",B35&amp;"",_xlfn.XLOOKUP(BA37,D$4:D$110,TEXT(F$4:F$110,"HH"),0,0,1)="T","00",TRUE,_xlfn.XLOOKUP(BA37,D$4:D$110,TEXT(F$4:F$110,"HH"),0,0,1))</f>
        <v>00</v>
      </c>
      <c r="BD37" s="14" t="str">
        <f t="shared" si="4"/>
        <v>000000</v>
      </c>
    </row>
    <row r="38" spans="1:56">
      <c r="A38" s="2">
        <v>35</v>
      </c>
      <c r="B38" s="5"/>
      <c r="C38" s="5"/>
      <c r="D38" s="5"/>
      <c r="E38" s="5"/>
      <c r="F38" s="5"/>
      <c r="G38" s="5"/>
      <c r="H38" s="5"/>
      <c r="I38" s="5"/>
      <c r="J38" s="5">
        <f t="shared" si="1"/>
        <v>0</v>
      </c>
      <c r="K38" s="7" t="str">
        <f t="shared" si="0"/>
        <v>terminal</v>
      </c>
      <c r="L38" s="7" t="str" cm="1">
        <f t="array" ref="L38">_xlfn.SWITCH(TRUE,$K38="PASS",TEXT($B$1,"0000"),AND($K38="STOP",E38=""),TEXT($D$1,"0000"),$K37="TERMINAL","0000",TRUE,TEXT(E38,"MMSS"))</f>
        <v>0000</v>
      </c>
      <c r="M38" s="7" t="str" cm="1">
        <f t="array" ref="M38">_xlfn.SWITCH(TRUE,$K38="PASS",TEXT($B$1,"0000"),AND($K38="STOP",F38=""),TEXT($D$1,"0000"),$K38="TERMINAL","0000",TRUE,TEXT(F38,"MMSS"))</f>
        <v>0000</v>
      </c>
      <c r="N38" t="str" cm="1">
        <f t="array" ref="N38">_xlfn.SWITCH(TRUE,AND(LEFT(L38,2)="00",K38="TERMINAL"),"00",E38="",TEXT(LEFT($D$1,2),"00"),LEFT(L38,2)="00",$D$2&amp;"",TRUE,LEFT(L38,2))</f>
        <v>00</v>
      </c>
      <c r="O38" t="str" cm="1">
        <f t="array" ref="O38">_xlfn.SWITCH(TRUE,AND(N38="00",RIGHT(L38,2)="00",K38="TERMINAL"),"00",OR(E38="",N38=LEFT($B$1,2)),TEXT(RIGHT($D$1,2),"00"),RIGHT(L38,2)="00",$D$2&amp;"",TRUE,RIGHT(L38,2))</f>
        <v>00</v>
      </c>
      <c r="P38" t="str" cm="1">
        <f t="array" ref="P38">_xlfn.SWITCH(TRUE,AND(LEFT(M38,2)="00",K38="TERMINAL"),"00",F38="",TEXT(LEFT($D$1,2),"00"),LEFT(M38,2)="00",$D$2&amp;"",TRUE,LEFT(M38,2))</f>
        <v>00</v>
      </c>
      <c r="Q38" t="str" cm="1">
        <f t="array" ref="Q38">_xlfn.SWITCH(TRUE,AND(RIGHT(M38,2)="00",K38="TERMINAL"),"00",F38="",TEXT(RIGHT($D$1,2),"00"),RIGHT(M38,2)="00",$D$2&amp;"",TRUE,RIGHT(M38,2))</f>
        <v>00</v>
      </c>
      <c r="R38" s="7" cm="1">
        <f t="array" aca="1" ref="R38" ca="1">IF(INDIRECT("$D"&amp;(ROW(R38)+$F$1-1))=0,R37,$D38)</f>
        <v>39</v>
      </c>
      <c r="S38" s="7" cm="1">
        <f t="array" aca="1" ref="S38" ca="1">IF(INDIRECT("$D"&amp;(ROW(R38)+$F$1-1))=0,S37,$D39)</f>
        <v>38</v>
      </c>
      <c r="T38" s="7" cm="1">
        <f t="array" aca="1" ref="T38" ca="1">IF(INDIRECT("$D"&amp;(ROW(R38)+$F$1-1))=0,T37,$D40)</f>
        <v>37</v>
      </c>
      <c r="U38" s="7" cm="1">
        <f t="array" aca="1" ref="U38" ca="1">IF(INDIRECT("$D"&amp;(ROW(R38)+$F$1-1))=0,U37,$D41)</f>
        <v>36</v>
      </c>
      <c r="V38" s="7" cm="1">
        <f t="array" aca="1" ref="V38" ca="1">IF(INDIRECT("$D"&amp;(ROW(R38)+$F$1-1))=0,V37,$D42)</f>
        <v>35</v>
      </c>
      <c r="W38" s="7" cm="1">
        <f t="array" aca="1" ref="W38" ca="1">IF(INDIRECT("$D"&amp;(ROW(R38)+$F$1-1))=0,W37,$D43)</f>
        <v>0</v>
      </c>
      <c r="X38" s="7" t="str" cm="1">
        <f t="array" aca="1" ref="X38" ca="1">IF(INDIRECT("$D"&amp;(ROW(R38)+$F$1-1))=0,X36,$H38&amp;$N38&amp;$O38)</f>
        <v>4630</v>
      </c>
      <c r="Y38" s="7" t="str" cm="1">
        <f t="array" aca="1" ref="Y38" ca="1">IF(INDIRECT("$D"&amp;(ROW(R38)+$F$1-1))=0,Y37,H39&amp;$N39&amp;$O39)</f>
        <v>5530</v>
      </c>
      <c r="Z38" s="7" t="str" cm="1">
        <f t="array" aca="1" ref="Z38" ca="1">IF(INDIRECT("$D"&amp;(ROW(R38)+$F$1-1))=0,Z37,H40&amp;$N40&amp;$O40)</f>
        <v>6030</v>
      </c>
      <c r="AA38" s="7" t="str" cm="1">
        <f t="array" aca="1" ref="AA38" ca="1">IF(INDIRECT("$D"&amp;(ROW(R38)+$F$1-1))=0,AA37,H41&amp;$N41&amp;$O41)</f>
        <v>0000</v>
      </c>
      <c r="AB38" s="7" t="str" cm="1">
        <f t="array" aca="1" ref="AB38" ca="1">IF(INDIRECT("$D"&amp;(ROW(R38)+$F$1-1))=0,AB37,H42&amp;$N42&amp;$O42)</f>
        <v>0560</v>
      </c>
      <c r="AC38" s="7" t="str" cm="1">
        <f t="array" aca="1" ref="AC38" ca="1">IF(INDIRECT("$D"&amp;(ROW(R38)+$F$1-1))=0,AC37,H43&amp;$N43&amp;$O43)</f>
        <v>0000</v>
      </c>
      <c r="AD38" s="7" t="str" cm="1">
        <f t="array" aca="1" ref="AD38" ca="1">IF(INDIRECT("$D"&amp;(ROW(R38)+$F$1-1))=0,AD37,I38&amp;$P38&amp;$Q38)</f>
        <v>5130</v>
      </c>
      <c r="AE38" s="7" t="str" cm="1">
        <f t="array" aca="1" ref="AE38" ca="1">IF(INDIRECT("$D"&amp;(ROW(R38)+$F$1-1))=0,AE37,I39&amp;$P39&amp;$Q39)</f>
        <v>5660</v>
      </c>
      <c r="AF38" s="7" t="str" cm="1">
        <f t="array" aca="1" ref="AF38" ca="1">IF(INDIRECT("$D"&amp;(ROW(R38)+$F$1-1))=0,AF37,I40&amp;$P40&amp;$Q40)</f>
        <v>0160</v>
      </c>
      <c r="AG38" s="7" t="str" cm="1">
        <f t="array" aca="1" ref="AG38" ca="1">IF(INDIRECT("$D"&amp;(ROW(R38)+$F$1-1))=0,AG37,I41&amp;$P41&amp;$Q41)</f>
        <v>0000</v>
      </c>
      <c r="AH38" s="7" t="str" cm="1">
        <f t="array" aca="1" ref="AH38" ca="1">IF(INDIRECT("$D"&amp;(ROW(R38)+$F$1-1))=0,AH37,I42&amp;$P42&amp;$Q42)</f>
        <v>0000</v>
      </c>
      <c r="AI38" s="7" t="str" cm="1">
        <f t="array" aca="1" ref="AI38" ca="1">IF(INDIRECT("$D"&amp;(ROW(R38)+$F$1-1))=0,AI37,I43&amp;$P43&amp;$Q43)</f>
        <v>0000</v>
      </c>
      <c r="AJ38" s="7" t="str" cm="1">
        <f t="array" ref="AJ38">TEXT($D38,"000")&amp;TEXT(IFERROR(INDEX($D$5:$D$103,_xlfn.AGGREGATE(15,6,ROW($E$5:$E$103)/(($E$5:$E$103&lt;&gt;"p")*($E$5:$E$103&lt;&gt;"t")*(ROW($E$5:$E$103)&gt;ROW($E38))),1)-ROW($E$5)+1),$D38),"000")</f>
        <v>000000</v>
      </c>
      <c r="AK38" s="22">
        <f t="shared" si="2"/>
        <v>500</v>
      </c>
      <c r="AL38" s="22" cm="1">
        <f t="array" aca="1" ref="AL38" ca="1">IF(INDIRECT("$K"&amp;(ROW(R38)+$F$1-1))="TERMINAL",1000489,489)*SIGN(AK38)</f>
        <v>1000489</v>
      </c>
      <c r="AM38" s="7" cm="1">
        <f t="array" aca="1" ref="AM38" ca="1">IF(INDIRECT("$D"&amp;(ROW(R38)+$F$1-1))=0,AM37,$G38)</f>
        <v>8</v>
      </c>
      <c r="AN38" s="7" cm="1">
        <f t="array" aca="1" ref="AN38" ca="1">IF(INDIRECT("$D"&amp;(ROW(R38)+$F$1-1))=0,AN37,$G39)</f>
        <v>0</v>
      </c>
      <c r="AO38" s="7" cm="1">
        <f t="array" aca="1" ref="AO38" ca="1">IF(INDIRECT("$D"&amp;(ROW(R38)+$F$1-1))=0,AO37,$G40)</f>
        <v>0</v>
      </c>
      <c r="AP38" s="7" cm="1">
        <f t="array" aca="1" ref="AP38" ca="1">IF(INDIRECT("$D"&amp;(ROW(R38)+$F$1-1))=0,AP37,$G41)</f>
        <v>0</v>
      </c>
      <c r="AQ38" s="7" cm="1">
        <f t="array" aca="1" ref="AQ38" ca="1">IF(INDIRECT("$D"&amp;(ROW(R38)+$F$1-1))=0,AQ37,$G42)</f>
        <v>1</v>
      </c>
      <c r="AR38" s="7" cm="1">
        <f t="array" aca="1" ref="AR38" ca="1">IF(INDIRECT("$D"&amp;(ROW(R38)+$F$1-1))=0,AR37,$G43)</f>
        <v>0</v>
      </c>
      <c r="AS38" s="7" cm="1">
        <f t="array" aca="1" ref="AS38" ca="1">IF(INDIRECT("$D"&amp;(ROW(AS38)+$F$1-1))=0,AS37+4,1)</f>
        <v>61</v>
      </c>
      <c r="AT38" s="7" cm="1">
        <f t="array" aca="1" ref="AT38" ca="1">IF(INDIRECT("$D"&amp;(ROW(AT38)+$F$1-1))=0,AT37+4,2)</f>
        <v>62</v>
      </c>
      <c r="AU38" s="7" cm="1">
        <f t="array" aca="1" ref="AU38" ca="1">IF(INDIRECT("$D"&amp;(ROW(AU38)+$F$1-1))=0,AU37+4,3)</f>
        <v>63</v>
      </c>
      <c r="AV38" s="7" cm="1">
        <f t="array" aca="1" ref="AV38" ca="1">IF(INDIRECT("$D"&amp;(ROW(AV38)+$F$1-1))=0,AV37+4,4)</f>
        <v>64</v>
      </c>
      <c r="AW38" s="22" cm="1">
        <f t="array" aca="1" ref="AW38" ca="1">_xlfn.XLOOKUP(1,INDIRECT("J"&amp;ROW(K38)+$F$1):J$103,INDIRECT("D"&amp;ROW(K38)+$F$1):D$103,0,0,1)</f>
        <v>0</v>
      </c>
      <c r="AX38" s="22">
        <f t="shared" ca="1" si="3"/>
        <v>0</v>
      </c>
      <c r="AY38" s="22" cm="1">
        <f t="array" aca="1" ref="AY38" ca="1">_xlfn.XLOOKUP(AW38,D$4:D$110,H$4:H$110&amp;N$4:N$110&amp;O$4:O$110,0,0,1)</f>
        <v>0</v>
      </c>
      <c r="AZ38" s="22" cm="1">
        <f t="array" aca="1" ref="AZ38" ca="1">_xlfn.XLOOKUP(AW38,D$4:D$110,I$4:I$110&amp;P$4:P$110&amp;Q$4:Q$110,0,0,1)</f>
        <v>0</v>
      </c>
      <c r="BA38" s="14" cm="1">
        <f t="array" ref="BA38">_xlfn.XLOOKUP(1,J$4:J37,D$4:D37,0,0,-1)</f>
        <v>35</v>
      </c>
      <c r="BB38" s="14">
        <f t="shared" si="5"/>
        <v>1</v>
      </c>
      <c r="BC38" s="14" t="str" cm="1">
        <f t="array" ref="BC38">_xlfn.SWITCH(TRUE,_xlfn.XLOOKUP(BA38,D$4:D$110,TEXT(F$4:F$110,"HH"),0,0,1)="00",B36&amp;"",_xlfn.XLOOKUP(BA38,D$4:D$110,TEXT(F$4:F$110,"HH"),0,0,1)="T","00",TRUE,_xlfn.XLOOKUP(BA38,D$4:D$110,TEXT(F$4:F$110,"HH"),0,0,1))</f>
        <v>00</v>
      </c>
      <c r="BD38" s="14" t="str">
        <f t="shared" si="4"/>
        <v>000000</v>
      </c>
    </row>
    <row r="39" spans="1:56">
      <c r="A39" s="2">
        <v>36</v>
      </c>
      <c r="B39" s="5"/>
      <c r="C39" s="5"/>
      <c r="D39" s="5"/>
      <c r="E39" s="15"/>
      <c r="F39" s="15"/>
      <c r="G39" s="5"/>
      <c r="H39" s="5"/>
      <c r="I39" s="5"/>
      <c r="J39" s="5">
        <f t="shared" si="1"/>
        <v>0</v>
      </c>
      <c r="K39" s="7" t="str">
        <f t="shared" si="0"/>
        <v>terminal</v>
      </c>
      <c r="L39" s="7" t="str" cm="1">
        <f t="array" ref="L39">_xlfn.SWITCH(TRUE,$K39="PASS",TEXT($B$1,"0000"),AND($K39="STOP",E39=""),TEXT($D$1,"0000"),$K38="TERMINAL","0000",TRUE,TEXT(E39,"MMSS"))</f>
        <v>0000</v>
      </c>
      <c r="M39" s="7" t="str" cm="1">
        <f t="array" ref="M39">_xlfn.SWITCH(TRUE,$K39="PASS",TEXT($B$1,"0000"),AND($K39="STOP",F39=""),TEXT($D$1,"0000"),$K39="TERMINAL","0000",TRUE,TEXT(F39,"MMSS"))</f>
        <v>0000</v>
      </c>
      <c r="N39" t="str" cm="1">
        <f t="array" ref="N39">_xlfn.SWITCH(TRUE,AND(LEFT(L39,2)="00",K39="TERMINAL"),"00",E39="",TEXT(LEFT($D$1,2),"00"),LEFT(L39,2)="00",$D$2&amp;"",TRUE,LEFT(L39,2))</f>
        <v>00</v>
      </c>
      <c r="O39" t="str" cm="1">
        <f t="array" ref="O39">_xlfn.SWITCH(TRUE,AND(N39="00",RIGHT(L39,2)="00",K39="TERMINAL"),"00",OR(E39="",N39=LEFT($B$1,2)),TEXT(RIGHT($D$1,2),"00"),RIGHT(L39,2)="00",$D$2&amp;"",TRUE,RIGHT(L39,2))</f>
        <v>00</v>
      </c>
      <c r="P39" t="str" cm="1">
        <f t="array" ref="P39">_xlfn.SWITCH(TRUE,AND(LEFT(M39,2)="00",K39="TERMINAL"),"00",F39="",TEXT(LEFT($D$1,2),"00"),LEFT(M39,2)="00",$D$2&amp;"",TRUE,LEFT(M39,2))</f>
        <v>00</v>
      </c>
      <c r="Q39" t="str" cm="1">
        <f t="array" ref="Q39">_xlfn.SWITCH(TRUE,AND(RIGHT(M39,2)="00",K39="TERMINAL"),"00",F39="",TEXT(RIGHT($D$1,2),"00"),RIGHT(M39,2)="00",$D$2&amp;"",TRUE,RIGHT(M39,2))</f>
        <v>00</v>
      </c>
      <c r="R39" s="7" cm="1">
        <f t="array" aca="1" ref="R39" ca="1">IF(INDIRECT("$D"&amp;(ROW(R39)+$F$1-1))=0,R38,$D39)</f>
        <v>39</v>
      </c>
      <c r="S39" s="7" cm="1">
        <f t="array" aca="1" ref="S39" ca="1">IF(INDIRECT("$D"&amp;(ROW(R39)+$F$1-1))=0,S38,$D40)</f>
        <v>38</v>
      </c>
      <c r="T39" s="7" cm="1">
        <f t="array" aca="1" ref="T39" ca="1">IF(INDIRECT("$D"&amp;(ROW(R39)+$F$1-1))=0,T38,$D41)</f>
        <v>37</v>
      </c>
      <c r="U39" s="7" cm="1">
        <f t="array" aca="1" ref="U39" ca="1">IF(INDIRECT("$D"&amp;(ROW(R39)+$F$1-1))=0,U38,$D42)</f>
        <v>36</v>
      </c>
      <c r="V39" s="7" cm="1">
        <f t="array" aca="1" ref="V39" ca="1">IF(INDIRECT("$D"&amp;(ROW(R39)+$F$1-1))=0,V38,$D43)</f>
        <v>35</v>
      </c>
      <c r="W39" s="7" cm="1">
        <f t="array" aca="1" ref="W39" ca="1">IF(INDIRECT("$D"&amp;(ROW(R39)+$F$1-1))=0,W38,$D44)</f>
        <v>0</v>
      </c>
      <c r="X39" s="7" t="str" cm="1">
        <f t="array" aca="1" ref="X39" ca="1">IF(INDIRECT("$D"&amp;(ROW(R39)+$F$1-1))=0,X37,$H39&amp;$N39&amp;$O39)</f>
        <v>5160</v>
      </c>
      <c r="Y39" s="7" t="str" cm="1">
        <f t="array" aca="1" ref="Y39" ca="1">IF(INDIRECT("$D"&amp;(ROW(R39)+$F$1-1))=0,Y38,H40&amp;$N40&amp;$O40)</f>
        <v>5530</v>
      </c>
      <c r="Z39" s="7" t="str" cm="1">
        <f t="array" aca="1" ref="Z39" ca="1">IF(INDIRECT("$D"&amp;(ROW(R39)+$F$1-1))=0,Z38,H41&amp;$N41&amp;$O41)</f>
        <v>6030</v>
      </c>
      <c r="AA39" s="7" t="str" cm="1">
        <f t="array" aca="1" ref="AA39" ca="1">IF(INDIRECT("$D"&amp;(ROW(R39)+$F$1-1))=0,AA38,H42&amp;$N42&amp;$O42)</f>
        <v>0000</v>
      </c>
      <c r="AB39" s="7" t="str" cm="1">
        <f t="array" aca="1" ref="AB39" ca="1">IF(INDIRECT("$D"&amp;(ROW(R39)+$F$1-1))=0,AB38,H43&amp;$N43&amp;$O43)</f>
        <v>0560</v>
      </c>
      <c r="AC39" s="7" t="str" cm="1">
        <f t="array" aca="1" ref="AC39" ca="1">IF(INDIRECT("$D"&amp;(ROW(R39)+$F$1-1))=0,AC38,H44&amp;$N44&amp;$O44)</f>
        <v>0000</v>
      </c>
      <c r="AD39" s="7" t="str" cm="1">
        <f t="array" aca="1" ref="AD39" ca="1">IF(INDIRECT("$D"&amp;(ROW(R39)+$F$1-1))=0,AD38,I39&amp;$P39&amp;$Q39)</f>
        <v>5130</v>
      </c>
      <c r="AE39" s="7" t="str" cm="1">
        <f t="array" aca="1" ref="AE39" ca="1">IF(INDIRECT("$D"&amp;(ROW(R39)+$F$1-1))=0,AE38,I40&amp;$P40&amp;$Q40)</f>
        <v>5660</v>
      </c>
      <c r="AF39" s="7" t="str" cm="1">
        <f t="array" aca="1" ref="AF39" ca="1">IF(INDIRECT("$D"&amp;(ROW(R39)+$F$1-1))=0,AF38,I41&amp;$P41&amp;$Q41)</f>
        <v>0160</v>
      </c>
      <c r="AG39" s="7" t="str" cm="1">
        <f t="array" aca="1" ref="AG39" ca="1">IF(INDIRECT("$D"&amp;(ROW(R39)+$F$1-1))=0,AG38,I42&amp;$P42&amp;$Q42)</f>
        <v>0000</v>
      </c>
      <c r="AH39" s="7" t="str" cm="1">
        <f t="array" aca="1" ref="AH39" ca="1">IF(INDIRECT("$D"&amp;(ROW(R39)+$F$1-1))=0,AH38,I43&amp;$P43&amp;$Q43)</f>
        <v>0000</v>
      </c>
      <c r="AI39" s="7" t="str" cm="1">
        <f t="array" aca="1" ref="AI39" ca="1">IF(INDIRECT("$D"&amp;(ROW(R39)+$F$1-1))=0,AI38,I44&amp;$P44&amp;$Q44)</f>
        <v>0000</v>
      </c>
      <c r="AJ39" s="7" t="str" cm="1">
        <f t="array" ref="AJ39">TEXT($D39,"000")&amp;TEXT(IFERROR(INDEX($D$5:$D$103,_xlfn.AGGREGATE(15,6,ROW($E$5:$E$103)/(($E$5:$E$103&lt;&gt;"p")*($E$5:$E$103&lt;&gt;"t")*(ROW($E$5:$E$103)&gt;ROW($E39))),1)-ROW($E$5)+1),$D39),"000")</f>
        <v>000000</v>
      </c>
      <c r="AK39" s="22">
        <f t="shared" si="2"/>
        <v>500</v>
      </c>
      <c r="AL39" s="22" cm="1">
        <f t="array" aca="1" ref="AL39" ca="1">IF(INDIRECT("$K"&amp;(ROW(R39)+$F$1-1))="TERMINAL",1000489,489)*SIGN(AK39)</f>
        <v>1000489</v>
      </c>
      <c r="AM39" s="7" cm="1">
        <f t="array" aca="1" ref="AM39" ca="1">IF(INDIRECT("$D"&amp;(ROW(R39)+$F$1-1))=0,AM38,$G39)</f>
        <v>8</v>
      </c>
      <c r="AN39" s="7" cm="1">
        <f t="array" aca="1" ref="AN39" ca="1">IF(INDIRECT("$D"&amp;(ROW(R39)+$F$1-1))=0,AN38,$G40)</f>
        <v>0</v>
      </c>
      <c r="AO39" s="7" cm="1">
        <f t="array" aca="1" ref="AO39" ca="1">IF(INDIRECT("$D"&amp;(ROW(R39)+$F$1-1))=0,AO38,$G41)</f>
        <v>0</v>
      </c>
      <c r="AP39" s="7" cm="1">
        <f t="array" aca="1" ref="AP39" ca="1">IF(INDIRECT("$D"&amp;(ROW(R39)+$F$1-1))=0,AP38,$G42)</f>
        <v>0</v>
      </c>
      <c r="AQ39" s="7" cm="1">
        <f t="array" aca="1" ref="AQ39" ca="1">IF(INDIRECT("$D"&amp;(ROW(R39)+$F$1-1))=0,AQ38,$G43)</f>
        <v>1</v>
      </c>
      <c r="AR39" s="7" cm="1">
        <f t="array" aca="1" ref="AR39" ca="1">IF(INDIRECT("$D"&amp;(ROW(R39)+$F$1-1))=0,AR38,$G44)</f>
        <v>0</v>
      </c>
      <c r="AS39" s="7" cm="1">
        <f t="array" aca="1" ref="AS39" ca="1">IF(INDIRECT("$D"&amp;(ROW(AS39)+$F$1-1))=0,AS38+4,1)</f>
        <v>65</v>
      </c>
      <c r="AT39" s="7" cm="1">
        <f t="array" aca="1" ref="AT39" ca="1">IF(INDIRECT("$D"&amp;(ROW(AT39)+$F$1-1))=0,AT38+4,2)</f>
        <v>66</v>
      </c>
      <c r="AU39" s="7" cm="1">
        <f t="array" aca="1" ref="AU39" ca="1">IF(INDIRECT("$D"&amp;(ROW(AU39)+$F$1-1))=0,AU38+4,3)</f>
        <v>67</v>
      </c>
      <c r="AV39" s="7" cm="1">
        <f t="array" aca="1" ref="AV39" ca="1">IF(INDIRECT("$D"&amp;(ROW(AV39)+$F$1-1))=0,AV38+4,4)</f>
        <v>68</v>
      </c>
      <c r="AW39" s="22" cm="1">
        <f t="array" aca="1" ref="AW39" ca="1">_xlfn.XLOOKUP(1,INDIRECT("J"&amp;ROW(K39)+$F$1):J$103,INDIRECT("D"&amp;ROW(K39)+$F$1):D$103,0,0,1)</f>
        <v>0</v>
      </c>
      <c r="AX39" s="22">
        <f t="shared" ca="1" si="3"/>
        <v>0</v>
      </c>
      <c r="AY39" s="22" cm="1">
        <f t="array" aca="1" ref="AY39" ca="1">_xlfn.XLOOKUP(AW39,D$4:D$110,H$4:H$110&amp;N$4:N$110&amp;O$4:O$110,0,0,1)</f>
        <v>0</v>
      </c>
      <c r="AZ39" s="22" cm="1">
        <f t="array" aca="1" ref="AZ39" ca="1">_xlfn.XLOOKUP(AW39,D$4:D$110,I$4:I$110&amp;P$4:P$110&amp;Q$4:Q$110,0,0,1)</f>
        <v>0</v>
      </c>
      <c r="BA39" s="14" cm="1">
        <f t="array" ref="BA39">_xlfn.XLOOKUP(1,J$4:J38,D$4:D38,0,0,-1)</f>
        <v>35</v>
      </c>
      <c r="BB39" s="14">
        <f t="shared" si="5"/>
        <v>1</v>
      </c>
      <c r="BC39" s="14" t="str" cm="1">
        <f t="array" ref="BC39">_xlfn.SWITCH(TRUE,_xlfn.XLOOKUP(BA39,D$4:D$110,TEXT(F$4:F$110,"HH"),0,0,1)="00",B37&amp;"",_xlfn.XLOOKUP(BA39,D$4:D$110,TEXT(F$4:F$110,"HH"),0,0,1)="T","00",TRUE,_xlfn.XLOOKUP(BA39,D$4:D$110,TEXT(F$4:F$110,"HH"),0,0,1))</f>
        <v>00</v>
      </c>
      <c r="BD39" s="14" t="str">
        <f t="shared" si="4"/>
        <v>000000</v>
      </c>
    </row>
    <row r="40" spans="1:56">
      <c r="A40" s="2">
        <v>37</v>
      </c>
      <c r="B40" s="5"/>
      <c r="C40" s="5"/>
      <c r="D40" s="5"/>
      <c r="E40" s="15"/>
      <c r="F40" s="15"/>
      <c r="G40" s="5"/>
      <c r="H40" s="5"/>
      <c r="I40" s="5"/>
      <c r="J40" s="5">
        <f t="shared" si="1"/>
        <v>0</v>
      </c>
      <c r="K40" s="7" t="str">
        <f t="shared" si="0"/>
        <v>terminal</v>
      </c>
      <c r="L40" s="7" t="str" cm="1">
        <f t="array" ref="L40">_xlfn.SWITCH(TRUE,$K40="PASS",TEXT($B$1,"0000"),AND($K40="STOP",E40=""),TEXT($D$1,"0000"),$K39="TERMINAL","0000",TRUE,TEXT(E40,"MMSS"))</f>
        <v>0000</v>
      </c>
      <c r="M40" s="7" t="str" cm="1">
        <f t="array" ref="M40">_xlfn.SWITCH(TRUE,$K40="PASS",TEXT($B$1,"0000"),AND($K40="STOP",F40=""),TEXT($D$1,"0000"),$K40="TERMINAL","0000",TRUE,TEXT(F40,"MMSS"))</f>
        <v>0000</v>
      </c>
      <c r="N40" t="str" cm="1">
        <f t="array" ref="N40">_xlfn.SWITCH(TRUE,AND(LEFT(L40,2)="00",K40="TERMINAL"),"00",E40="",TEXT(LEFT($D$1,2),"00"),LEFT(L40,2)="00",$D$2&amp;"",TRUE,LEFT(L40,2))</f>
        <v>00</v>
      </c>
      <c r="O40" t="str" cm="1">
        <f t="array" ref="O40">_xlfn.SWITCH(TRUE,AND(N40="00",RIGHT(L40,2)="00",K40="TERMINAL"),"00",OR(E40="",N40=LEFT($B$1,2)),TEXT(RIGHT($D$1,2),"00"),RIGHT(L40,2)="00",$D$2&amp;"",TRUE,RIGHT(L40,2))</f>
        <v>00</v>
      </c>
      <c r="P40" t="str" cm="1">
        <f t="array" ref="P40">_xlfn.SWITCH(TRUE,AND(LEFT(M40,2)="00",K40="TERMINAL"),"00",F40="",TEXT(LEFT($D$1,2),"00"),LEFT(M40,2)="00",$D$2&amp;"",TRUE,LEFT(M40,2))</f>
        <v>00</v>
      </c>
      <c r="Q40" t="str" cm="1">
        <f t="array" ref="Q40">_xlfn.SWITCH(TRUE,AND(RIGHT(M40,2)="00",K40="TERMINAL"),"00",F40="",TEXT(RIGHT($D$1,2),"00"),RIGHT(M40,2)="00",$D$2&amp;"",TRUE,RIGHT(M40,2))</f>
        <v>00</v>
      </c>
      <c r="R40" s="7" cm="1">
        <f t="array" aca="1" ref="R40" ca="1">IF(INDIRECT("$D"&amp;(ROW(R40)+$F$1-1))=0,R39,$D40)</f>
        <v>39</v>
      </c>
      <c r="S40" s="7" cm="1">
        <f t="array" aca="1" ref="S40" ca="1">IF(INDIRECT("$D"&amp;(ROW(R40)+$F$1-1))=0,S39,$D41)</f>
        <v>38</v>
      </c>
      <c r="T40" s="7" cm="1">
        <f t="array" aca="1" ref="T40" ca="1">IF(INDIRECT("$D"&amp;(ROW(R40)+$F$1-1))=0,T39,$D42)</f>
        <v>37</v>
      </c>
      <c r="U40" s="7" cm="1">
        <f t="array" aca="1" ref="U40" ca="1">IF(INDIRECT("$D"&amp;(ROW(R40)+$F$1-1))=0,U39,$D43)</f>
        <v>36</v>
      </c>
      <c r="V40" s="7" cm="1">
        <f t="array" aca="1" ref="V40" ca="1">IF(INDIRECT("$D"&amp;(ROW(R40)+$F$1-1))=0,V39,$D44)</f>
        <v>35</v>
      </c>
      <c r="W40" s="7" cm="1">
        <f t="array" aca="1" ref="W40" ca="1">IF(INDIRECT("$D"&amp;(ROW(R40)+$F$1-1))=0,W39,$D45)</f>
        <v>0</v>
      </c>
      <c r="X40" s="7" t="str" cm="1">
        <f t="array" aca="1" ref="X40" ca="1">IF(INDIRECT("$D"&amp;(ROW(R40)+$F$1-1))=0,X38,$H40&amp;$N40&amp;$O40)</f>
        <v>4630</v>
      </c>
      <c r="Y40" s="7" t="str" cm="1">
        <f t="array" aca="1" ref="Y40" ca="1">IF(INDIRECT("$D"&amp;(ROW(R40)+$F$1-1))=0,Y39,H41&amp;$N41&amp;$O41)</f>
        <v>5530</v>
      </c>
      <c r="Z40" s="7" t="str" cm="1">
        <f t="array" aca="1" ref="Z40" ca="1">IF(INDIRECT("$D"&amp;(ROW(R40)+$F$1-1))=0,Z39,H42&amp;$N42&amp;$O42)</f>
        <v>6030</v>
      </c>
      <c r="AA40" s="7" t="str" cm="1">
        <f t="array" aca="1" ref="AA40" ca="1">IF(INDIRECT("$D"&amp;(ROW(R40)+$F$1-1))=0,AA39,H43&amp;$N43&amp;$O43)</f>
        <v>0000</v>
      </c>
      <c r="AB40" s="7" t="str" cm="1">
        <f t="array" aca="1" ref="AB40" ca="1">IF(INDIRECT("$D"&amp;(ROW(R40)+$F$1-1))=0,AB39,H44&amp;$N44&amp;$O44)</f>
        <v>0560</v>
      </c>
      <c r="AC40" s="7" t="str" cm="1">
        <f t="array" aca="1" ref="AC40" ca="1">IF(INDIRECT("$D"&amp;(ROW(R40)+$F$1-1))=0,AC39,H45&amp;$N45&amp;$O45)</f>
        <v>0000</v>
      </c>
      <c r="AD40" s="7" t="str" cm="1">
        <f t="array" aca="1" ref="AD40" ca="1">IF(INDIRECT("$D"&amp;(ROW(R40)+$F$1-1))=0,AD39,I40&amp;$P40&amp;$Q40)</f>
        <v>5130</v>
      </c>
      <c r="AE40" s="7" t="str" cm="1">
        <f t="array" aca="1" ref="AE40" ca="1">IF(INDIRECT("$D"&amp;(ROW(R40)+$F$1-1))=0,AE39,I41&amp;$P41&amp;$Q41)</f>
        <v>5660</v>
      </c>
      <c r="AF40" s="7" t="str" cm="1">
        <f t="array" aca="1" ref="AF40" ca="1">IF(INDIRECT("$D"&amp;(ROW(R40)+$F$1-1))=0,AF39,I42&amp;$P42&amp;$Q42)</f>
        <v>0160</v>
      </c>
      <c r="AG40" s="7" t="str" cm="1">
        <f t="array" aca="1" ref="AG40" ca="1">IF(INDIRECT("$D"&amp;(ROW(R40)+$F$1-1))=0,AG39,I43&amp;$P43&amp;$Q43)</f>
        <v>0000</v>
      </c>
      <c r="AH40" s="7" t="str" cm="1">
        <f t="array" aca="1" ref="AH40" ca="1">IF(INDIRECT("$D"&amp;(ROW(R40)+$F$1-1))=0,AH39,I44&amp;$P44&amp;$Q44)</f>
        <v>0000</v>
      </c>
      <c r="AI40" s="7" t="str" cm="1">
        <f t="array" aca="1" ref="AI40" ca="1">IF(INDIRECT("$D"&amp;(ROW(R40)+$F$1-1))=0,AI39,I45&amp;$P45&amp;$Q45)</f>
        <v>0000</v>
      </c>
      <c r="AJ40" s="7" t="str" cm="1">
        <f t="array" ref="AJ40">TEXT($D40,"000")&amp;TEXT(IFERROR(INDEX($D$5:$D$103,_xlfn.AGGREGATE(15,6,ROW($E$5:$E$103)/(($E$5:$E$103&lt;&gt;"p")*($E$5:$E$103&lt;&gt;"t")*(ROW($E$5:$E$103)&gt;ROW($E40))),1)-ROW($E$5)+1),$D40),"000")</f>
        <v>000000</v>
      </c>
      <c r="AK40" s="22">
        <f t="shared" si="2"/>
        <v>500</v>
      </c>
      <c r="AL40" s="22" cm="1">
        <f t="array" aca="1" ref="AL40" ca="1">IF(INDIRECT("$K"&amp;(ROW(R40)+$F$1-1))="TERMINAL",1000489,489)*SIGN(AK40)</f>
        <v>1000489</v>
      </c>
      <c r="AM40" s="7" cm="1">
        <f t="array" aca="1" ref="AM40" ca="1">IF(INDIRECT("$D"&amp;(ROW(R40)+$F$1-1))=0,AM39,$G40)</f>
        <v>8</v>
      </c>
      <c r="AN40" s="7" cm="1">
        <f t="array" aca="1" ref="AN40" ca="1">IF(INDIRECT("$D"&amp;(ROW(R40)+$F$1-1))=0,AN39,$G41)</f>
        <v>0</v>
      </c>
      <c r="AO40" s="7" cm="1">
        <f t="array" aca="1" ref="AO40" ca="1">IF(INDIRECT("$D"&amp;(ROW(R40)+$F$1-1))=0,AO39,$G42)</f>
        <v>0</v>
      </c>
      <c r="AP40" s="7" cm="1">
        <f t="array" aca="1" ref="AP40" ca="1">IF(INDIRECT("$D"&amp;(ROW(R40)+$F$1-1))=0,AP39,$G43)</f>
        <v>0</v>
      </c>
      <c r="AQ40" s="7" cm="1">
        <f t="array" aca="1" ref="AQ40" ca="1">IF(INDIRECT("$D"&amp;(ROW(R40)+$F$1-1))=0,AQ39,$G44)</f>
        <v>1</v>
      </c>
      <c r="AR40" s="7" cm="1">
        <f t="array" aca="1" ref="AR40" ca="1">IF(INDIRECT("$D"&amp;(ROW(R40)+$F$1-1))=0,AR39,$G45)</f>
        <v>0</v>
      </c>
      <c r="AS40" s="7" cm="1">
        <f t="array" aca="1" ref="AS40" ca="1">IF(INDIRECT("$D"&amp;(ROW(AS40)+$F$1-1))=0,AS39+4,1)</f>
        <v>69</v>
      </c>
      <c r="AT40" s="7" cm="1">
        <f t="array" aca="1" ref="AT40" ca="1">IF(INDIRECT("$D"&amp;(ROW(AT40)+$F$1-1))=0,AT39+4,2)</f>
        <v>70</v>
      </c>
      <c r="AU40" s="7" cm="1">
        <f t="array" aca="1" ref="AU40" ca="1">IF(INDIRECT("$D"&amp;(ROW(AU40)+$F$1-1))=0,AU39+4,3)</f>
        <v>71</v>
      </c>
      <c r="AV40" s="7" cm="1">
        <f t="array" aca="1" ref="AV40" ca="1">IF(INDIRECT("$D"&amp;(ROW(AV40)+$F$1-1))=0,AV39+4,4)</f>
        <v>72</v>
      </c>
      <c r="AW40" s="22" cm="1">
        <f t="array" aca="1" ref="AW40" ca="1">_xlfn.XLOOKUP(1,INDIRECT("J"&amp;ROW(K40)+$F$1):J$103,INDIRECT("D"&amp;ROW(K40)+$F$1):D$103,0,0,1)</f>
        <v>0</v>
      </c>
      <c r="AX40" s="22">
        <f t="shared" ca="1" si="3"/>
        <v>0</v>
      </c>
      <c r="AY40" s="22" cm="1">
        <f t="array" aca="1" ref="AY40" ca="1">_xlfn.XLOOKUP(AW40,D$4:D$110,H$4:H$110&amp;N$4:N$110&amp;O$4:O$110,0,0,1)</f>
        <v>0</v>
      </c>
      <c r="AZ40" s="22" cm="1">
        <f t="array" aca="1" ref="AZ40" ca="1">_xlfn.XLOOKUP(AW40,D$4:D$110,I$4:I$110&amp;P$4:P$110&amp;Q$4:Q$110,0,0,1)</f>
        <v>0</v>
      </c>
      <c r="BA40" s="14" cm="1">
        <f t="array" ref="BA40">_xlfn.XLOOKUP(1,J$4:J39,D$4:D39,0,0,-1)</f>
        <v>35</v>
      </c>
      <c r="BB40" s="14">
        <f t="shared" si="5"/>
        <v>1</v>
      </c>
      <c r="BC40" s="14" t="str" cm="1">
        <f t="array" ref="BC40">_xlfn.SWITCH(TRUE,_xlfn.XLOOKUP(BA40,D$4:D$110,TEXT(F$4:F$110,"HH"),0,0,1)="00",B38&amp;"",_xlfn.XLOOKUP(BA40,D$4:D$110,TEXT(F$4:F$110,"HH"),0,0,1)="T","00",TRUE,_xlfn.XLOOKUP(BA40,D$4:D$110,TEXT(F$4:F$110,"HH"),0,0,1))</f>
        <v>00</v>
      </c>
      <c r="BD40" s="14" t="str">
        <f t="shared" si="4"/>
        <v>000000</v>
      </c>
    </row>
    <row r="41" spans="1:56">
      <c r="A41" s="2">
        <v>38</v>
      </c>
      <c r="B41" s="5"/>
      <c r="C41" s="5"/>
      <c r="D41" s="5"/>
      <c r="E41" s="5"/>
      <c r="F41" s="5"/>
      <c r="G41" s="5"/>
      <c r="H41" s="5"/>
      <c r="I41" s="5"/>
      <c r="J41" s="5">
        <f t="shared" si="1"/>
        <v>0</v>
      </c>
      <c r="K41" s="7" t="str">
        <f t="shared" si="0"/>
        <v>terminal</v>
      </c>
      <c r="L41" s="7" t="str" cm="1">
        <f t="array" ref="L41">_xlfn.SWITCH(TRUE,$K41="PASS",TEXT($B$1,"0000"),AND($K41="STOP",E41=""),TEXT($D$1,"0000"),$K40="TERMINAL","0000",TRUE,TEXT(E41,"MMSS"))</f>
        <v>0000</v>
      </c>
      <c r="M41" s="7" t="str" cm="1">
        <f t="array" ref="M41">_xlfn.SWITCH(TRUE,$K41="PASS",TEXT($B$1,"0000"),AND($K41="STOP",F41=""),TEXT($D$1,"0000"),$K41="TERMINAL","0000",TRUE,TEXT(F41,"MMSS"))</f>
        <v>0000</v>
      </c>
      <c r="N41" t="str" cm="1">
        <f t="array" ref="N41">_xlfn.SWITCH(TRUE,AND(LEFT(L41,2)="00",K41="TERMINAL"),"00",E41="",TEXT(LEFT($D$1,2),"00"),LEFT(L41,2)="00",$D$2&amp;"",TRUE,LEFT(L41,2))</f>
        <v>00</v>
      </c>
      <c r="O41" t="str" cm="1">
        <f t="array" ref="O41">_xlfn.SWITCH(TRUE,AND(N41="00",RIGHT(L41,2)="00",K41="TERMINAL"),"00",OR(E41="",N41=LEFT($B$1,2)),TEXT(RIGHT($D$1,2),"00"),RIGHT(L41,2)="00",$D$2&amp;"",TRUE,RIGHT(L41,2))</f>
        <v>00</v>
      </c>
      <c r="P41" t="str" cm="1">
        <f t="array" ref="P41">_xlfn.SWITCH(TRUE,AND(LEFT(M41,2)="00",K41="TERMINAL"),"00",F41="",TEXT(LEFT($D$1,2),"00"),LEFT(M41,2)="00",$D$2&amp;"",TRUE,LEFT(M41,2))</f>
        <v>00</v>
      </c>
      <c r="Q41" t="str" cm="1">
        <f t="array" ref="Q41">_xlfn.SWITCH(TRUE,AND(RIGHT(M41,2)="00",K41="TERMINAL"),"00",F41="",TEXT(RIGHT($D$1,2),"00"),RIGHT(M41,2)="00",$D$2&amp;"",TRUE,RIGHT(M41,2))</f>
        <v>00</v>
      </c>
      <c r="R41" s="7" cm="1">
        <f t="array" aca="1" ref="R41" ca="1">IF(INDIRECT("$D"&amp;(ROW(R41)+$F$1-1))=0,R40,$D41)</f>
        <v>39</v>
      </c>
      <c r="S41" s="7" cm="1">
        <f t="array" aca="1" ref="S41" ca="1">IF(INDIRECT("$D"&amp;(ROW(R41)+$F$1-1))=0,S40,$D42)</f>
        <v>38</v>
      </c>
      <c r="T41" s="7" cm="1">
        <f t="array" aca="1" ref="T41" ca="1">IF(INDIRECT("$D"&amp;(ROW(R41)+$F$1-1))=0,T40,$D43)</f>
        <v>37</v>
      </c>
      <c r="U41" s="7" cm="1">
        <f t="array" aca="1" ref="U41" ca="1">IF(INDIRECT("$D"&amp;(ROW(R41)+$F$1-1))=0,U40,$D44)</f>
        <v>36</v>
      </c>
      <c r="V41" s="7" cm="1">
        <f t="array" aca="1" ref="V41" ca="1">IF(INDIRECT("$D"&amp;(ROW(R41)+$F$1-1))=0,V40,$D45)</f>
        <v>35</v>
      </c>
      <c r="W41" s="7" cm="1">
        <f t="array" aca="1" ref="W41" ca="1">IF(INDIRECT("$D"&amp;(ROW(R41)+$F$1-1))=0,W40,$D46)</f>
        <v>0</v>
      </c>
      <c r="X41" s="7" t="str" cm="1">
        <f t="array" aca="1" ref="X41" ca="1">IF(INDIRECT("$D"&amp;(ROW(R41)+$F$1-1))=0,X39,$H41&amp;$N41&amp;$O41)</f>
        <v>5160</v>
      </c>
      <c r="Y41" s="7" t="str" cm="1">
        <f t="array" aca="1" ref="Y41" ca="1">IF(INDIRECT("$D"&amp;(ROW(R41)+$F$1-1))=0,Y40,H42&amp;$N42&amp;$O42)</f>
        <v>5530</v>
      </c>
      <c r="Z41" s="7" t="str" cm="1">
        <f t="array" aca="1" ref="Z41" ca="1">IF(INDIRECT("$D"&amp;(ROW(R41)+$F$1-1))=0,Z40,H43&amp;$N43&amp;$O43)</f>
        <v>6030</v>
      </c>
      <c r="AA41" s="7" t="str" cm="1">
        <f t="array" aca="1" ref="AA41" ca="1">IF(INDIRECT("$D"&amp;(ROW(R41)+$F$1-1))=0,AA40,H44&amp;$N44&amp;$O44)</f>
        <v>0000</v>
      </c>
      <c r="AB41" s="7" t="str" cm="1">
        <f t="array" aca="1" ref="AB41" ca="1">IF(INDIRECT("$D"&amp;(ROW(R41)+$F$1-1))=0,AB40,H45&amp;$N45&amp;$O45)</f>
        <v>0560</v>
      </c>
      <c r="AC41" s="7" t="str" cm="1">
        <f t="array" aca="1" ref="AC41" ca="1">IF(INDIRECT("$D"&amp;(ROW(R41)+$F$1-1))=0,AC40,H46&amp;$N46&amp;$O46)</f>
        <v>0000</v>
      </c>
      <c r="AD41" s="7" t="str" cm="1">
        <f t="array" aca="1" ref="AD41" ca="1">IF(INDIRECT("$D"&amp;(ROW(R41)+$F$1-1))=0,AD40,I41&amp;$P41&amp;$Q41)</f>
        <v>5130</v>
      </c>
      <c r="AE41" s="7" t="str" cm="1">
        <f t="array" aca="1" ref="AE41" ca="1">IF(INDIRECT("$D"&amp;(ROW(R41)+$F$1-1))=0,AE40,I42&amp;$P42&amp;$Q42)</f>
        <v>5660</v>
      </c>
      <c r="AF41" s="7" t="str" cm="1">
        <f t="array" aca="1" ref="AF41" ca="1">IF(INDIRECT("$D"&amp;(ROW(R41)+$F$1-1))=0,AF40,I43&amp;$P43&amp;$Q43)</f>
        <v>0160</v>
      </c>
      <c r="AG41" s="7" t="str" cm="1">
        <f t="array" aca="1" ref="AG41" ca="1">IF(INDIRECT("$D"&amp;(ROW(R41)+$F$1-1))=0,AG40,I44&amp;$P44&amp;$Q44)</f>
        <v>0000</v>
      </c>
      <c r="AH41" s="7" t="str" cm="1">
        <f t="array" aca="1" ref="AH41" ca="1">IF(INDIRECT("$D"&amp;(ROW(R41)+$F$1-1))=0,AH40,I45&amp;$P45&amp;$Q45)</f>
        <v>0000</v>
      </c>
      <c r="AI41" s="7" t="str" cm="1">
        <f t="array" aca="1" ref="AI41" ca="1">IF(INDIRECT("$D"&amp;(ROW(R41)+$F$1-1))=0,AI40,I46&amp;$P46&amp;$Q46)</f>
        <v>0000</v>
      </c>
      <c r="AJ41" s="7" t="str" cm="1">
        <f t="array" ref="AJ41">TEXT($D41,"000")&amp;TEXT(IFERROR(INDEX($D$5:$D$103,_xlfn.AGGREGATE(15,6,ROW($E$5:$E$103)/(($E$5:$E$103&lt;&gt;"p")*($E$5:$E$103&lt;&gt;"t")*(ROW($E$5:$E$103)&gt;ROW($E41))),1)-ROW($E$5)+1),$D41),"000")</f>
        <v>000000</v>
      </c>
      <c r="AK41" s="22">
        <f t="shared" si="2"/>
        <v>500</v>
      </c>
      <c r="AL41" s="22" cm="1">
        <f t="array" aca="1" ref="AL41" ca="1">IF(INDIRECT("$K"&amp;(ROW(R41)+$F$1-1))="TERMINAL",1000489,489)*SIGN(AK41)</f>
        <v>1000489</v>
      </c>
      <c r="AM41" s="7" cm="1">
        <f t="array" aca="1" ref="AM41" ca="1">IF(INDIRECT("$D"&amp;(ROW(R41)+$F$1-1))=0,AM40,$G41)</f>
        <v>8</v>
      </c>
      <c r="AN41" s="7" cm="1">
        <f t="array" aca="1" ref="AN41" ca="1">IF(INDIRECT("$D"&amp;(ROW(R41)+$F$1-1))=0,AN40,$G42)</f>
        <v>0</v>
      </c>
      <c r="AO41" s="7" cm="1">
        <f t="array" aca="1" ref="AO41" ca="1">IF(INDIRECT("$D"&amp;(ROW(R41)+$F$1-1))=0,AO40,$G43)</f>
        <v>0</v>
      </c>
      <c r="AP41" s="7" cm="1">
        <f t="array" aca="1" ref="AP41" ca="1">IF(INDIRECT("$D"&amp;(ROW(R41)+$F$1-1))=0,AP40,$G44)</f>
        <v>0</v>
      </c>
      <c r="AQ41" s="7" cm="1">
        <f t="array" aca="1" ref="AQ41" ca="1">IF(INDIRECT("$D"&amp;(ROW(R41)+$F$1-1))=0,AQ40,$G45)</f>
        <v>1</v>
      </c>
      <c r="AR41" s="7" cm="1">
        <f t="array" aca="1" ref="AR41" ca="1">IF(INDIRECT("$D"&amp;(ROW(R41)+$F$1-1))=0,AR40,$G46)</f>
        <v>0</v>
      </c>
      <c r="AS41" s="7" cm="1">
        <f t="array" aca="1" ref="AS41" ca="1">IF(INDIRECT("$D"&amp;(ROW(AS41)+$F$1-1))=0,AS40+4,1)</f>
        <v>73</v>
      </c>
      <c r="AT41" s="7" cm="1">
        <f t="array" aca="1" ref="AT41" ca="1">IF(INDIRECT("$D"&amp;(ROW(AT41)+$F$1-1))=0,AT40+4,2)</f>
        <v>74</v>
      </c>
      <c r="AU41" s="7" cm="1">
        <f t="array" aca="1" ref="AU41" ca="1">IF(INDIRECT("$D"&amp;(ROW(AU41)+$F$1-1))=0,AU40+4,3)</f>
        <v>75</v>
      </c>
      <c r="AV41" s="7" cm="1">
        <f t="array" aca="1" ref="AV41" ca="1">IF(INDIRECT("$D"&amp;(ROW(AV41)+$F$1-1))=0,AV40+4,4)</f>
        <v>76</v>
      </c>
      <c r="AW41" s="22" cm="1">
        <f t="array" aca="1" ref="AW41" ca="1">_xlfn.XLOOKUP(1,INDIRECT("J"&amp;ROW(K41)+$F$1):J$103,INDIRECT("D"&amp;ROW(K41)+$F$1):D$103,0,0,1)</f>
        <v>0</v>
      </c>
      <c r="AX41" s="22">
        <f t="shared" ca="1" si="3"/>
        <v>0</v>
      </c>
      <c r="AY41" s="22" cm="1">
        <f t="array" aca="1" ref="AY41" ca="1">_xlfn.XLOOKUP(AW41,D$4:D$110,H$4:H$110&amp;N$4:N$110&amp;O$4:O$110,0,0,1)</f>
        <v>0</v>
      </c>
      <c r="AZ41" s="22" cm="1">
        <f t="array" aca="1" ref="AZ41" ca="1">_xlfn.XLOOKUP(AW41,D$4:D$110,I$4:I$110&amp;P$4:P$110&amp;Q$4:Q$110,0,0,1)</f>
        <v>0</v>
      </c>
      <c r="BA41" s="14" cm="1">
        <f t="array" ref="BA41">_xlfn.XLOOKUP(1,J$4:J40,D$4:D40,0,0,-1)</f>
        <v>35</v>
      </c>
      <c r="BB41" s="14">
        <f t="shared" si="5"/>
        <v>1</v>
      </c>
      <c r="BC41" s="14" t="str" cm="1">
        <f t="array" ref="BC41">_xlfn.SWITCH(TRUE,_xlfn.XLOOKUP(BA41,D$4:D$110,TEXT(F$4:F$110,"HH"),0,0,1)="00",B39&amp;"",_xlfn.XLOOKUP(BA41,D$4:D$110,TEXT(F$4:F$110,"HH"),0,0,1)="T","00",TRUE,_xlfn.XLOOKUP(BA41,D$4:D$110,TEXT(F$4:F$110,"HH"),0,0,1))</f>
        <v>00</v>
      </c>
      <c r="BD41" s="14" t="str">
        <f t="shared" si="4"/>
        <v>000000</v>
      </c>
    </row>
    <row r="42" spans="1:56">
      <c r="A42" s="2">
        <v>39</v>
      </c>
      <c r="B42" s="5"/>
      <c r="C42" s="5"/>
      <c r="D42" s="5"/>
      <c r="E42" s="5"/>
      <c r="F42" s="5"/>
      <c r="G42" s="5"/>
      <c r="H42" s="5"/>
      <c r="I42" s="5"/>
      <c r="J42" s="5">
        <f t="shared" si="1"/>
        <v>0</v>
      </c>
      <c r="K42" s="7" t="str">
        <f t="shared" si="0"/>
        <v>terminal</v>
      </c>
      <c r="L42" s="7" t="str" cm="1">
        <f t="array" ref="L42">_xlfn.SWITCH(TRUE,$K42="PASS",TEXT($B$1,"0000"),AND($K42="STOP",E42=""),TEXT($D$1,"0000"),$K41="TERMINAL","0000",TRUE,TEXT(E42,"MMSS"))</f>
        <v>0000</v>
      </c>
      <c r="M42" s="7" t="str" cm="1">
        <f t="array" ref="M42">_xlfn.SWITCH(TRUE,$K42="PASS",TEXT($B$1,"0000"),AND($K42="STOP",F42=""),TEXT($D$1,"0000"),$K42="TERMINAL","0000",TRUE,TEXT(F42,"MMSS"))</f>
        <v>0000</v>
      </c>
      <c r="N42" t="str" cm="1">
        <f t="array" ref="N42">_xlfn.SWITCH(TRUE,AND(LEFT(L42,2)="00",K42="TERMINAL"),"00",E42="",TEXT(LEFT($D$1,2),"00"),LEFT(L42,2)="00",$D$2&amp;"",TRUE,LEFT(L42,2))</f>
        <v>00</v>
      </c>
      <c r="O42" t="str" cm="1">
        <f t="array" ref="O42">_xlfn.SWITCH(TRUE,AND(N42="00",RIGHT(L42,2)="00",K42="TERMINAL"),"00",OR(E42="",N42=LEFT($B$1,2)),TEXT(RIGHT($D$1,2),"00"),RIGHT(L42,2)="00",$D$2&amp;"",TRUE,RIGHT(L42,2))</f>
        <v>00</v>
      </c>
      <c r="P42" t="str" cm="1">
        <f t="array" ref="P42">_xlfn.SWITCH(TRUE,AND(LEFT(M42,2)="00",K42="TERMINAL"),"00",F42="",TEXT(LEFT($D$1,2),"00"),LEFT(M42,2)="00",$D$2&amp;"",TRUE,LEFT(M42,2))</f>
        <v>00</v>
      </c>
      <c r="Q42" t="str" cm="1">
        <f t="array" ref="Q42">_xlfn.SWITCH(TRUE,AND(RIGHT(M42,2)="00",K42="TERMINAL"),"00",F42="",TEXT(RIGHT($D$1,2),"00"),RIGHT(M42,2)="00",$D$2&amp;"",TRUE,RIGHT(M42,2))</f>
        <v>00</v>
      </c>
      <c r="R42" s="7" cm="1">
        <f t="array" aca="1" ref="R42" ca="1">IF(INDIRECT("$D"&amp;(ROW(R42)+$F$1-1))=0,R41,$D42)</f>
        <v>39</v>
      </c>
      <c r="S42" s="7" cm="1">
        <f t="array" aca="1" ref="S42" ca="1">IF(INDIRECT("$D"&amp;(ROW(R42)+$F$1-1))=0,S41,$D43)</f>
        <v>38</v>
      </c>
      <c r="T42" s="7" cm="1">
        <f t="array" aca="1" ref="T42" ca="1">IF(INDIRECT("$D"&amp;(ROW(R42)+$F$1-1))=0,T41,$D44)</f>
        <v>37</v>
      </c>
      <c r="U42" s="7" cm="1">
        <f t="array" aca="1" ref="U42" ca="1">IF(INDIRECT("$D"&amp;(ROW(R42)+$F$1-1))=0,U41,$D45)</f>
        <v>36</v>
      </c>
      <c r="V42" s="7" cm="1">
        <f t="array" aca="1" ref="V42" ca="1">IF(INDIRECT("$D"&amp;(ROW(R42)+$F$1-1))=0,V41,$D46)</f>
        <v>35</v>
      </c>
      <c r="W42" s="7" cm="1">
        <f t="array" aca="1" ref="W42" ca="1">IF(INDIRECT("$D"&amp;(ROW(R42)+$F$1-1))=0,W41,$D47)</f>
        <v>0</v>
      </c>
      <c r="X42" s="7" t="str" cm="1">
        <f t="array" aca="1" ref="X42" ca="1">IF(INDIRECT("$D"&amp;(ROW(R42)+$F$1-1))=0,X40,$H42&amp;$N42&amp;$O42)</f>
        <v>4630</v>
      </c>
      <c r="Y42" s="7" t="str" cm="1">
        <f t="array" aca="1" ref="Y42" ca="1">IF(INDIRECT("$D"&amp;(ROW(R42)+$F$1-1))=0,Y41,H43&amp;$N43&amp;$O43)</f>
        <v>5530</v>
      </c>
      <c r="Z42" s="7" t="str" cm="1">
        <f t="array" aca="1" ref="Z42" ca="1">IF(INDIRECT("$D"&amp;(ROW(R42)+$F$1-1))=0,Z41,H44&amp;$N44&amp;$O44)</f>
        <v>6030</v>
      </c>
      <c r="AA42" s="7" t="str" cm="1">
        <f t="array" aca="1" ref="AA42" ca="1">IF(INDIRECT("$D"&amp;(ROW(R42)+$F$1-1))=0,AA41,H45&amp;$N45&amp;$O45)</f>
        <v>0000</v>
      </c>
      <c r="AB42" s="7" t="str" cm="1">
        <f t="array" aca="1" ref="AB42" ca="1">IF(INDIRECT("$D"&amp;(ROW(R42)+$F$1-1))=0,AB41,H46&amp;$N46&amp;$O46)</f>
        <v>0560</v>
      </c>
      <c r="AC42" s="7" t="str" cm="1">
        <f t="array" aca="1" ref="AC42" ca="1">IF(INDIRECT("$D"&amp;(ROW(R42)+$F$1-1))=0,AC41,H47&amp;$N47&amp;$O47)</f>
        <v>0000</v>
      </c>
      <c r="AD42" s="7" t="str" cm="1">
        <f t="array" aca="1" ref="AD42" ca="1">IF(INDIRECT("$D"&amp;(ROW(R42)+$F$1-1))=0,AD41,I42&amp;$P42&amp;$Q42)</f>
        <v>5130</v>
      </c>
      <c r="AE42" s="7" t="str" cm="1">
        <f t="array" aca="1" ref="AE42" ca="1">IF(INDIRECT("$D"&amp;(ROW(R42)+$F$1-1))=0,AE41,I43&amp;$P43&amp;$Q43)</f>
        <v>5660</v>
      </c>
      <c r="AF42" s="7" t="str" cm="1">
        <f t="array" aca="1" ref="AF42" ca="1">IF(INDIRECT("$D"&amp;(ROW(R42)+$F$1-1))=0,AF41,I44&amp;$P44&amp;$Q44)</f>
        <v>0160</v>
      </c>
      <c r="AG42" s="7" t="str" cm="1">
        <f t="array" aca="1" ref="AG42" ca="1">IF(INDIRECT("$D"&amp;(ROW(R42)+$F$1-1))=0,AG41,I45&amp;$P45&amp;$Q45)</f>
        <v>0000</v>
      </c>
      <c r="AH42" s="7" t="str" cm="1">
        <f t="array" aca="1" ref="AH42" ca="1">IF(INDIRECT("$D"&amp;(ROW(R42)+$F$1-1))=0,AH41,I46&amp;$P46&amp;$Q46)</f>
        <v>0000</v>
      </c>
      <c r="AI42" s="7" t="str" cm="1">
        <f t="array" aca="1" ref="AI42" ca="1">IF(INDIRECT("$D"&amp;(ROW(R42)+$F$1-1))=0,AI41,I47&amp;$P47&amp;$Q47)</f>
        <v>0000</v>
      </c>
      <c r="AJ42" s="7" t="str" cm="1">
        <f t="array" ref="AJ42">TEXT($D42,"000")&amp;TEXT(IFERROR(INDEX($D$5:$D$103,_xlfn.AGGREGATE(15,6,ROW($E$5:$E$103)/(($E$5:$E$103&lt;&gt;"p")*($E$5:$E$103&lt;&gt;"t")*(ROW($E$5:$E$103)&gt;ROW($E42))),1)-ROW($E$5)+1),$D42),"000")</f>
        <v>000000</v>
      </c>
      <c r="AK42" s="22">
        <f t="shared" si="2"/>
        <v>500</v>
      </c>
      <c r="AL42" s="22" cm="1">
        <f t="array" aca="1" ref="AL42" ca="1">IF(INDIRECT("$K"&amp;(ROW(R42)+$F$1-1))="TERMINAL",1000489,489)*SIGN(AK42)</f>
        <v>1000489</v>
      </c>
      <c r="AM42" s="7" cm="1">
        <f t="array" aca="1" ref="AM42" ca="1">IF(INDIRECT("$D"&amp;(ROW(R42)+$F$1-1))=0,AM41,$G42)</f>
        <v>8</v>
      </c>
      <c r="AN42" s="7" cm="1">
        <f t="array" aca="1" ref="AN42" ca="1">IF(INDIRECT("$D"&amp;(ROW(R42)+$F$1-1))=0,AN41,$G43)</f>
        <v>0</v>
      </c>
      <c r="AO42" s="7" cm="1">
        <f t="array" aca="1" ref="AO42" ca="1">IF(INDIRECT("$D"&amp;(ROW(R42)+$F$1-1))=0,AO41,$G44)</f>
        <v>0</v>
      </c>
      <c r="AP42" s="7" cm="1">
        <f t="array" aca="1" ref="AP42" ca="1">IF(INDIRECT("$D"&amp;(ROW(R42)+$F$1-1))=0,AP41,$G45)</f>
        <v>0</v>
      </c>
      <c r="AQ42" s="7" cm="1">
        <f t="array" aca="1" ref="AQ42" ca="1">IF(INDIRECT("$D"&amp;(ROW(R42)+$F$1-1))=0,AQ41,$G46)</f>
        <v>1</v>
      </c>
      <c r="AR42" s="7" cm="1">
        <f t="array" aca="1" ref="AR42" ca="1">IF(INDIRECT("$D"&amp;(ROW(R42)+$F$1-1))=0,AR41,$G47)</f>
        <v>0</v>
      </c>
      <c r="AS42" s="7" cm="1">
        <f t="array" aca="1" ref="AS42" ca="1">IF(INDIRECT("$D"&amp;(ROW(AS42)+$F$1-1))=0,AS41+4,1)</f>
        <v>77</v>
      </c>
      <c r="AT42" s="7" cm="1">
        <f t="array" aca="1" ref="AT42" ca="1">IF(INDIRECT("$D"&amp;(ROW(AT42)+$F$1-1))=0,AT41+4,2)</f>
        <v>78</v>
      </c>
      <c r="AU42" s="7" cm="1">
        <f t="array" aca="1" ref="AU42" ca="1">IF(INDIRECT("$D"&amp;(ROW(AU42)+$F$1-1))=0,AU41+4,3)</f>
        <v>79</v>
      </c>
      <c r="AV42" s="7" cm="1">
        <f t="array" aca="1" ref="AV42" ca="1">IF(INDIRECT("$D"&amp;(ROW(AV42)+$F$1-1))=0,AV41+4,4)</f>
        <v>80</v>
      </c>
      <c r="AW42" s="22" cm="1">
        <f t="array" aca="1" ref="AW42" ca="1">_xlfn.XLOOKUP(1,INDIRECT("J"&amp;ROW(K42)+$F$1):J$103,INDIRECT("D"&amp;ROW(K42)+$F$1):D$103,0,0,1)</f>
        <v>0</v>
      </c>
      <c r="AX42" s="22">
        <f t="shared" ca="1" si="3"/>
        <v>0</v>
      </c>
      <c r="AY42" s="22" cm="1">
        <f t="array" aca="1" ref="AY42" ca="1">_xlfn.XLOOKUP(AW42,D$4:D$110,H$4:H$110&amp;N$4:N$110&amp;O$4:O$110,0,0,1)</f>
        <v>0</v>
      </c>
      <c r="AZ42" s="22" cm="1">
        <f t="array" aca="1" ref="AZ42" ca="1">_xlfn.XLOOKUP(AW42,D$4:D$110,I$4:I$110&amp;P$4:P$110&amp;Q$4:Q$110,0,0,1)</f>
        <v>0</v>
      </c>
      <c r="BA42" s="14" cm="1">
        <f t="array" ref="BA42">_xlfn.XLOOKUP(1,J$4:J41,D$4:D41,0,0,-1)</f>
        <v>35</v>
      </c>
      <c r="BB42" s="14">
        <f t="shared" si="5"/>
        <v>1</v>
      </c>
      <c r="BC42" s="14" t="str" cm="1">
        <f t="array" ref="BC42">_xlfn.SWITCH(TRUE,_xlfn.XLOOKUP(BA42,D$4:D$110,TEXT(F$4:F$110,"HH"),0,0,1)="00",B40&amp;"",_xlfn.XLOOKUP(BA42,D$4:D$110,TEXT(F$4:F$110,"HH"),0,0,1)="T","00",TRUE,_xlfn.XLOOKUP(BA42,D$4:D$110,TEXT(F$4:F$110,"HH"),0,0,1))</f>
        <v>00</v>
      </c>
      <c r="BD42" s="14" t="str">
        <f t="shared" si="4"/>
        <v>000000</v>
      </c>
    </row>
    <row r="43" spans="1:56">
      <c r="A43" s="2">
        <v>40</v>
      </c>
      <c r="B43" s="5"/>
      <c r="C43" s="5"/>
      <c r="D43" s="5"/>
      <c r="E43" s="5"/>
      <c r="F43" s="5"/>
      <c r="G43" s="5"/>
      <c r="H43" s="5"/>
      <c r="I43" s="5"/>
      <c r="J43" s="5">
        <f t="shared" si="1"/>
        <v>0</v>
      </c>
      <c r="K43" s="7" t="str">
        <f t="shared" si="0"/>
        <v>terminal</v>
      </c>
      <c r="L43" s="7" t="str" cm="1">
        <f t="array" ref="L43">_xlfn.SWITCH(TRUE,$K43="PASS",TEXT($B$1,"0000"),AND($K43="STOP",E43=""),TEXT($D$1,"0000"),$K42="TERMINAL","0000",TRUE,TEXT(E43,"MMSS"))</f>
        <v>0000</v>
      </c>
      <c r="M43" s="7" t="str" cm="1">
        <f t="array" ref="M43">_xlfn.SWITCH(TRUE,$K43="PASS",TEXT($B$1,"0000"),AND($K43="STOP",F43=""),TEXT($D$1,"0000"),$K43="TERMINAL","0000",TRUE,TEXT(F43,"MMSS"))</f>
        <v>0000</v>
      </c>
      <c r="N43" t="str" cm="1">
        <f t="array" ref="N43">_xlfn.SWITCH(TRUE,AND(LEFT(L43,2)="00",K43="TERMINAL"),"00",E43="",TEXT(LEFT($D$1,2),"00"),LEFT(L43,2)="00",$D$2&amp;"",TRUE,LEFT(L43,2))</f>
        <v>00</v>
      </c>
      <c r="O43" t="str" cm="1">
        <f t="array" ref="O43">_xlfn.SWITCH(TRUE,AND(N43="00",RIGHT(L43,2)="00",K43="TERMINAL"),"00",OR(E43="",N43=LEFT($B$1,2)),TEXT(RIGHT($D$1,2),"00"),RIGHT(L43,2)="00",$D$2&amp;"",TRUE,RIGHT(L43,2))</f>
        <v>00</v>
      </c>
      <c r="P43" t="str" cm="1">
        <f t="array" ref="P43">_xlfn.SWITCH(TRUE,AND(LEFT(M43,2)="00",K43="TERMINAL"),"00",F43="",TEXT(LEFT($D$1,2),"00"),LEFT(M43,2)="00",$D$2&amp;"",TRUE,LEFT(M43,2))</f>
        <v>00</v>
      </c>
      <c r="Q43" t="str" cm="1">
        <f t="array" ref="Q43">_xlfn.SWITCH(TRUE,AND(RIGHT(M43,2)="00",K43="TERMINAL"),"00",F43="",TEXT(RIGHT($D$1,2),"00"),RIGHT(M43,2)="00",$D$2&amp;"",TRUE,RIGHT(M43,2))</f>
        <v>00</v>
      </c>
      <c r="R43" s="7" cm="1">
        <f t="array" aca="1" ref="R43" ca="1">IF(INDIRECT("$D"&amp;(ROW(R43)+$F$1-1))=0,R42,$D43)</f>
        <v>39</v>
      </c>
      <c r="S43" s="7" cm="1">
        <f t="array" aca="1" ref="S43" ca="1">IF(INDIRECT("$D"&amp;(ROW(R43)+$F$1-1))=0,S42,$D44)</f>
        <v>38</v>
      </c>
      <c r="T43" s="7" cm="1">
        <f t="array" aca="1" ref="T43" ca="1">IF(INDIRECT("$D"&amp;(ROW(R43)+$F$1-1))=0,T42,$D45)</f>
        <v>37</v>
      </c>
      <c r="U43" s="7" cm="1">
        <f t="array" aca="1" ref="U43" ca="1">IF(INDIRECT("$D"&amp;(ROW(R43)+$F$1-1))=0,U42,$D46)</f>
        <v>36</v>
      </c>
      <c r="V43" s="7" cm="1">
        <f t="array" aca="1" ref="V43" ca="1">IF(INDIRECT("$D"&amp;(ROW(R43)+$F$1-1))=0,V42,$D47)</f>
        <v>35</v>
      </c>
      <c r="W43" s="7" cm="1">
        <f t="array" aca="1" ref="W43" ca="1">IF(INDIRECT("$D"&amp;(ROW(R43)+$F$1-1))=0,W42,$D48)</f>
        <v>0</v>
      </c>
      <c r="X43" s="7" t="str" cm="1">
        <f t="array" aca="1" ref="X43" ca="1">IF(INDIRECT("$D"&amp;(ROW(R43)+$F$1-1))=0,X41,$H43&amp;$N43&amp;$O43)</f>
        <v>5160</v>
      </c>
      <c r="Y43" s="7" t="str" cm="1">
        <f t="array" aca="1" ref="Y43" ca="1">IF(INDIRECT("$D"&amp;(ROW(R43)+$F$1-1))=0,Y42,H44&amp;$N44&amp;$O44)</f>
        <v>5530</v>
      </c>
      <c r="Z43" s="7" t="str" cm="1">
        <f t="array" aca="1" ref="Z43" ca="1">IF(INDIRECT("$D"&amp;(ROW(R43)+$F$1-1))=0,Z42,H45&amp;$N45&amp;$O45)</f>
        <v>6030</v>
      </c>
      <c r="AA43" s="7" t="str" cm="1">
        <f t="array" aca="1" ref="AA43" ca="1">IF(INDIRECT("$D"&amp;(ROW(R43)+$F$1-1))=0,AA42,H46&amp;$N46&amp;$O46)</f>
        <v>0000</v>
      </c>
      <c r="AB43" s="7" t="str" cm="1">
        <f t="array" aca="1" ref="AB43" ca="1">IF(INDIRECT("$D"&amp;(ROW(R43)+$F$1-1))=0,AB42,H47&amp;$N47&amp;$O47)</f>
        <v>0560</v>
      </c>
      <c r="AC43" s="7" t="str" cm="1">
        <f t="array" aca="1" ref="AC43" ca="1">IF(INDIRECT("$D"&amp;(ROW(R43)+$F$1-1))=0,AC42,H48&amp;$N48&amp;$O48)</f>
        <v>0000</v>
      </c>
      <c r="AD43" s="7" t="str" cm="1">
        <f t="array" aca="1" ref="AD43" ca="1">IF(INDIRECT("$D"&amp;(ROW(R43)+$F$1-1))=0,AD42,I43&amp;$P43&amp;$Q43)</f>
        <v>5130</v>
      </c>
      <c r="AE43" s="7" t="str" cm="1">
        <f t="array" aca="1" ref="AE43" ca="1">IF(INDIRECT("$D"&amp;(ROW(R43)+$F$1-1))=0,AE42,I44&amp;$P44&amp;$Q44)</f>
        <v>5660</v>
      </c>
      <c r="AF43" s="7" t="str" cm="1">
        <f t="array" aca="1" ref="AF43" ca="1">IF(INDIRECT("$D"&amp;(ROW(R43)+$F$1-1))=0,AF42,I45&amp;$P45&amp;$Q45)</f>
        <v>0160</v>
      </c>
      <c r="AG43" s="7" t="str" cm="1">
        <f t="array" aca="1" ref="AG43" ca="1">IF(INDIRECT("$D"&amp;(ROW(R43)+$F$1-1))=0,AG42,I46&amp;$P46&amp;$Q46)</f>
        <v>0000</v>
      </c>
      <c r="AH43" s="7" t="str" cm="1">
        <f t="array" aca="1" ref="AH43" ca="1">IF(INDIRECT("$D"&amp;(ROW(R43)+$F$1-1))=0,AH42,I47&amp;$P47&amp;$Q47)</f>
        <v>0000</v>
      </c>
      <c r="AI43" s="7" t="str" cm="1">
        <f t="array" aca="1" ref="AI43" ca="1">IF(INDIRECT("$D"&amp;(ROW(R43)+$F$1-1))=0,AI42,I48&amp;$P48&amp;$Q48)</f>
        <v>0000</v>
      </c>
      <c r="AJ43" s="7" t="str" cm="1">
        <f t="array" ref="AJ43">TEXT($D43,"000")&amp;TEXT(IFERROR(INDEX($D$5:$D$103,_xlfn.AGGREGATE(15,6,ROW($E$5:$E$103)/(($E$5:$E$103&lt;&gt;"p")*($E$5:$E$103&lt;&gt;"t")*(ROW($E$5:$E$103)&gt;ROW($E43))),1)-ROW($E$5)+1),$D43),"000")</f>
        <v>000000</v>
      </c>
      <c r="AK43" s="22">
        <f t="shared" si="2"/>
        <v>500</v>
      </c>
      <c r="AL43" s="22" cm="1">
        <f t="array" aca="1" ref="AL43" ca="1">IF(INDIRECT("$K"&amp;(ROW(R43)+$F$1-1))="TERMINAL",1000489,489)*SIGN(AK43)</f>
        <v>1000489</v>
      </c>
      <c r="AM43" s="7" cm="1">
        <f t="array" aca="1" ref="AM43" ca="1">IF(INDIRECT("$D"&amp;(ROW(R43)+$F$1-1))=0,AM42,$G43)</f>
        <v>8</v>
      </c>
      <c r="AN43" s="7" cm="1">
        <f t="array" aca="1" ref="AN43" ca="1">IF(INDIRECT("$D"&amp;(ROW(R43)+$F$1-1))=0,AN42,$G44)</f>
        <v>0</v>
      </c>
      <c r="AO43" s="7" cm="1">
        <f t="array" aca="1" ref="AO43" ca="1">IF(INDIRECT("$D"&amp;(ROW(R43)+$F$1-1))=0,AO42,$G45)</f>
        <v>0</v>
      </c>
      <c r="AP43" s="7" cm="1">
        <f t="array" aca="1" ref="AP43" ca="1">IF(INDIRECT("$D"&amp;(ROW(R43)+$F$1-1))=0,AP42,$G46)</f>
        <v>0</v>
      </c>
      <c r="AQ43" s="7" cm="1">
        <f t="array" aca="1" ref="AQ43" ca="1">IF(INDIRECT("$D"&amp;(ROW(R43)+$F$1-1))=0,AQ42,$G47)</f>
        <v>1</v>
      </c>
      <c r="AR43" s="7" cm="1">
        <f t="array" aca="1" ref="AR43" ca="1">IF(INDIRECT("$D"&amp;(ROW(R43)+$F$1-1))=0,AR42,$G48)</f>
        <v>0</v>
      </c>
      <c r="AS43" s="7" cm="1">
        <f t="array" aca="1" ref="AS43" ca="1">IF(INDIRECT("$D"&amp;(ROW(AS43)+$F$1-1))=0,AS42+4,1)</f>
        <v>81</v>
      </c>
      <c r="AT43" s="7" cm="1">
        <f t="array" aca="1" ref="AT43" ca="1">IF(INDIRECT("$D"&amp;(ROW(AT43)+$F$1-1))=0,AT42+4,2)</f>
        <v>82</v>
      </c>
      <c r="AU43" s="7" cm="1">
        <f t="array" aca="1" ref="AU43" ca="1">IF(INDIRECT("$D"&amp;(ROW(AU43)+$F$1-1))=0,AU42+4,3)</f>
        <v>83</v>
      </c>
      <c r="AV43" s="7" cm="1">
        <f t="array" aca="1" ref="AV43" ca="1">IF(INDIRECT("$D"&amp;(ROW(AV43)+$F$1-1))=0,AV42+4,4)</f>
        <v>84</v>
      </c>
      <c r="AW43" s="22" cm="1">
        <f t="array" aca="1" ref="AW43" ca="1">_xlfn.XLOOKUP(1,INDIRECT("J"&amp;ROW(K43)+$F$1):J$103,INDIRECT("D"&amp;ROW(K43)+$F$1):D$103,0,0,1)</f>
        <v>0</v>
      </c>
      <c r="AX43" s="22">
        <f t="shared" ca="1" si="3"/>
        <v>0</v>
      </c>
      <c r="AY43" s="22" cm="1">
        <f t="array" aca="1" ref="AY43" ca="1">_xlfn.XLOOKUP(AW43,D$4:D$110,H$4:H$110&amp;N$4:N$110&amp;O$4:O$110,0,0,1)</f>
        <v>0</v>
      </c>
      <c r="AZ43" s="22" cm="1">
        <f t="array" aca="1" ref="AZ43" ca="1">_xlfn.XLOOKUP(AW43,D$4:D$110,I$4:I$110&amp;P$4:P$110&amp;Q$4:Q$110,0,0,1)</f>
        <v>0</v>
      </c>
      <c r="BA43" s="14" cm="1">
        <f t="array" ref="BA43">_xlfn.XLOOKUP(1,J$4:J42,D$4:D42,0,0,-1)</f>
        <v>35</v>
      </c>
      <c r="BB43" s="14">
        <f t="shared" si="5"/>
        <v>1</v>
      </c>
      <c r="BC43" s="14" t="str" cm="1">
        <f t="array" ref="BC43">_xlfn.SWITCH(TRUE,_xlfn.XLOOKUP(BA43,D$4:D$110,TEXT(F$4:F$110,"HH"),0,0,1)="00",B41&amp;"",_xlfn.XLOOKUP(BA43,D$4:D$110,TEXT(F$4:F$110,"HH"),0,0,1)="T","00",TRUE,_xlfn.XLOOKUP(BA43,D$4:D$110,TEXT(F$4:F$110,"HH"),0,0,1))</f>
        <v>00</v>
      </c>
      <c r="BD43" s="14" t="str">
        <f t="shared" si="4"/>
        <v>000000</v>
      </c>
    </row>
    <row r="44" spans="1:56">
      <c r="A44" s="2">
        <v>41</v>
      </c>
      <c r="B44" s="5"/>
      <c r="C44" s="5"/>
      <c r="D44" s="5"/>
      <c r="E44" s="15"/>
      <c r="F44" s="15"/>
      <c r="G44" s="5"/>
      <c r="H44" s="5"/>
      <c r="I44" s="5"/>
      <c r="J44" s="5">
        <f t="shared" si="1"/>
        <v>0</v>
      </c>
      <c r="K44" s="7" t="str">
        <f t="shared" si="0"/>
        <v>terminal</v>
      </c>
      <c r="L44" s="7" t="str" cm="1">
        <f t="array" ref="L44">_xlfn.SWITCH(TRUE,$K44="PASS",TEXT($B$1,"0000"),AND($K44="STOP",E44=""),TEXT($D$1,"0000"),$K43="TERMINAL","0000",TRUE,TEXT(E44,"MMSS"))</f>
        <v>0000</v>
      </c>
      <c r="M44" s="7" t="str" cm="1">
        <f t="array" ref="M44">_xlfn.SWITCH(TRUE,$K44="PASS",TEXT($B$1,"0000"),AND($K44="STOP",F44=""),TEXT($D$1,"0000"),$K44="TERMINAL","0000",TRUE,TEXT(F44,"MMSS"))</f>
        <v>0000</v>
      </c>
      <c r="N44" t="str" cm="1">
        <f t="array" ref="N44">_xlfn.SWITCH(TRUE,AND(LEFT(L44,2)="00",K44="TERMINAL"),"00",E44="",TEXT(LEFT($D$1,2),"00"),LEFT(L44,2)="00",$D$2&amp;"",TRUE,LEFT(L44,2))</f>
        <v>00</v>
      </c>
      <c r="O44" t="str" cm="1">
        <f t="array" ref="O44">_xlfn.SWITCH(TRUE,AND(N44="00",RIGHT(L44,2)="00",K44="TERMINAL"),"00",OR(E44="",N44=LEFT($B$1,2)),TEXT(RIGHT($D$1,2),"00"),RIGHT(L44,2)="00",$D$2&amp;"",TRUE,RIGHT(L44,2))</f>
        <v>00</v>
      </c>
      <c r="P44" t="str" cm="1">
        <f t="array" ref="P44">_xlfn.SWITCH(TRUE,AND(LEFT(M44,2)="00",K44="TERMINAL"),"00",F44="",TEXT(LEFT($D$1,2),"00"),LEFT(M44,2)="00",$D$2&amp;"",TRUE,LEFT(M44,2))</f>
        <v>00</v>
      </c>
      <c r="Q44" t="str" cm="1">
        <f t="array" ref="Q44">_xlfn.SWITCH(TRUE,AND(RIGHT(M44,2)="00",K44="TERMINAL"),"00",F44="",TEXT(RIGHT($D$1,2),"00"),RIGHT(M44,2)="00",$D$2&amp;"",TRUE,RIGHT(M44,2))</f>
        <v>00</v>
      </c>
      <c r="R44" s="7" cm="1">
        <f t="array" aca="1" ref="R44" ca="1">IF(INDIRECT("$D"&amp;(ROW(R44)+$F$1-1))=0,R43,$D44)</f>
        <v>39</v>
      </c>
      <c r="S44" s="7" cm="1">
        <f t="array" aca="1" ref="S44" ca="1">IF(INDIRECT("$D"&amp;(ROW(R44)+$F$1-1))=0,S43,$D45)</f>
        <v>38</v>
      </c>
      <c r="T44" s="7" cm="1">
        <f t="array" aca="1" ref="T44" ca="1">IF(INDIRECT("$D"&amp;(ROW(R44)+$F$1-1))=0,T43,$D46)</f>
        <v>37</v>
      </c>
      <c r="U44" s="7" cm="1">
        <f t="array" aca="1" ref="U44" ca="1">IF(INDIRECT("$D"&amp;(ROW(R44)+$F$1-1))=0,U43,$D47)</f>
        <v>36</v>
      </c>
      <c r="V44" s="7" cm="1">
        <f t="array" aca="1" ref="V44" ca="1">IF(INDIRECT("$D"&amp;(ROW(R44)+$F$1-1))=0,V43,$D48)</f>
        <v>35</v>
      </c>
      <c r="W44" s="7" cm="1">
        <f t="array" aca="1" ref="W44" ca="1">IF(INDIRECT("$D"&amp;(ROW(R44)+$F$1-1))=0,W43,$D49)</f>
        <v>0</v>
      </c>
      <c r="X44" s="7" t="str" cm="1">
        <f t="array" aca="1" ref="X44" ca="1">IF(INDIRECT("$D"&amp;(ROW(R44)+$F$1-1))=0,X42,$H44&amp;$N44&amp;$O44)</f>
        <v>4630</v>
      </c>
      <c r="Y44" s="7" t="str" cm="1">
        <f t="array" aca="1" ref="Y44" ca="1">IF(INDIRECT("$D"&amp;(ROW(R44)+$F$1-1))=0,Y43,H45&amp;$N45&amp;$O45)</f>
        <v>5530</v>
      </c>
      <c r="Z44" s="7" t="str" cm="1">
        <f t="array" aca="1" ref="Z44" ca="1">IF(INDIRECT("$D"&amp;(ROW(R44)+$F$1-1))=0,Z43,H46&amp;$N46&amp;$O46)</f>
        <v>6030</v>
      </c>
      <c r="AA44" s="7" t="str" cm="1">
        <f t="array" aca="1" ref="AA44" ca="1">IF(INDIRECT("$D"&amp;(ROW(R44)+$F$1-1))=0,AA43,H47&amp;$N47&amp;$O47)</f>
        <v>0000</v>
      </c>
      <c r="AB44" s="7" t="str" cm="1">
        <f t="array" aca="1" ref="AB44" ca="1">IF(INDIRECT("$D"&amp;(ROW(R44)+$F$1-1))=0,AB43,H48&amp;$N48&amp;$O48)</f>
        <v>0560</v>
      </c>
      <c r="AC44" s="7" t="str" cm="1">
        <f t="array" aca="1" ref="AC44" ca="1">IF(INDIRECT("$D"&amp;(ROW(R44)+$F$1-1))=0,AC43,H49&amp;$N49&amp;$O49)</f>
        <v>0000</v>
      </c>
      <c r="AD44" s="7" t="str" cm="1">
        <f t="array" aca="1" ref="AD44" ca="1">IF(INDIRECT("$D"&amp;(ROW(R44)+$F$1-1))=0,AD43,I44&amp;$P44&amp;$Q44)</f>
        <v>5130</v>
      </c>
      <c r="AE44" s="7" t="str" cm="1">
        <f t="array" aca="1" ref="AE44" ca="1">IF(INDIRECT("$D"&amp;(ROW(R44)+$F$1-1))=0,AE43,I45&amp;$P45&amp;$Q45)</f>
        <v>5660</v>
      </c>
      <c r="AF44" s="7" t="str" cm="1">
        <f t="array" aca="1" ref="AF44" ca="1">IF(INDIRECT("$D"&amp;(ROW(R44)+$F$1-1))=0,AF43,I46&amp;$P46&amp;$Q46)</f>
        <v>0160</v>
      </c>
      <c r="AG44" s="7" t="str" cm="1">
        <f t="array" aca="1" ref="AG44" ca="1">IF(INDIRECT("$D"&amp;(ROW(R44)+$F$1-1))=0,AG43,I47&amp;$P47&amp;$Q47)</f>
        <v>0000</v>
      </c>
      <c r="AH44" s="7" t="str" cm="1">
        <f t="array" aca="1" ref="AH44" ca="1">IF(INDIRECT("$D"&amp;(ROW(R44)+$F$1-1))=0,AH43,I48&amp;$P48&amp;$Q48)</f>
        <v>0000</v>
      </c>
      <c r="AI44" s="7" t="str" cm="1">
        <f t="array" aca="1" ref="AI44" ca="1">IF(INDIRECT("$D"&amp;(ROW(R44)+$F$1-1))=0,AI43,I49&amp;$P49&amp;$Q49)</f>
        <v>0000</v>
      </c>
      <c r="AJ44" s="7" t="str" cm="1">
        <f t="array" ref="AJ44">TEXT($D44,"000")&amp;TEXT(IFERROR(INDEX($D$5:$D$103,_xlfn.AGGREGATE(15,6,ROW($E$5:$E$103)/(($E$5:$E$103&lt;&gt;"p")*($E$5:$E$103&lt;&gt;"t")*(ROW($E$5:$E$103)&gt;ROW($E44))),1)-ROW($E$5)+1),$D44),"000")</f>
        <v>000000</v>
      </c>
      <c r="AK44" s="22">
        <f t="shared" si="2"/>
        <v>500</v>
      </c>
      <c r="AL44" s="22" cm="1">
        <f t="array" aca="1" ref="AL44" ca="1">IF(INDIRECT("$K"&amp;(ROW(R44)+$F$1-1))="TERMINAL",1000489,489)*SIGN(AK44)</f>
        <v>1000489</v>
      </c>
      <c r="AM44" s="7" cm="1">
        <f t="array" aca="1" ref="AM44" ca="1">IF(INDIRECT("$D"&amp;(ROW(R44)+$F$1-1))=0,AM43,$G44)</f>
        <v>8</v>
      </c>
      <c r="AN44" s="7" cm="1">
        <f t="array" aca="1" ref="AN44" ca="1">IF(INDIRECT("$D"&amp;(ROW(R44)+$F$1-1))=0,AN43,$G45)</f>
        <v>0</v>
      </c>
      <c r="AO44" s="7" cm="1">
        <f t="array" aca="1" ref="AO44" ca="1">IF(INDIRECT("$D"&amp;(ROW(R44)+$F$1-1))=0,AO43,$G46)</f>
        <v>0</v>
      </c>
      <c r="AP44" s="7" cm="1">
        <f t="array" aca="1" ref="AP44" ca="1">IF(INDIRECT("$D"&amp;(ROW(R44)+$F$1-1))=0,AP43,$G47)</f>
        <v>0</v>
      </c>
      <c r="AQ44" s="7" cm="1">
        <f t="array" aca="1" ref="AQ44" ca="1">IF(INDIRECT("$D"&amp;(ROW(R44)+$F$1-1))=0,AQ43,$G48)</f>
        <v>1</v>
      </c>
      <c r="AR44" s="7" cm="1">
        <f t="array" aca="1" ref="AR44" ca="1">IF(INDIRECT("$D"&amp;(ROW(R44)+$F$1-1))=0,AR43,$G49)</f>
        <v>0</v>
      </c>
      <c r="AS44" s="7" cm="1">
        <f t="array" aca="1" ref="AS44" ca="1">IF(INDIRECT("$D"&amp;(ROW(AS44)+$F$1-1))=0,AS43+4,1)</f>
        <v>85</v>
      </c>
      <c r="AT44" s="7" cm="1">
        <f t="array" aca="1" ref="AT44" ca="1">IF(INDIRECT("$D"&amp;(ROW(AT44)+$F$1-1))=0,AT43+4,2)</f>
        <v>86</v>
      </c>
      <c r="AU44" s="7" cm="1">
        <f t="array" aca="1" ref="AU44" ca="1">IF(INDIRECT("$D"&amp;(ROW(AU44)+$F$1-1))=0,AU43+4,3)</f>
        <v>87</v>
      </c>
      <c r="AV44" s="7" cm="1">
        <f t="array" aca="1" ref="AV44" ca="1">IF(INDIRECT("$D"&amp;(ROW(AV44)+$F$1-1))=0,AV43+4,4)</f>
        <v>88</v>
      </c>
      <c r="AW44" s="22" cm="1">
        <f t="array" aca="1" ref="AW44" ca="1">_xlfn.XLOOKUP(1,INDIRECT("J"&amp;ROW(K44)+$F$1):J$103,INDIRECT("D"&amp;ROW(K44)+$F$1):D$103,0,0,1)</f>
        <v>0</v>
      </c>
      <c r="AX44" s="22">
        <f t="shared" ca="1" si="3"/>
        <v>0</v>
      </c>
      <c r="AY44" s="22" cm="1">
        <f t="array" aca="1" ref="AY44" ca="1">_xlfn.XLOOKUP(AW44,D$4:D$110,H$4:H$110&amp;N$4:N$110&amp;O$4:O$110,0,0,1)</f>
        <v>0</v>
      </c>
      <c r="AZ44" s="22" cm="1">
        <f t="array" aca="1" ref="AZ44" ca="1">_xlfn.XLOOKUP(AW44,D$4:D$110,I$4:I$110&amp;P$4:P$110&amp;Q$4:Q$110,0,0,1)</f>
        <v>0</v>
      </c>
      <c r="BA44" s="14" cm="1">
        <f t="array" ref="BA44">_xlfn.XLOOKUP(1,J$4:J43,D$4:D43,0,0,-1)</f>
        <v>35</v>
      </c>
      <c r="BB44" s="14">
        <f t="shared" si="5"/>
        <v>1</v>
      </c>
      <c r="BC44" s="14" t="str" cm="1">
        <f t="array" ref="BC44">_xlfn.SWITCH(TRUE,_xlfn.XLOOKUP(BA44,D$4:D$110,TEXT(F$4:F$110,"HH"),0,0,1)="00",B42&amp;"",_xlfn.XLOOKUP(BA44,D$4:D$110,TEXT(F$4:F$110,"HH"),0,0,1)="T","00",TRUE,_xlfn.XLOOKUP(BA44,D$4:D$110,TEXT(F$4:F$110,"HH"),0,0,1))</f>
        <v>00</v>
      </c>
      <c r="BD44" s="14" t="str">
        <f t="shared" si="4"/>
        <v>000000</v>
      </c>
    </row>
    <row r="45" spans="1:56">
      <c r="A45" s="2">
        <v>42</v>
      </c>
      <c r="B45" s="5"/>
      <c r="C45" s="5"/>
      <c r="D45" s="5"/>
      <c r="E45" s="5"/>
      <c r="F45" s="15"/>
      <c r="G45" s="5"/>
      <c r="H45" s="5"/>
      <c r="I45" s="5"/>
      <c r="J45" s="5">
        <f t="shared" si="1"/>
        <v>0</v>
      </c>
      <c r="K45" s="7" t="str">
        <f t="shared" si="0"/>
        <v>terminal</v>
      </c>
      <c r="L45" s="7" t="str" cm="1">
        <f t="array" ref="L45">_xlfn.SWITCH(TRUE,$K45="PASS",TEXT($B$1,"0000"),AND($K45="STOP",E45=""),TEXT($D$1,"0000"),$K44="TERMINAL","0000",TRUE,TEXT(E45,"MMSS"))</f>
        <v>0000</v>
      </c>
      <c r="M45" s="7" t="str" cm="1">
        <f t="array" ref="M45">_xlfn.SWITCH(TRUE,$K45="PASS",TEXT($B$1,"0000"),AND($K45="STOP",F45=""),TEXT($D$1,"0000"),$K45="TERMINAL","0000",TRUE,TEXT(F45,"MMSS"))</f>
        <v>0000</v>
      </c>
      <c r="N45" t="str" cm="1">
        <f t="array" ref="N45">_xlfn.SWITCH(TRUE,AND(LEFT(L45,2)="00",K45="TERMINAL"),"00",E45="",TEXT(LEFT($D$1,2),"00"),LEFT(L45,2)="00",$D$2&amp;"",TRUE,LEFT(L45,2))</f>
        <v>00</v>
      </c>
      <c r="O45" t="str" cm="1">
        <f t="array" ref="O45">_xlfn.SWITCH(TRUE,AND(N45="00",RIGHT(L45,2)="00",K45="TERMINAL"),"00",OR(E45="",N45=LEFT($B$1,2)),TEXT(RIGHT($D$1,2),"00"),RIGHT(L45,2)="00",$D$2&amp;"",TRUE,RIGHT(L45,2))</f>
        <v>00</v>
      </c>
      <c r="P45" t="str" cm="1">
        <f t="array" ref="P45">_xlfn.SWITCH(TRUE,AND(LEFT(M45,2)="00",K45="TERMINAL"),"00",F45="",TEXT(LEFT($D$1,2),"00"),LEFT(M45,2)="00",$D$2&amp;"",TRUE,LEFT(M45,2))</f>
        <v>00</v>
      </c>
      <c r="Q45" t="str" cm="1">
        <f t="array" ref="Q45">_xlfn.SWITCH(TRUE,AND(RIGHT(M45,2)="00",K45="TERMINAL"),"00",F45="",TEXT(RIGHT($D$1,2),"00"),RIGHT(M45,2)="00",$D$2&amp;"",TRUE,RIGHT(M45,2))</f>
        <v>00</v>
      </c>
      <c r="R45" s="7" cm="1">
        <f t="array" aca="1" ref="R45" ca="1">IF(INDIRECT("$D"&amp;(ROW(R45)+$F$1-1))=0,R44,$D45)</f>
        <v>39</v>
      </c>
      <c r="S45" s="7" cm="1">
        <f t="array" aca="1" ref="S45" ca="1">IF(INDIRECT("$D"&amp;(ROW(R45)+$F$1-1))=0,S44,$D46)</f>
        <v>38</v>
      </c>
      <c r="T45" s="7" cm="1">
        <f t="array" aca="1" ref="T45" ca="1">IF(INDIRECT("$D"&amp;(ROW(R45)+$F$1-1))=0,T44,$D47)</f>
        <v>37</v>
      </c>
      <c r="U45" s="7" cm="1">
        <f t="array" aca="1" ref="U45" ca="1">IF(INDIRECT("$D"&amp;(ROW(R45)+$F$1-1))=0,U44,$D48)</f>
        <v>36</v>
      </c>
      <c r="V45" s="7" cm="1">
        <f t="array" aca="1" ref="V45" ca="1">IF(INDIRECT("$D"&amp;(ROW(R45)+$F$1-1))=0,V44,$D49)</f>
        <v>35</v>
      </c>
      <c r="W45" s="7" cm="1">
        <f t="array" aca="1" ref="W45" ca="1">IF(INDIRECT("$D"&amp;(ROW(R45)+$F$1-1))=0,W44,$D50)</f>
        <v>0</v>
      </c>
      <c r="X45" s="7" t="str" cm="1">
        <f t="array" aca="1" ref="X45" ca="1">IF(INDIRECT("$D"&amp;(ROW(R45)+$F$1-1))=0,X43,$H45&amp;$N45&amp;$O45)</f>
        <v>5160</v>
      </c>
      <c r="Y45" s="7" t="str" cm="1">
        <f t="array" aca="1" ref="Y45" ca="1">IF(INDIRECT("$D"&amp;(ROW(R45)+$F$1-1))=0,Y44,H46&amp;$N46&amp;$O46)</f>
        <v>5530</v>
      </c>
      <c r="Z45" s="7" t="str" cm="1">
        <f t="array" aca="1" ref="Z45" ca="1">IF(INDIRECT("$D"&amp;(ROW(R45)+$F$1-1))=0,Z44,H47&amp;$N47&amp;$O47)</f>
        <v>6030</v>
      </c>
      <c r="AA45" s="7" t="str" cm="1">
        <f t="array" aca="1" ref="AA45" ca="1">IF(INDIRECT("$D"&amp;(ROW(R45)+$F$1-1))=0,AA44,H48&amp;$N48&amp;$O48)</f>
        <v>0000</v>
      </c>
      <c r="AB45" s="7" t="str" cm="1">
        <f t="array" aca="1" ref="AB45" ca="1">IF(INDIRECT("$D"&amp;(ROW(R45)+$F$1-1))=0,AB44,H49&amp;$N49&amp;$O49)</f>
        <v>0560</v>
      </c>
      <c r="AC45" s="7" t="str" cm="1">
        <f t="array" aca="1" ref="AC45" ca="1">IF(INDIRECT("$D"&amp;(ROW(R45)+$F$1-1))=0,AC44,H50&amp;$N50&amp;$O50)</f>
        <v>0000</v>
      </c>
      <c r="AD45" s="7" t="str" cm="1">
        <f t="array" aca="1" ref="AD45" ca="1">IF(INDIRECT("$D"&amp;(ROW(R45)+$F$1-1))=0,AD44,I45&amp;$P45&amp;$Q45)</f>
        <v>5130</v>
      </c>
      <c r="AE45" s="7" t="str" cm="1">
        <f t="array" aca="1" ref="AE45" ca="1">IF(INDIRECT("$D"&amp;(ROW(R45)+$F$1-1))=0,AE44,I46&amp;$P46&amp;$Q46)</f>
        <v>5660</v>
      </c>
      <c r="AF45" s="7" t="str" cm="1">
        <f t="array" aca="1" ref="AF45" ca="1">IF(INDIRECT("$D"&amp;(ROW(R45)+$F$1-1))=0,AF44,I47&amp;$P47&amp;$Q47)</f>
        <v>0160</v>
      </c>
      <c r="AG45" s="7" t="str" cm="1">
        <f t="array" aca="1" ref="AG45" ca="1">IF(INDIRECT("$D"&amp;(ROW(R45)+$F$1-1))=0,AG44,I48&amp;$P48&amp;$Q48)</f>
        <v>0000</v>
      </c>
      <c r="AH45" s="7" t="str" cm="1">
        <f t="array" aca="1" ref="AH45" ca="1">IF(INDIRECT("$D"&amp;(ROW(R45)+$F$1-1))=0,AH44,I49&amp;$P49&amp;$Q49)</f>
        <v>0000</v>
      </c>
      <c r="AI45" s="7" t="str" cm="1">
        <f t="array" aca="1" ref="AI45" ca="1">IF(INDIRECT("$D"&amp;(ROW(R45)+$F$1-1))=0,AI44,I50&amp;$P50&amp;$Q50)</f>
        <v>0000</v>
      </c>
      <c r="AJ45" s="7" t="str" cm="1">
        <f t="array" ref="AJ45">TEXT($D45,"000")&amp;TEXT(IFERROR(INDEX($D$5:$D$103,_xlfn.AGGREGATE(15,6,ROW($E$5:$E$103)/(($E$5:$E$103&lt;&gt;"p")*($E$5:$E$103&lt;&gt;"t")*(ROW($E$5:$E$103)&gt;ROW($E45))),1)-ROW($E$5)+1),$D45),"000")</f>
        <v>000000</v>
      </c>
      <c r="AK45" s="22">
        <f t="shared" si="2"/>
        <v>500</v>
      </c>
      <c r="AL45" s="22" cm="1">
        <f t="array" aca="1" ref="AL45" ca="1">IF(INDIRECT("$K"&amp;(ROW(R45)+$F$1-1))="TERMINAL",1000489,489)*SIGN(AK45)</f>
        <v>1000489</v>
      </c>
      <c r="AM45" s="7" cm="1">
        <f t="array" aca="1" ref="AM45" ca="1">IF(INDIRECT("$D"&amp;(ROW(R45)+$F$1-1))=0,AM44,$G45)</f>
        <v>8</v>
      </c>
      <c r="AN45" s="7" cm="1">
        <f t="array" aca="1" ref="AN45" ca="1">IF(INDIRECT("$D"&amp;(ROW(R45)+$F$1-1))=0,AN44,$G46)</f>
        <v>0</v>
      </c>
      <c r="AO45" s="7" cm="1">
        <f t="array" aca="1" ref="AO45" ca="1">IF(INDIRECT("$D"&amp;(ROW(R45)+$F$1-1))=0,AO44,$G47)</f>
        <v>0</v>
      </c>
      <c r="AP45" s="7" cm="1">
        <f t="array" aca="1" ref="AP45" ca="1">IF(INDIRECT("$D"&amp;(ROW(R45)+$F$1-1))=0,AP44,$G48)</f>
        <v>0</v>
      </c>
      <c r="AQ45" s="7" cm="1">
        <f t="array" aca="1" ref="AQ45" ca="1">IF(INDIRECT("$D"&amp;(ROW(R45)+$F$1-1))=0,AQ44,$G49)</f>
        <v>1</v>
      </c>
      <c r="AR45" s="7" cm="1">
        <f t="array" aca="1" ref="AR45" ca="1">IF(INDIRECT("$D"&amp;(ROW(R45)+$F$1-1))=0,AR44,$G50)</f>
        <v>0</v>
      </c>
      <c r="AS45" s="7" cm="1">
        <f t="array" aca="1" ref="AS45" ca="1">IF(INDIRECT("$D"&amp;(ROW(AS45)+$F$1-1))=0,AS44+4,1)</f>
        <v>89</v>
      </c>
      <c r="AT45" s="7" cm="1">
        <f t="array" aca="1" ref="AT45" ca="1">IF(INDIRECT("$D"&amp;(ROW(AT45)+$F$1-1))=0,AT44+4,2)</f>
        <v>90</v>
      </c>
      <c r="AU45" s="7" cm="1">
        <f t="array" aca="1" ref="AU45" ca="1">IF(INDIRECT("$D"&amp;(ROW(AU45)+$F$1-1))=0,AU44+4,3)</f>
        <v>91</v>
      </c>
      <c r="AV45" s="7" cm="1">
        <f t="array" aca="1" ref="AV45" ca="1">IF(INDIRECT("$D"&amp;(ROW(AV45)+$F$1-1))=0,AV44+4,4)</f>
        <v>92</v>
      </c>
      <c r="AW45" s="22" cm="1">
        <f t="array" aca="1" ref="AW45" ca="1">_xlfn.XLOOKUP(1,INDIRECT("J"&amp;ROW(K45)+$F$1):J$103,INDIRECT("D"&amp;ROW(K45)+$F$1):D$103,0,0,1)</f>
        <v>0</v>
      </c>
      <c r="AX45" s="22">
        <f t="shared" ca="1" si="3"/>
        <v>0</v>
      </c>
      <c r="AY45" s="22" cm="1">
        <f t="array" aca="1" ref="AY45" ca="1">_xlfn.XLOOKUP(AW45,D$4:D$110,H$4:H$110&amp;N$4:N$110&amp;O$4:O$110,0,0,1)</f>
        <v>0</v>
      </c>
      <c r="AZ45" s="22" cm="1">
        <f t="array" aca="1" ref="AZ45" ca="1">_xlfn.XLOOKUP(AW45,D$4:D$110,I$4:I$110&amp;P$4:P$110&amp;Q$4:Q$110,0,0,1)</f>
        <v>0</v>
      </c>
      <c r="BA45" s="14" cm="1">
        <f t="array" ref="BA45">_xlfn.XLOOKUP(1,J$4:J44,D$4:D44,0,0,-1)</f>
        <v>35</v>
      </c>
      <c r="BB45" s="14">
        <f t="shared" si="5"/>
        <v>1</v>
      </c>
      <c r="BC45" s="14" t="str" cm="1">
        <f t="array" ref="BC45">_xlfn.SWITCH(TRUE,_xlfn.XLOOKUP(BA45,D$4:D$110,TEXT(F$4:F$110,"HH"),0,0,1)="00",B43&amp;"",_xlfn.XLOOKUP(BA45,D$4:D$110,TEXT(F$4:F$110,"HH"),0,0,1)="T","00",TRUE,_xlfn.XLOOKUP(BA45,D$4:D$110,TEXT(F$4:F$110,"HH"),0,0,1))</f>
        <v>00</v>
      </c>
      <c r="BD45" s="14" t="str">
        <f t="shared" si="4"/>
        <v>000000</v>
      </c>
    </row>
    <row r="46" spans="1:56">
      <c r="A46" s="2">
        <v>43</v>
      </c>
      <c r="B46" s="5"/>
      <c r="C46" s="5"/>
      <c r="D46" s="5"/>
      <c r="E46" s="5"/>
      <c r="F46" s="5"/>
      <c r="G46" s="5"/>
      <c r="H46" s="5"/>
      <c r="I46" s="5"/>
      <c r="J46" s="5">
        <f t="shared" si="1"/>
        <v>0</v>
      </c>
      <c r="K46" s="7" t="str">
        <f t="shared" si="0"/>
        <v>terminal</v>
      </c>
      <c r="L46" s="7" t="str" cm="1">
        <f t="array" ref="L46">_xlfn.SWITCH(TRUE,$K46="PASS",TEXT($B$1,"0000"),AND($K46="STOP",E46=""),TEXT($D$1,"0000"),$K45="TERMINAL","0000",TRUE,TEXT(E46,"MMSS"))</f>
        <v>0000</v>
      </c>
      <c r="M46" s="7" t="str" cm="1">
        <f t="array" ref="M46">_xlfn.SWITCH(TRUE,$K46="PASS",TEXT($B$1,"0000"),AND($K46="STOP",F46=""),TEXT($D$1,"0000"),$K46="TERMINAL","0000",TRUE,TEXT(F46,"MMSS"))</f>
        <v>0000</v>
      </c>
      <c r="N46" t="str" cm="1">
        <f t="array" ref="N46">_xlfn.SWITCH(TRUE,AND(LEFT(L46,2)="00",K46="TERMINAL"),"00",E46="",TEXT(LEFT($D$1,2),"00"),LEFT(L46,2)="00",$D$2&amp;"",TRUE,LEFT(L46,2))</f>
        <v>00</v>
      </c>
      <c r="O46" t="str" cm="1">
        <f t="array" ref="O46">_xlfn.SWITCH(TRUE,AND(N46="00",RIGHT(L46,2)="00",K46="TERMINAL"),"00",OR(E46="",N46=LEFT($B$1,2)),TEXT(RIGHT($D$1,2),"00"),RIGHT(L46,2)="00",$D$2&amp;"",TRUE,RIGHT(L46,2))</f>
        <v>00</v>
      </c>
      <c r="P46" t="str" cm="1">
        <f t="array" ref="P46">_xlfn.SWITCH(TRUE,AND(LEFT(M46,2)="00",K46="TERMINAL"),"00",F46="",TEXT(LEFT($D$1,2),"00"),LEFT(M46,2)="00",$D$2&amp;"",TRUE,LEFT(M46,2))</f>
        <v>00</v>
      </c>
      <c r="Q46" t="str" cm="1">
        <f t="array" ref="Q46">_xlfn.SWITCH(TRUE,AND(RIGHT(M46,2)="00",K46="TERMINAL"),"00",F46="",TEXT(RIGHT($D$1,2),"00"),RIGHT(M46,2)="00",$D$2&amp;"",TRUE,RIGHT(M46,2))</f>
        <v>00</v>
      </c>
      <c r="R46" s="7" cm="1">
        <f t="array" aca="1" ref="R46" ca="1">IF(INDIRECT("$D"&amp;(ROW(R46)+$F$1-1))=0,R45,$D46)</f>
        <v>39</v>
      </c>
      <c r="S46" s="7" cm="1">
        <f t="array" aca="1" ref="S46" ca="1">IF(INDIRECT("$D"&amp;(ROW(R46)+$F$1-1))=0,S45,$D47)</f>
        <v>38</v>
      </c>
      <c r="T46" s="7" cm="1">
        <f t="array" aca="1" ref="T46" ca="1">IF(INDIRECT("$D"&amp;(ROW(R46)+$F$1-1))=0,T45,$D48)</f>
        <v>37</v>
      </c>
      <c r="U46" s="7" cm="1">
        <f t="array" aca="1" ref="U46" ca="1">IF(INDIRECT("$D"&amp;(ROW(R46)+$F$1-1))=0,U45,$D49)</f>
        <v>36</v>
      </c>
      <c r="V46" s="7" cm="1">
        <f t="array" aca="1" ref="V46" ca="1">IF(INDIRECT("$D"&amp;(ROW(R46)+$F$1-1))=0,V45,$D50)</f>
        <v>35</v>
      </c>
      <c r="W46" s="7" cm="1">
        <f t="array" aca="1" ref="W46" ca="1">IF(INDIRECT("$D"&amp;(ROW(R46)+$F$1-1))=0,W45,$D51)</f>
        <v>0</v>
      </c>
      <c r="X46" s="7" t="str" cm="1">
        <f t="array" aca="1" ref="X46" ca="1">IF(INDIRECT("$D"&amp;(ROW(R46)+$F$1-1))=0,X44,$H46&amp;$N46&amp;$O46)</f>
        <v>4630</v>
      </c>
      <c r="Y46" s="7" t="str" cm="1">
        <f t="array" aca="1" ref="Y46" ca="1">IF(INDIRECT("$D"&amp;(ROW(R46)+$F$1-1))=0,Y45,H47&amp;$N47&amp;$O47)</f>
        <v>5530</v>
      </c>
      <c r="Z46" s="7" t="str" cm="1">
        <f t="array" aca="1" ref="Z46" ca="1">IF(INDIRECT("$D"&amp;(ROW(R46)+$F$1-1))=0,Z45,H48&amp;$N48&amp;$O48)</f>
        <v>6030</v>
      </c>
      <c r="AA46" s="7" t="str" cm="1">
        <f t="array" aca="1" ref="AA46" ca="1">IF(INDIRECT("$D"&amp;(ROW(R46)+$F$1-1))=0,AA45,H49&amp;$N49&amp;$O49)</f>
        <v>0000</v>
      </c>
      <c r="AB46" s="7" t="str" cm="1">
        <f t="array" aca="1" ref="AB46" ca="1">IF(INDIRECT("$D"&amp;(ROW(R46)+$F$1-1))=0,AB45,H50&amp;$N50&amp;$O50)</f>
        <v>0560</v>
      </c>
      <c r="AC46" s="7" t="str" cm="1">
        <f t="array" aca="1" ref="AC46" ca="1">IF(INDIRECT("$D"&amp;(ROW(R46)+$F$1-1))=0,AC45,H51&amp;$N51&amp;$O51)</f>
        <v>0000</v>
      </c>
      <c r="AD46" s="7" t="str" cm="1">
        <f t="array" aca="1" ref="AD46" ca="1">IF(INDIRECT("$D"&amp;(ROW(R46)+$F$1-1))=0,AD45,I46&amp;$P46&amp;$Q46)</f>
        <v>5130</v>
      </c>
      <c r="AE46" s="7" t="str" cm="1">
        <f t="array" aca="1" ref="AE46" ca="1">IF(INDIRECT("$D"&amp;(ROW(R46)+$F$1-1))=0,AE45,I47&amp;$P47&amp;$Q47)</f>
        <v>5660</v>
      </c>
      <c r="AF46" s="7" t="str" cm="1">
        <f t="array" aca="1" ref="AF46" ca="1">IF(INDIRECT("$D"&amp;(ROW(R46)+$F$1-1))=0,AF45,I48&amp;$P48&amp;$Q48)</f>
        <v>0160</v>
      </c>
      <c r="AG46" s="7" t="str" cm="1">
        <f t="array" aca="1" ref="AG46" ca="1">IF(INDIRECT("$D"&amp;(ROW(R46)+$F$1-1))=0,AG45,I49&amp;$P49&amp;$Q49)</f>
        <v>0000</v>
      </c>
      <c r="AH46" s="7" t="str" cm="1">
        <f t="array" aca="1" ref="AH46" ca="1">IF(INDIRECT("$D"&amp;(ROW(R46)+$F$1-1))=0,AH45,I50&amp;$P50&amp;$Q50)</f>
        <v>0000</v>
      </c>
      <c r="AI46" s="7" t="str" cm="1">
        <f t="array" aca="1" ref="AI46" ca="1">IF(INDIRECT("$D"&amp;(ROW(R46)+$F$1-1))=0,AI45,I51&amp;$P51&amp;$Q51)</f>
        <v>0000</v>
      </c>
      <c r="AJ46" s="7" t="str" cm="1">
        <f t="array" ref="AJ46">TEXT($D46,"000")&amp;TEXT(IFERROR(INDEX($D$5:$D$103,_xlfn.AGGREGATE(15,6,ROW($E$5:$E$103)/(($E$5:$E$103&lt;&gt;"p")*($E$5:$E$103&lt;&gt;"t")*(ROW($E$5:$E$103)&gt;ROW($E46))),1)-ROW($E$5)+1),$D46),"000")</f>
        <v>000000</v>
      </c>
      <c r="AK46" s="22">
        <f t="shared" si="2"/>
        <v>500</v>
      </c>
      <c r="AL46" s="22" cm="1">
        <f t="array" aca="1" ref="AL46" ca="1">IF(INDIRECT("$K"&amp;(ROW(R46)+$F$1-1))="TERMINAL",1000489,489)*SIGN(AK46)</f>
        <v>1000489</v>
      </c>
      <c r="AM46" s="7" cm="1">
        <f t="array" aca="1" ref="AM46" ca="1">IF(INDIRECT("$D"&amp;(ROW(R46)+$F$1-1))=0,AM45,$G46)</f>
        <v>8</v>
      </c>
      <c r="AN46" s="7" cm="1">
        <f t="array" aca="1" ref="AN46" ca="1">IF(INDIRECT("$D"&amp;(ROW(R46)+$F$1-1))=0,AN45,$G47)</f>
        <v>0</v>
      </c>
      <c r="AO46" s="7" cm="1">
        <f t="array" aca="1" ref="AO46" ca="1">IF(INDIRECT("$D"&amp;(ROW(R46)+$F$1-1))=0,AO45,$G48)</f>
        <v>0</v>
      </c>
      <c r="AP46" s="7" cm="1">
        <f t="array" aca="1" ref="AP46" ca="1">IF(INDIRECT("$D"&amp;(ROW(R46)+$F$1-1))=0,AP45,$G49)</f>
        <v>0</v>
      </c>
      <c r="AQ46" s="7" cm="1">
        <f t="array" aca="1" ref="AQ46" ca="1">IF(INDIRECT("$D"&amp;(ROW(R46)+$F$1-1))=0,AQ45,$G50)</f>
        <v>1</v>
      </c>
      <c r="AR46" s="7" cm="1">
        <f t="array" aca="1" ref="AR46" ca="1">IF(INDIRECT("$D"&amp;(ROW(R46)+$F$1-1))=0,AR45,$G51)</f>
        <v>0</v>
      </c>
      <c r="AS46" s="7" cm="1">
        <f t="array" aca="1" ref="AS46" ca="1">IF(INDIRECT("$D"&amp;(ROW(AS46)+$F$1-1))=0,AS45+4,1)</f>
        <v>93</v>
      </c>
      <c r="AT46" s="7" cm="1">
        <f t="array" aca="1" ref="AT46" ca="1">IF(INDIRECT("$D"&amp;(ROW(AT46)+$F$1-1))=0,AT45+4,2)</f>
        <v>94</v>
      </c>
      <c r="AU46" s="7" cm="1">
        <f t="array" aca="1" ref="AU46" ca="1">IF(INDIRECT("$D"&amp;(ROW(AU46)+$F$1-1))=0,AU45+4,3)</f>
        <v>95</v>
      </c>
      <c r="AV46" s="7" cm="1">
        <f t="array" aca="1" ref="AV46" ca="1">IF(INDIRECT("$D"&amp;(ROW(AV46)+$F$1-1))=0,AV45+4,4)</f>
        <v>96</v>
      </c>
      <c r="AW46" s="22" cm="1">
        <f t="array" aca="1" ref="AW46" ca="1">_xlfn.XLOOKUP(1,INDIRECT("J"&amp;ROW(K46)+$F$1):J$103,INDIRECT("D"&amp;ROW(K46)+$F$1):D$103,0,0,1)</f>
        <v>0</v>
      </c>
      <c r="AX46" s="22">
        <f t="shared" ca="1" si="3"/>
        <v>0</v>
      </c>
      <c r="AY46" s="22" cm="1">
        <f t="array" aca="1" ref="AY46" ca="1">_xlfn.XLOOKUP(AW46,D$4:D$110,H$4:H$110&amp;N$4:N$110&amp;O$4:O$110,0,0,1)</f>
        <v>0</v>
      </c>
      <c r="AZ46" s="22" cm="1">
        <f t="array" aca="1" ref="AZ46" ca="1">_xlfn.XLOOKUP(AW46,D$4:D$110,I$4:I$110&amp;P$4:P$110&amp;Q$4:Q$110,0,0,1)</f>
        <v>0</v>
      </c>
      <c r="BA46" s="14" cm="1">
        <f t="array" ref="BA46">_xlfn.XLOOKUP(1,J$4:J45,D$4:D45,0,0,-1)</f>
        <v>35</v>
      </c>
      <c r="BB46" s="14">
        <f t="shared" si="5"/>
        <v>1</v>
      </c>
      <c r="BC46" s="14" t="str" cm="1">
        <f t="array" ref="BC46">_xlfn.SWITCH(TRUE,_xlfn.XLOOKUP(BA46,D$4:D$110,TEXT(F$4:F$110,"HH"),0,0,1)="00",B44&amp;"",_xlfn.XLOOKUP(BA46,D$4:D$110,TEXT(F$4:F$110,"HH"),0,0,1)="T","00",TRUE,_xlfn.XLOOKUP(BA46,D$4:D$110,TEXT(F$4:F$110,"HH"),0,0,1))</f>
        <v>00</v>
      </c>
      <c r="BD46" s="14" t="str">
        <f t="shared" si="4"/>
        <v>000000</v>
      </c>
    </row>
    <row r="47" spans="1:56">
      <c r="A47" s="2">
        <v>44</v>
      </c>
      <c r="B47" s="5"/>
      <c r="C47" s="5"/>
      <c r="D47" s="5"/>
      <c r="E47" s="5"/>
      <c r="F47" s="5"/>
      <c r="G47" s="5"/>
      <c r="H47" s="5"/>
      <c r="I47" s="5"/>
      <c r="J47" s="5">
        <f t="shared" si="1"/>
        <v>0</v>
      </c>
      <c r="K47" s="7" t="str">
        <f t="shared" si="0"/>
        <v>terminal</v>
      </c>
      <c r="L47" s="7" t="str" cm="1">
        <f t="array" ref="L47">_xlfn.SWITCH(TRUE,$K47="PASS",TEXT($B$1,"0000"),AND($K47="STOP",E47=""),TEXT($D$1,"0000"),$K46="TERMINAL","0000",TRUE,TEXT(E47,"MMSS"))</f>
        <v>0000</v>
      </c>
      <c r="M47" s="7" t="str" cm="1">
        <f t="array" ref="M47">_xlfn.SWITCH(TRUE,$K47="PASS",TEXT($B$1,"0000"),AND($K47="STOP",F47=""),TEXT($D$1,"0000"),$K47="TERMINAL","0000",TRUE,TEXT(F47,"MMSS"))</f>
        <v>0000</v>
      </c>
      <c r="N47" t="str" cm="1">
        <f t="array" ref="N47">_xlfn.SWITCH(TRUE,AND(LEFT(L47,2)="00",K47="TERMINAL"),"00",E47="",TEXT(LEFT($D$1,2),"00"),LEFT(L47,2)="00",$D$2&amp;"",TRUE,LEFT(L47,2))</f>
        <v>00</v>
      </c>
      <c r="O47" t="str" cm="1">
        <f t="array" ref="O47">_xlfn.SWITCH(TRUE,AND(N47="00",RIGHT(L47,2)="00",K47="TERMINAL"),"00",OR(E47="",N47=LEFT($B$1,2)),TEXT(RIGHT($D$1,2),"00"),RIGHT(L47,2)="00",$D$2&amp;"",TRUE,RIGHT(L47,2))</f>
        <v>00</v>
      </c>
      <c r="P47" t="str" cm="1">
        <f t="array" ref="P47">_xlfn.SWITCH(TRUE,AND(LEFT(M47,2)="00",K47="TERMINAL"),"00",F47="",TEXT(LEFT($D$1,2),"00"),LEFT(M47,2)="00",$D$2&amp;"",TRUE,LEFT(M47,2))</f>
        <v>00</v>
      </c>
      <c r="Q47" t="str" cm="1">
        <f t="array" ref="Q47">_xlfn.SWITCH(TRUE,AND(RIGHT(M47,2)="00",K47="TERMINAL"),"00",F47="",TEXT(RIGHT($D$1,2),"00"),RIGHT(M47,2)="00",$D$2&amp;"",TRUE,RIGHT(M47,2))</f>
        <v>00</v>
      </c>
      <c r="R47" s="7" cm="1">
        <f t="array" aca="1" ref="R47" ca="1">IF(INDIRECT("$D"&amp;(ROW(R47)+$F$1-1))=0,R46,$D47)</f>
        <v>39</v>
      </c>
      <c r="S47" s="7" cm="1">
        <f t="array" aca="1" ref="S47" ca="1">IF(INDIRECT("$D"&amp;(ROW(R47)+$F$1-1))=0,S46,$D48)</f>
        <v>38</v>
      </c>
      <c r="T47" s="7" cm="1">
        <f t="array" aca="1" ref="T47" ca="1">IF(INDIRECT("$D"&amp;(ROW(R47)+$F$1-1))=0,T46,$D49)</f>
        <v>37</v>
      </c>
      <c r="U47" s="7" cm="1">
        <f t="array" aca="1" ref="U47" ca="1">IF(INDIRECT("$D"&amp;(ROW(R47)+$F$1-1))=0,U46,$D50)</f>
        <v>36</v>
      </c>
      <c r="V47" s="7" cm="1">
        <f t="array" aca="1" ref="V47" ca="1">IF(INDIRECT("$D"&amp;(ROW(R47)+$F$1-1))=0,V46,$D51)</f>
        <v>35</v>
      </c>
      <c r="W47" s="7" cm="1">
        <f t="array" aca="1" ref="W47" ca="1">IF(INDIRECT("$D"&amp;(ROW(R47)+$F$1-1))=0,W46,$D52)</f>
        <v>0</v>
      </c>
      <c r="X47" s="7" t="str" cm="1">
        <f t="array" aca="1" ref="X47" ca="1">IF(INDIRECT("$D"&amp;(ROW(R47)+$F$1-1))=0,X45,$H47&amp;$N47&amp;$O47)</f>
        <v>5160</v>
      </c>
      <c r="Y47" s="7" t="str" cm="1">
        <f t="array" aca="1" ref="Y47" ca="1">IF(INDIRECT("$D"&amp;(ROW(R47)+$F$1-1))=0,Y46,H48&amp;$N48&amp;$O48)</f>
        <v>5530</v>
      </c>
      <c r="Z47" s="7" t="str" cm="1">
        <f t="array" aca="1" ref="Z47" ca="1">IF(INDIRECT("$D"&amp;(ROW(R47)+$F$1-1))=0,Z46,H49&amp;$N49&amp;$O49)</f>
        <v>6030</v>
      </c>
      <c r="AA47" s="7" t="str" cm="1">
        <f t="array" aca="1" ref="AA47" ca="1">IF(INDIRECT("$D"&amp;(ROW(R47)+$F$1-1))=0,AA46,H50&amp;$N50&amp;$O50)</f>
        <v>0000</v>
      </c>
      <c r="AB47" s="7" t="str" cm="1">
        <f t="array" aca="1" ref="AB47" ca="1">IF(INDIRECT("$D"&amp;(ROW(R47)+$F$1-1))=0,AB46,H51&amp;$N51&amp;$O51)</f>
        <v>0560</v>
      </c>
      <c r="AC47" s="7" t="str" cm="1">
        <f t="array" aca="1" ref="AC47" ca="1">IF(INDIRECT("$D"&amp;(ROW(R47)+$F$1-1))=0,AC46,H52&amp;$N52&amp;$O52)</f>
        <v>0000</v>
      </c>
      <c r="AD47" s="7" t="str" cm="1">
        <f t="array" aca="1" ref="AD47" ca="1">IF(INDIRECT("$D"&amp;(ROW(R47)+$F$1-1))=0,AD46,I47&amp;$P47&amp;$Q47)</f>
        <v>5130</v>
      </c>
      <c r="AE47" s="7" t="str" cm="1">
        <f t="array" aca="1" ref="AE47" ca="1">IF(INDIRECT("$D"&amp;(ROW(R47)+$F$1-1))=0,AE46,I48&amp;$P48&amp;$Q48)</f>
        <v>5660</v>
      </c>
      <c r="AF47" s="7" t="str" cm="1">
        <f t="array" aca="1" ref="AF47" ca="1">IF(INDIRECT("$D"&amp;(ROW(R47)+$F$1-1))=0,AF46,I49&amp;$P49&amp;$Q49)</f>
        <v>0160</v>
      </c>
      <c r="AG47" s="7" t="str" cm="1">
        <f t="array" aca="1" ref="AG47" ca="1">IF(INDIRECT("$D"&amp;(ROW(R47)+$F$1-1))=0,AG46,I50&amp;$P50&amp;$Q50)</f>
        <v>0000</v>
      </c>
      <c r="AH47" s="7" t="str" cm="1">
        <f t="array" aca="1" ref="AH47" ca="1">IF(INDIRECT("$D"&amp;(ROW(R47)+$F$1-1))=0,AH46,I51&amp;$P51&amp;$Q51)</f>
        <v>0000</v>
      </c>
      <c r="AI47" s="7" t="str" cm="1">
        <f t="array" aca="1" ref="AI47" ca="1">IF(INDIRECT("$D"&amp;(ROW(R47)+$F$1-1))=0,AI46,I52&amp;$P52&amp;$Q52)</f>
        <v>0000</v>
      </c>
      <c r="AJ47" s="7" t="str" cm="1">
        <f t="array" ref="AJ47">TEXT($D47,"000")&amp;TEXT(IFERROR(INDEX($D$5:$D$103,_xlfn.AGGREGATE(15,6,ROW($E$5:$E$103)/(($E$5:$E$103&lt;&gt;"p")*($E$5:$E$103&lt;&gt;"t")*(ROW($E$5:$E$103)&gt;ROW($E47))),1)-ROW($E$5)+1),$D47),"000")</f>
        <v>000000</v>
      </c>
      <c r="AK47" s="22">
        <f t="shared" si="2"/>
        <v>500</v>
      </c>
      <c r="AL47" s="22" cm="1">
        <f t="array" aca="1" ref="AL47" ca="1">IF(INDIRECT("$K"&amp;(ROW(R47)+$F$1-1))="TERMINAL",1000489,489)*SIGN(AK47)</f>
        <v>1000489</v>
      </c>
      <c r="AM47" s="7" cm="1">
        <f t="array" aca="1" ref="AM47" ca="1">IF(INDIRECT("$D"&amp;(ROW(R47)+$F$1-1))=0,AM46,$G47)</f>
        <v>8</v>
      </c>
      <c r="AN47" s="7" cm="1">
        <f t="array" aca="1" ref="AN47" ca="1">IF(INDIRECT("$D"&amp;(ROW(R47)+$F$1-1))=0,AN46,$G48)</f>
        <v>0</v>
      </c>
      <c r="AO47" s="7" cm="1">
        <f t="array" aca="1" ref="AO47" ca="1">IF(INDIRECT("$D"&amp;(ROW(R47)+$F$1-1))=0,AO46,$G49)</f>
        <v>0</v>
      </c>
      <c r="AP47" s="7" cm="1">
        <f t="array" aca="1" ref="AP47" ca="1">IF(INDIRECT("$D"&amp;(ROW(R47)+$F$1-1))=0,AP46,$G50)</f>
        <v>0</v>
      </c>
      <c r="AQ47" s="7" cm="1">
        <f t="array" aca="1" ref="AQ47" ca="1">IF(INDIRECT("$D"&amp;(ROW(R47)+$F$1-1))=0,AQ46,$G51)</f>
        <v>1</v>
      </c>
      <c r="AR47" s="7" cm="1">
        <f t="array" aca="1" ref="AR47" ca="1">IF(INDIRECT("$D"&amp;(ROW(R47)+$F$1-1))=0,AR46,$G52)</f>
        <v>0</v>
      </c>
      <c r="AS47" s="7" cm="1">
        <f t="array" aca="1" ref="AS47" ca="1">IF(INDIRECT("$D"&amp;(ROW(AS47)+$F$1-1))=0,AS46+4,1)</f>
        <v>97</v>
      </c>
      <c r="AT47" s="7" cm="1">
        <f t="array" aca="1" ref="AT47" ca="1">IF(INDIRECT("$D"&amp;(ROW(AT47)+$F$1-1))=0,AT46+4,2)</f>
        <v>98</v>
      </c>
      <c r="AU47" s="7" cm="1">
        <f t="array" aca="1" ref="AU47" ca="1">IF(INDIRECT("$D"&amp;(ROW(AU47)+$F$1-1))=0,AU46+4,3)</f>
        <v>99</v>
      </c>
      <c r="AV47" s="7" cm="1">
        <f t="array" aca="1" ref="AV47" ca="1">IF(INDIRECT("$D"&amp;(ROW(AV47)+$F$1-1))=0,AV46+4,4)</f>
        <v>100</v>
      </c>
      <c r="AW47" s="22" cm="1">
        <f t="array" aca="1" ref="AW47" ca="1">_xlfn.XLOOKUP(1,INDIRECT("J"&amp;ROW(K47)+$F$1):J$103,INDIRECT("D"&amp;ROW(K47)+$F$1):D$103,0,0,1)</f>
        <v>0</v>
      </c>
      <c r="AX47" s="22">
        <f t="shared" ca="1" si="3"/>
        <v>0</v>
      </c>
      <c r="AY47" s="22" cm="1">
        <f t="array" aca="1" ref="AY47" ca="1">_xlfn.XLOOKUP(AW47,D$4:D$110,H$4:H$110&amp;N$4:N$110&amp;O$4:O$110,0,0,1)</f>
        <v>0</v>
      </c>
      <c r="AZ47" s="22" cm="1">
        <f t="array" aca="1" ref="AZ47" ca="1">_xlfn.XLOOKUP(AW47,D$4:D$110,I$4:I$110&amp;P$4:P$110&amp;Q$4:Q$110,0,0,1)</f>
        <v>0</v>
      </c>
      <c r="BA47" s="14" cm="1">
        <f t="array" ref="BA47">_xlfn.XLOOKUP(1,J$4:J46,D$4:D46,0,0,-1)</f>
        <v>35</v>
      </c>
      <c r="BB47" s="14">
        <f t="shared" si="5"/>
        <v>1</v>
      </c>
      <c r="BC47" s="14" t="str" cm="1">
        <f t="array" ref="BC47">_xlfn.SWITCH(TRUE,_xlfn.XLOOKUP(BA47,D$4:D$110,TEXT(F$4:F$110,"HH"),0,0,1)="00",B45&amp;"",_xlfn.XLOOKUP(BA47,D$4:D$110,TEXT(F$4:F$110,"HH"),0,0,1)="T","00",TRUE,_xlfn.XLOOKUP(BA47,D$4:D$110,TEXT(F$4:F$110,"HH"),0,0,1))</f>
        <v>00</v>
      </c>
      <c r="BD47" s="14" t="str">
        <f t="shared" si="4"/>
        <v>000000</v>
      </c>
    </row>
    <row r="48" spans="1:56">
      <c r="A48" s="2">
        <v>45</v>
      </c>
      <c r="B48" s="5"/>
      <c r="C48" s="5"/>
      <c r="D48" s="5"/>
      <c r="E48" s="5"/>
      <c r="F48" s="5"/>
      <c r="G48" s="5"/>
      <c r="H48" s="5"/>
      <c r="I48" s="5"/>
      <c r="J48" s="5">
        <f t="shared" si="1"/>
        <v>0</v>
      </c>
      <c r="K48" s="7" t="str">
        <f t="shared" si="0"/>
        <v>terminal</v>
      </c>
      <c r="L48" s="7" t="str" cm="1">
        <f t="array" ref="L48">_xlfn.SWITCH(TRUE,$K48="PASS",TEXT($B$1,"0000"),AND($K48="STOP",E48=""),TEXT($D$1,"0000"),$K47="TERMINAL","0000",TRUE,TEXT(E48,"MMSS"))</f>
        <v>0000</v>
      </c>
      <c r="M48" s="7" t="str" cm="1">
        <f t="array" ref="M48">_xlfn.SWITCH(TRUE,$K48="PASS",TEXT($B$1,"0000"),AND($K48="STOP",F48=""),TEXT($D$1,"0000"),$K48="TERMINAL","0000",TRUE,TEXT(F48,"MMSS"))</f>
        <v>0000</v>
      </c>
      <c r="N48" t="str" cm="1">
        <f t="array" ref="N48">_xlfn.SWITCH(TRUE,AND(LEFT(L48,2)="00",K48="TERMINAL"),"00",E48="",TEXT(LEFT($D$1,2),"00"),LEFT(L48,2)="00",$D$2&amp;"",TRUE,LEFT(L48,2))</f>
        <v>00</v>
      </c>
      <c r="O48" t="str" cm="1">
        <f t="array" ref="O48">_xlfn.SWITCH(TRUE,AND(N48="00",RIGHT(L48,2)="00",K48="TERMINAL"),"00",OR(E48="",N48=LEFT($B$1,2)),TEXT(RIGHT($D$1,2),"00"),RIGHT(L48,2)="00",$D$2&amp;"",TRUE,RIGHT(L48,2))</f>
        <v>00</v>
      </c>
      <c r="P48" t="str" cm="1">
        <f t="array" ref="P48">_xlfn.SWITCH(TRUE,AND(LEFT(M48,2)="00",K48="TERMINAL"),"00",F48="",TEXT(LEFT($D$1,2),"00"),LEFT(M48,2)="00",$D$2&amp;"",TRUE,LEFT(M48,2))</f>
        <v>00</v>
      </c>
      <c r="Q48" t="str" cm="1">
        <f t="array" ref="Q48">_xlfn.SWITCH(TRUE,AND(RIGHT(M48,2)="00",K48="TERMINAL"),"00",F48="",TEXT(RIGHT($D$1,2),"00"),RIGHT(M48,2)="00",$D$2&amp;"",TRUE,RIGHT(M48,2))</f>
        <v>00</v>
      </c>
      <c r="R48" s="7" cm="1">
        <f t="array" aca="1" ref="R48" ca="1">IF(INDIRECT("$D"&amp;(ROW(R48)+$F$1-1))=0,R47,$D48)</f>
        <v>39</v>
      </c>
      <c r="S48" s="7" cm="1">
        <f t="array" aca="1" ref="S48" ca="1">IF(INDIRECT("$D"&amp;(ROW(R48)+$F$1-1))=0,S47,$D49)</f>
        <v>38</v>
      </c>
      <c r="T48" s="7" cm="1">
        <f t="array" aca="1" ref="T48" ca="1">IF(INDIRECT("$D"&amp;(ROW(R48)+$F$1-1))=0,T47,$D50)</f>
        <v>37</v>
      </c>
      <c r="U48" s="7" cm="1">
        <f t="array" aca="1" ref="U48" ca="1">IF(INDIRECT("$D"&amp;(ROW(R48)+$F$1-1))=0,U47,$D51)</f>
        <v>36</v>
      </c>
      <c r="V48" s="7" cm="1">
        <f t="array" aca="1" ref="V48" ca="1">IF(INDIRECT("$D"&amp;(ROW(R48)+$F$1-1))=0,V47,$D52)</f>
        <v>35</v>
      </c>
      <c r="W48" s="7" cm="1">
        <f t="array" aca="1" ref="W48" ca="1">IF(INDIRECT("$D"&amp;(ROW(R48)+$F$1-1))=0,W47,$D53)</f>
        <v>0</v>
      </c>
      <c r="X48" s="7" t="str" cm="1">
        <f t="array" aca="1" ref="X48" ca="1">IF(INDIRECT("$D"&amp;(ROW(R48)+$F$1-1))=0,X46,$H48&amp;$N48&amp;$O48)</f>
        <v>4630</v>
      </c>
      <c r="Y48" s="7" t="str" cm="1">
        <f t="array" aca="1" ref="Y48" ca="1">IF(INDIRECT("$D"&amp;(ROW(R48)+$F$1-1))=0,Y47,H49&amp;$N49&amp;$O49)</f>
        <v>5530</v>
      </c>
      <c r="Z48" s="7" t="str" cm="1">
        <f t="array" aca="1" ref="Z48" ca="1">IF(INDIRECT("$D"&amp;(ROW(R48)+$F$1-1))=0,Z47,H50&amp;$N50&amp;$O50)</f>
        <v>6030</v>
      </c>
      <c r="AA48" s="7" t="str" cm="1">
        <f t="array" aca="1" ref="AA48" ca="1">IF(INDIRECT("$D"&amp;(ROW(R48)+$F$1-1))=0,AA47,H51&amp;$N51&amp;$O51)</f>
        <v>0000</v>
      </c>
      <c r="AB48" s="7" t="str" cm="1">
        <f t="array" aca="1" ref="AB48" ca="1">IF(INDIRECT("$D"&amp;(ROW(R48)+$F$1-1))=0,AB47,H52&amp;$N52&amp;$O52)</f>
        <v>0560</v>
      </c>
      <c r="AC48" s="7" t="str" cm="1">
        <f t="array" aca="1" ref="AC48" ca="1">IF(INDIRECT("$D"&amp;(ROW(R48)+$F$1-1))=0,AC47,H53&amp;$N53&amp;$O53)</f>
        <v>0000</v>
      </c>
      <c r="AD48" s="7" t="str" cm="1">
        <f t="array" aca="1" ref="AD48" ca="1">IF(INDIRECT("$D"&amp;(ROW(R48)+$F$1-1))=0,AD47,I48&amp;$P48&amp;$Q48)</f>
        <v>5130</v>
      </c>
      <c r="AE48" s="7" t="str" cm="1">
        <f t="array" aca="1" ref="AE48" ca="1">IF(INDIRECT("$D"&amp;(ROW(R48)+$F$1-1))=0,AE47,I49&amp;$P49&amp;$Q49)</f>
        <v>5660</v>
      </c>
      <c r="AF48" s="7" t="str" cm="1">
        <f t="array" aca="1" ref="AF48" ca="1">IF(INDIRECT("$D"&amp;(ROW(R48)+$F$1-1))=0,AF47,I50&amp;$P50&amp;$Q50)</f>
        <v>0160</v>
      </c>
      <c r="AG48" s="7" t="str" cm="1">
        <f t="array" aca="1" ref="AG48" ca="1">IF(INDIRECT("$D"&amp;(ROW(R48)+$F$1-1))=0,AG47,I51&amp;$P51&amp;$Q51)</f>
        <v>0000</v>
      </c>
      <c r="AH48" s="7" t="str" cm="1">
        <f t="array" aca="1" ref="AH48" ca="1">IF(INDIRECT("$D"&amp;(ROW(R48)+$F$1-1))=0,AH47,I52&amp;$P52&amp;$Q52)</f>
        <v>0000</v>
      </c>
      <c r="AI48" s="7" t="str" cm="1">
        <f t="array" aca="1" ref="AI48" ca="1">IF(INDIRECT("$D"&amp;(ROW(R48)+$F$1-1))=0,AI47,I53&amp;$P53&amp;$Q53)</f>
        <v>0000</v>
      </c>
      <c r="AJ48" s="7" t="str" cm="1">
        <f t="array" ref="AJ48">TEXT($D48,"000")&amp;TEXT(IFERROR(INDEX($D$5:$D$103,_xlfn.AGGREGATE(15,6,ROW($E$5:$E$103)/(($E$5:$E$103&lt;&gt;"p")*($E$5:$E$103&lt;&gt;"t")*(ROW($E$5:$E$103)&gt;ROW($E48))),1)-ROW($E$5)+1),$D48),"000")</f>
        <v>000000</v>
      </c>
      <c r="AK48" s="22">
        <f t="shared" si="2"/>
        <v>500</v>
      </c>
      <c r="AL48" s="22" cm="1">
        <f t="array" aca="1" ref="AL48" ca="1">IF(INDIRECT("$K"&amp;(ROW(R48)+$F$1-1))="TERMINAL",1000489,489)*SIGN(AK48)</f>
        <v>1000489</v>
      </c>
      <c r="AM48" s="7" cm="1">
        <f t="array" aca="1" ref="AM48" ca="1">IF(INDIRECT("$D"&amp;(ROW(R48)+$F$1-1))=0,AM47,$G48)</f>
        <v>8</v>
      </c>
      <c r="AN48" s="7" cm="1">
        <f t="array" aca="1" ref="AN48" ca="1">IF(INDIRECT("$D"&amp;(ROW(R48)+$F$1-1))=0,AN47,$G49)</f>
        <v>0</v>
      </c>
      <c r="AO48" s="7" cm="1">
        <f t="array" aca="1" ref="AO48" ca="1">IF(INDIRECT("$D"&amp;(ROW(R48)+$F$1-1))=0,AO47,$G50)</f>
        <v>0</v>
      </c>
      <c r="AP48" s="7" cm="1">
        <f t="array" aca="1" ref="AP48" ca="1">IF(INDIRECT("$D"&amp;(ROW(R48)+$F$1-1))=0,AP47,$G51)</f>
        <v>0</v>
      </c>
      <c r="AQ48" s="7" cm="1">
        <f t="array" aca="1" ref="AQ48" ca="1">IF(INDIRECT("$D"&amp;(ROW(R48)+$F$1-1))=0,AQ47,$G52)</f>
        <v>1</v>
      </c>
      <c r="AR48" s="7" cm="1">
        <f t="array" aca="1" ref="AR48" ca="1">IF(INDIRECT("$D"&amp;(ROW(R48)+$F$1-1))=0,AR47,$G53)</f>
        <v>0</v>
      </c>
      <c r="AS48" s="7" cm="1">
        <f t="array" aca="1" ref="AS48" ca="1">IF(INDIRECT("$D"&amp;(ROW(AS48)+$F$1-1))=0,AS47+4,1)</f>
        <v>101</v>
      </c>
      <c r="AT48" s="7" cm="1">
        <f t="array" aca="1" ref="AT48" ca="1">IF(INDIRECT("$D"&amp;(ROW(AT48)+$F$1-1))=0,AT47+4,2)</f>
        <v>102</v>
      </c>
      <c r="AU48" s="7" cm="1">
        <f t="array" aca="1" ref="AU48" ca="1">IF(INDIRECT("$D"&amp;(ROW(AU48)+$F$1-1))=0,AU47+4,3)</f>
        <v>103</v>
      </c>
      <c r="AV48" s="7" cm="1">
        <f t="array" aca="1" ref="AV48" ca="1">IF(INDIRECT("$D"&amp;(ROW(AV48)+$F$1-1))=0,AV47+4,4)</f>
        <v>104</v>
      </c>
      <c r="AW48" s="22" cm="1">
        <f t="array" aca="1" ref="AW48" ca="1">_xlfn.XLOOKUP(1,INDIRECT("J"&amp;ROW(K48)+$F$1):J$103,INDIRECT("D"&amp;ROW(K48)+$F$1):D$103,0,0,1)</f>
        <v>0</v>
      </c>
      <c r="AX48" s="22">
        <f t="shared" ca="1" si="3"/>
        <v>0</v>
      </c>
      <c r="AY48" s="22" cm="1">
        <f t="array" aca="1" ref="AY48" ca="1">_xlfn.XLOOKUP(AW48,D$4:D$110,H$4:H$110&amp;N$4:N$110&amp;O$4:O$110,0,0,1)</f>
        <v>0</v>
      </c>
      <c r="AZ48" s="22" cm="1">
        <f t="array" aca="1" ref="AZ48" ca="1">_xlfn.XLOOKUP(AW48,D$4:D$110,I$4:I$110&amp;P$4:P$110&amp;Q$4:Q$110,0,0,1)</f>
        <v>0</v>
      </c>
      <c r="BA48" s="14" cm="1">
        <f t="array" ref="BA48">_xlfn.XLOOKUP(1,J$4:J47,D$4:D47,0,0,-1)</f>
        <v>35</v>
      </c>
      <c r="BB48" s="14">
        <f t="shared" si="5"/>
        <v>1</v>
      </c>
      <c r="BC48" s="14" t="str" cm="1">
        <f t="array" ref="BC48">_xlfn.SWITCH(TRUE,_xlfn.XLOOKUP(BA48,D$4:D$110,TEXT(F$4:F$110,"HH"),0,0,1)="00",B46&amp;"",_xlfn.XLOOKUP(BA48,D$4:D$110,TEXT(F$4:F$110,"HH"),0,0,1)="T","00",TRUE,_xlfn.XLOOKUP(BA48,D$4:D$110,TEXT(F$4:F$110,"HH"),0,0,1))</f>
        <v>00</v>
      </c>
      <c r="BD48" s="14" t="str">
        <f t="shared" si="4"/>
        <v>000000</v>
      </c>
    </row>
    <row r="49" spans="1:56">
      <c r="A49" s="2">
        <v>46</v>
      </c>
      <c r="B49" s="5"/>
      <c r="C49" s="5"/>
      <c r="D49" s="5"/>
      <c r="E49" s="15"/>
      <c r="F49" s="5"/>
      <c r="G49" s="5"/>
      <c r="H49" s="5"/>
      <c r="I49" s="5"/>
      <c r="J49" s="5">
        <f t="shared" si="1"/>
        <v>0</v>
      </c>
      <c r="K49" s="7" t="str">
        <f t="shared" si="0"/>
        <v>terminal</v>
      </c>
      <c r="L49" s="7" t="str" cm="1">
        <f t="array" ref="L49">_xlfn.SWITCH(TRUE,$K49="PASS",TEXT($B$1,"0000"),AND($K49="STOP",E49=""),TEXT($D$1,"0000"),$K48="TERMINAL","0000",TRUE,TEXT(E49,"MMSS"))</f>
        <v>0000</v>
      </c>
      <c r="M49" s="7" t="str" cm="1">
        <f t="array" ref="M49">_xlfn.SWITCH(TRUE,$K49="PASS",TEXT($B$1,"0000"),AND($K49="STOP",F49=""),TEXT($D$1,"0000"),$K49="TERMINAL","0000",TRUE,TEXT(F49,"MMSS"))</f>
        <v>0000</v>
      </c>
      <c r="N49" t="str" cm="1">
        <f t="array" ref="N49">_xlfn.SWITCH(TRUE,AND(LEFT(L49,2)="00",K49="TERMINAL"),"00",E49="",TEXT(LEFT($D$1,2),"00"),LEFT(L49,2)="00",$D$2&amp;"",TRUE,LEFT(L49,2))</f>
        <v>00</v>
      </c>
      <c r="O49" t="str" cm="1">
        <f t="array" ref="O49">_xlfn.SWITCH(TRUE,AND(N49="00",RIGHT(L49,2)="00",K49="TERMINAL"),"00",OR(E49="",N49=LEFT($B$1,2)),TEXT(RIGHT($D$1,2),"00"),RIGHT(L49,2)="00",$D$2&amp;"",TRUE,RIGHT(L49,2))</f>
        <v>00</v>
      </c>
      <c r="P49" t="str" cm="1">
        <f t="array" ref="P49">_xlfn.SWITCH(TRUE,AND(LEFT(M49,2)="00",K49="TERMINAL"),"00",F49="",TEXT(LEFT($D$1,2),"00"),LEFT(M49,2)="00",$D$2&amp;"",TRUE,LEFT(M49,2))</f>
        <v>00</v>
      </c>
      <c r="Q49" t="str" cm="1">
        <f t="array" ref="Q49">_xlfn.SWITCH(TRUE,AND(RIGHT(M49,2)="00",K49="TERMINAL"),"00",F49="",TEXT(RIGHT($D$1,2),"00"),RIGHT(M49,2)="00",$D$2&amp;"",TRUE,RIGHT(M49,2))</f>
        <v>00</v>
      </c>
      <c r="R49" s="7" cm="1">
        <f t="array" aca="1" ref="R49" ca="1">IF(INDIRECT("$D"&amp;(ROW(R49)+$F$1-1))=0,R48,$D49)</f>
        <v>39</v>
      </c>
      <c r="S49" s="7" cm="1">
        <f t="array" aca="1" ref="S49" ca="1">IF(INDIRECT("$D"&amp;(ROW(R49)+$F$1-1))=0,S48,$D50)</f>
        <v>38</v>
      </c>
      <c r="T49" s="7" cm="1">
        <f t="array" aca="1" ref="T49" ca="1">IF(INDIRECT("$D"&amp;(ROW(R49)+$F$1-1))=0,T48,$D51)</f>
        <v>37</v>
      </c>
      <c r="U49" s="7" cm="1">
        <f t="array" aca="1" ref="U49" ca="1">IF(INDIRECT("$D"&amp;(ROW(R49)+$F$1-1))=0,U48,$D52)</f>
        <v>36</v>
      </c>
      <c r="V49" s="7" cm="1">
        <f t="array" aca="1" ref="V49" ca="1">IF(INDIRECT("$D"&amp;(ROW(R49)+$F$1-1))=0,V48,$D53)</f>
        <v>35</v>
      </c>
      <c r="W49" s="7" cm="1">
        <f t="array" aca="1" ref="W49" ca="1">IF(INDIRECT("$D"&amp;(ROW(R49)+$F$1-1))=0,W48,$D54)</f>
        <v>0</v>
      </c>
      <c r="X49" s="7" t="str" cm="1">
        <f t="array" aca="1" ref="X49" ca="1">IF(INDIRECT("$D"&amp;(ROW(R49)+$F$1-1))=0,X47,$H49&amp;$N49&amp;$O49)</f>
        <v>5160</v>
      </c>
      <c r="Y49" s="7" t="str" cm="1">
        <f t="array" aca="1" ref="Y49" ca="1">IF(INDIRECT("$D"&amp;(ROW(R49)+$F$1-1))=0,Y48,H50&amp;$N50&amp;$O50)</f>
        <v>5530</v>
      </c>
      <c r="Z49" s="7" t="str" cm="1">
        <f t="array" aca="1" ref="Z49" ca="1">IF(INDIRECT("$D"&amp;(ROW(R49)+$F$1-1))=0,Z48,H51&amp;$N51&amp;$O51)</f>
        <v>6030</v>
      </c>
      <c r="AA49" s="7" t="str" cm="1">
        <f t="array" aca="1" ref="AA49" ca="1">IF(INDIRECT("$D"&amp;(ROW(R49)+$F$1-1))=0,AA48,H52&amp;$N52&amp;$O52)</f>
        <v>0000</v>
      </c>
      <c r="AB49" s="7" t="str" cm="1">
        <f t="array" aca="1" ref="AB49" ca="1">IF(INDIRECT("$D"&amp;(ROW(R49)+$F$1-1))=0,AB48,H53&amp;$N53&amp;$O53)</f>
        <v>0560</v>
      </c>
      <c r="AC49" s="7" t="str" cm="1">
        <f t="array" aca="1" ref="AC49" ca="1">IF(INDIRECT("$D"&amp;(ROW(R49)+$F$1-1))=0,AC48,H54&amp;$N54&amp;$O54)</f>
        <v>0000</v>
      </c>
      <c r="AD49" s="7" t="str" cm="1">
        <f t="array" aca="1" ref="AD49" ca="1">IF(INDIRECT("$D"&amp;(ROW(R49)+$F$1-1))=0,AD48,I49&amp;$P49&amp;$Q49)</f>
        <v>5130</v>
      </c>
      <c r="AE49" s="7" t="str" cm="1">
        <f t="array" aca="1" ref="AE49" ca="1">IF(INDIRECT("$D"&amp;(ROW(R49)+$F$1-1))=0,AE48,I50&amp;$P50&amp;$Q50)</f>
        <v>5660</v>
      </c>
      <c r="AF49" s="7" t="str" cm="1">
        <f t="array" aca="1" ref="AF49" ca="1">IF(INDIRECT("$D"&amp;(ROW(R49)+$F$1-1))=0,AF48,I51&amp;$P51&amp;$Q51)</f>
        <v>0160</v>
      </c>
      <c r="AG49" s="7" t="str" cm="1">
        <f t="array" aca="1" ref="AG49" ca="1">IF(INDIRECT("$D"&amp;(ROW(R49)+$F$1-1))=0,AG48,I52&amp;$P52&amp;$Q52)</f>
        <v>0000</v>
      </c>
      <c r="AH49" s="7" t="str" cm="1">
        <f t="array" aca="1" ref="AH49" ca="1">IF(INDIRECT("$D"&amp;(ROW(R49)+$F$1-1))=0,AH48,I53&amp;$P53&amp;$Q53)</f>
        <v>0000</v>
      </c>
      <c r="AI49" s="7" t="str" cm="1">
        <f t="array" aca="1" ref="AI49" ca="1">IF(INDIRECT("$D"&amp;(ROW(R49)+$F$1-1))=0,AI48,I54&amp;$P54&amp;$Q54)</f>
        <v>0000</v>
      </c>
      <c r="AJ49" s="7" t="str" cm="1">
        <f t="array" ref="AJ49">TEXT($D49,"000")&amp;TEXT(IFERROR(INDEX($D$5:$D$103,_xlfn.AGGREGATE(15,6,ROW($E$5:$E$103)/(($E$5:$E$103&lt;&gt;"p")*($E$5:$E$103&lt;&gt;"t")*(ROW($E$5:$E$103)&gt;ROW($E49))),1)-ROW($E$5)+1),$D49),"000")</f>
        <v>000000</v>
      </c>
      <c r="AK49" s="22">
        <f t="shared" si="2"/>
        <v>500</v>
      </c>
      <c r="AL49" s="22" cm="1">
        <f t="array" aca="1" ref="AL49" ca="1">IF(INDIRECT("$K"&amp;(ROW(R49)+$F$1-1))="TERMINAL",1000489,489)*SIGN(AK49)</f>
        <v>1000489</v>
      </c>
      <c r="AM49" s="7" cm="1">
        <f t="array" aca="1" ref="AM49" ca="1">IF(INDIRECT("$D"&amp;(ROW(R49)+$F$1-1))=0,AM48,$G49)</f>
        <v>8</v>
      </c>
      <c r="AN49" s="7" cm="1">
        <f t="array" aca="1" ref="AN49" ca="1">IF(INDIRECT("$D"&amp;(ROW(R49)+$F$1-1))=0,AN48,$G50)</f>
        <v>0</v>
      </c>
      <c r="AO49" s="7" cm="1">
        <f t="array" aca="1" ref="AO49" ca="1">IF(INDIRECT("$D"&amp;(ROW(R49)+$F$1-1))=0,AO48,$G51)</f>
        <v>0</v>
      </c>
      <c r="AP49" s="7" cm="1">
        <f t="array" aca="1" ref="AP49" ca="1">IF(INDIRECT("$D"&amp;(ROW(R49)+$F$1-1))=0,AP48,$G52)</f>
        <v>0</v>
      </c>
      <c r="AQ49" s="7" cm="1">
        <f t="array" aca="1" ref="AQ49" ca="1">IF(INDIRECT("$D"&amp;(ROW(R49)+$F$1-1))=0,AQ48,$G53)</f>
        <v>1</v>
      </c>
      <c r="AR49" s="7" cm="1">
        <f t="array" aca="1" ref="AR49" ca="1">IF(INDIRECT("$D"&amp;(ROW(R49)+$F$1-1))=0,AR48,$G54)</f>
        <v>0</v>
      </c>
      <c r="AS49" s="7" cm="1">
        <f t="array" aca="1" ref="AS49" ca="1">IF(INDIRECT("$D"&amp;(ROW(AS49)+$F$1-1))=0,AS48+4,1)</f>
        <v>105</v>
      </c>
      <c r="AT49" s="7" cm="1">
        <f t="array" aca="1" ref="AT49" ca="1">IF(INDIRECT("$D"&amp;(ROW(AT49)+$F$1-1))=0,AT48+4,2)</f>
        <v>106</v>
      </c>
      <c r="AU49" s="7" cm="1">
        <f t="array" aca="1" ref="AU49" ca="1">IF(INDIRECT("$D"&amp;(ROW(AU49)+$F$1-1))=0,AU48+4,3)</f>
        <v>107</v>
      </c>
      <c r="AV49" s="7" cm="1">
        <f t="array" aca="1" ref="AV49" ca="1">IF(INDIRECT("$D"&amp;(ROW(AV49)+$F$1-1))=0,AV48+4,4)</f>
        <v>108</v>
      </c>
      <c r="AW49" s="22" cm="1">
        <f t="array" aca="1" ref="AW49" ca="1">_xlfn.XLOOKUP(1,INDIRECT("J"&amp;ROW(K49)+$F$1):J$103,INDIRECT("D"&amp;ROW(K49)+$F$1):D$103,0,0,1)</f>
        <v>0</v>
      </c>
      <c r="AX49" s="22">
        <f t="shared" ca="1" si="3"/>
        <v>0</v>
      </c>
      <c r="AY49" s="22" cm="1">
        <f t="array" aca="1" ref="AY49" ca="1">_xlfn.XLOOKUP(AW49,D$4:D$110,H$4:H$110&amp;N$4:N$110&amp;O$4:O$110,0,0,1)</f>
        <v>0</v>
      </c>
      <c r="AZ49" s="22" cm="1">
        <f t="array" aca="1" ref="AZ49" ca="1">_xlfn.XLOOKUP(AW49,D$4:D$110,I$4:I$110&amp;P$4:P$110&amp;Q$4:Q$110,0,0,1)</f>
        <v>0</v>
      </c>
      <c r="BA49" s="14" cm="1">
        <f t="array" ref="BA49">_xlfn.XLOOKUP(1,J$4:J48,D$4:D48,0,0,-1)</f>
        <v>35</v>
      </c>
      <c r="BB49" s="14">
        <f t="shared" si="5"/>
        <v>1</v>
      </c>
      <c r="BC49" s="14" t="str" cm="1">
        <f t="array" ref="BC49">_xlfn.SWITCH(TRUE,_xlfn.XLOOKUP(BA49,D$4:D$110,TEXT(F$4:F$110,"HH"),0,0,1)="00",B47&amp;"",_xlfn.XLOOKUP(BA49,D$4:D$110,TEXT(F$4:F$110,"HH"),0,0,1)="T","00",TRUE,_xlfn.XLOOKUP(BA49,D$4:D$110,TEXT(F$4:F$110,"HH"),0,0,1))</f>
        <v>00</v>
      </c>
      <c r="BD49" s="14" t="str">
        <f t="shared" si="4"/>
        <v>000000</v>
      </c>
    </row>
    <row r="50" spans="1:56">
      <c r="A50" s="2">
        <v>47</v>
      </c>
      <c r="B50" s="5"/>
      <c r="C50" s="5"/>
      <c r="D50" s="5"/>
      <c r="E50" s="5"/>
      <c r="F50" s="5"/>
      <c r="G50" s="5"/>
      <c r="H50" s="5"/>
      <c r="I50" s="5"/>
      <c r="J50" s="5">
        <f t="shared" si="1"/>
        <v>0</v>
      </c>
      <c r="K50" s="7" t="str">
        <f t="shared" si="0"/>
        <v>terminal</v>
      </c>
      <c r="L50" s="7" t="str" cm="1">
        <f t="array" ref="L50">_xlfn.SWITCH(TRUE,$K50="PASS",TEXT($B$1,"0000"),AND($K50="STOP",E50=""),TEXT($D$1,"0000"),$K49="TERMINAL","0000",TRUE,TEXT(E50,"MMSS"))</f>
        <v>0000</v>
      </c>
      <c r="M50" s="7" t="str" cm="1">
        <f t="array" ref="M50">_xlfn.SWITCH(TRUE,$K50="PASS",TEXT($B$1,"0000"),AND($K50="STOP",F50=""),TEXT($D$1,"0000"),$K50="TERMINAL","0000",TRUE,TEXT(F50,"MMSS"))</f>
        <v>0000</v>
      </c>
      <c r="N50" t="str" cm="1">
        <f t="array" ref="N50">_xlfn.SWITCH(TRUE,AND(LEFT(L50,2)="00",K50="TERMINAL"),"00",E50="",TEXT(LEFT($D$1,2),"00"),LEFT(L50,2)="00",$D$2&amp;"",TRUE,LEFT(L50,2))</f>
        <v>00</v>
      </c>
      <c r="O50" t="str" cm="1">
        <f t="array" ref="O50">_xlfn.SWITCH(TRUE,AND(N50="00",RIGHT(L50,2)="00",K50="TERMINAL"),"00",OR(E50="",N50=LEFT($B$1,2)),TEXT(RIGHT($D$1,2),"00"),RIGHT(L50,2)="00",$D$2&amp;"",TRUE,RIGHT(L50,2))</f>
        <v>00</v>
      </c>
      <c r="P50" t="str" cm="1">
        <f t="array" ref="P50">_xlfn.SWITCH(TRUE,AND(LEFT(M50,2)="00",K50="TERMINAL"),"00",F50="",TEXT(LEFT($D$1,2),"00"),LEFT(M50,2)="00",$D$2&amp;"",TRUE,LEFT(M50,2))</f>
        <v>00</v>
      </c>
      <c r="Q50" t="str" cm="1">
        <f t="array" ref="Q50">_xlfn.SWITCH(TRUE,AND(RIGHT(M50,2)="00",K50="TERMINAL"),"00",F50="",TEXT(RIGHT($D$1,2),"00"),RIGHT(M50,2)="00",$D$2&amp;"",TRUE,RIGHT(M50,2))</f>
        <v>00</v>
      </c>
      <c r="R50" s="7" cm="1">
        <f t="array" aca="1" ref="R50" ca="1">IF(INDIRECT("$D"&amp;(ROW(R50)+$F$1-1))=0,R49,$D50)</f>
        <v>39</v>
      </c>
      <c r="S50" s="7" cm="1">
        <f t="array" aca="1" ref="S50" ca="1">IF(INDIRECT("$D"&amp;(ROW(R50)+$F$1-1))=0,S49,$D51)</f>
        <v>38</v>
      </c>
      <c r="T50" s="7" cm="1">
        <f t="array" aca="1" ref="T50" ca="1">IF(INDIRECT("$D"&amp;(ROW(R50)+$F$1-1))=0,T49,$D52)</f>
        <v>37</v>
      </c>
      <c r="U50" s="7" cm="1">
        <f t="array" aca="1" ref="U50" ca="1">IF(INDIRECT("$D"&amp;(ROW(R50)+$F$1-1))=0,U49,$D53)</f>
        <v>36</v>
      </c>
      <c r="V50" s="7" cm="1">
        <f t="array" aca="1" ref="V50" ca="1">IF(INDIRECT("$D"&amp;(ROW(R50)+$F$1-1))=0,V49,$D54)</f>
        <v>35</v>
      </c>
      <c r="W50" s="7" cm="1">
        <f t="array" aca="1" ref="W50" ca="1">IF(INDIRECT("$D"&amp;(ROW(R50)+$F$1-1))=0,W49,$D55)</f>
        <v>0</v>
      </c>
      <c r="X50" s="7" t="str" cm="1">
        <f t="array" aca="1" ref="X50" ca="1">IF(INDIRECT("$D"&amp;(ROW(R50)+$F$1-1))=0,X48,$H50&amp;$N50&amp;$O50)</f>
        <v>4630</v>
      </c>
      <c r="Y50" s="7" t="str" cm="1">
        <f t="array" aca="1" ref="Y50" ca="1">IF(INDIRECT("$D"&amp;(ROW(R50)+$F$1-1))=0,Y49,H51&amp;$N51&amp;$O51)</f>
        <v>5530</v>
      </c>
      <c r="Z50" s="7" t="str" cm="1">
        <f t="array" aca="1" ref="Z50" ca="1">IF(INDIRECT("$D"&amp;(ROW(R50)+$F$1-1))=0,Z49,H52&amp;$N52&amp;$O52)</f>
        <v>6030</v>
      </c>
      <c r="AA50" s="7" t="str" cm="1">
        <f t="array" aca="1" ref="AA50" ca="1">IF(INDIRECT("$D"&amp;(ROW(R50)+$F$1-1))=0,AA49,H53&amp;$N53&amp;$O53)</f>
        <v>0000</v>
      </c>
      <c r="AB50" s="7" t="str" cm="1">
        <f t="array" aca="1" ref="AB50" ca="1">IF(INDIRECT("$D"&amp;(ROW(R50)+$F$1-1))=0,AB49,H54&amp;$N54&amp;$O54)</f>
        <v>0560</v>
      </c>
      <c r="AC50" s="7" t="str" cm="1">
        <f t="array" aca="1" ref="AC50" ca="1">IF(INDIRECT("$D"&amp;(ROW(R50)+$F$1-1))=0,AC49,H55&amp;$N55&amp;$O55)</f>
        <v>0000</v>
      </c>
      <c r="AD50" s="7" t="str" cm="1">
        <f t="array" aca="1" ref="AD50" ca="1">IF(INDIRECT("$D"&amp;(ROW(R50)+$F$1-1))=0,AD49,I50&amp;$P50&amp;$Q50)</f>
        <v>5130</v>
      </c>
      <c r="AE50" s="7" t="str" cm="1">
        <f t="array" aca="1" ref="AE50" ca="1">IF(INDIRECT("$D"&amp;(ROW(R50)+$F$1-1))=0,AE49,I51&amp;$P51&amp;$Q51)</f>
        <v>5660</v>
      </c>
      <c r="AF50" s="7" t="str" cm="1">
        <f t="array" aca="1" ref="AF50" ca="1">IF(INDIRECT("$D"&amp;(ROW(R50)+$F$1-1))=0,AF49,I52&amp;$P52&amp;$Q52)</f>
        <v>0160</v>
      </c>
      <c r="AG50" s="7" t="str" cm="1">
        <f t="array" aca="1" ref="AG50" ca="1">IF(INDIRECT("$D"&amp;(ROW(R50)+$F$1-1))=0,AG49,I53&amp;$P53&amp;$Q53)</f>
        <v>0000</v>
      </c>
      <c r="AH50" s="7" t="str" cm="1">
        <f t="array" aca="1" ref="AH50" ca="1">IF(INDIRECT("$D"&amp;(ROW(R50)+$F$1-1))=0,AH49,I54&amp;$P54&amp;$Q54)</f>
        <v>0000</v>
      </c>
      <c r="AI50" s="7" t="str" cm="1">
        <f t="array" aca="1" ref="AI50" ca="1">IF(INDIRECT("$D"&amp;(ROW(R50)+$F$1-1))=0,AI49,I55&amp;$P55&amp;$Q55)</f>
        <v>0000</v>
      </c>
      <c r="AJ50" s="7" t="str" cm="1">
        <f t="array" ref="AJ50">TEXT($D50,"000")&amp;TEXT(IFERROR(INDEX($D$5:$D$103,_xlfn.AGGREGATE(15,6,ROW($E$5:$E$103)/(($E$5:$E$103&lt;&gt;"p")*($E$5:$E$103&lt;&gt;"t")*(ROW($E$5:$E$103)&gt;ROW($E50))),1)-ROW($E$5)+1),$D50),"000")</f>
        <v>000000</v>
      </c>
      <c r="AK50" s="22">
        <f t="shared" si="2"/>
        <v>500</v>
      </c>
      <c r="AL50" s="22" cm="1">
        <f t="array" aca="1" ref="AL50" ca="1">IF(INDIRECT("$K"&amp;(ROW(R50)+$F$1-1))="TERMINAL",1000489,489)*SIGN(AK50)</f>
        <v>1000489</v>
      </c>
      <c r="AM50" s="7" cm="1">
        <f t="array" aca="1" ref="AM50" ca="1">IF(INDIRECT("$D"&amp;(ROW(R50)+$F$1-1))=0,AM49,$G50)</f>
        <v>8</v>
      </c>
      <c r="AN50" s="7" cm="1">
        <f t="array" aca="1" ref="AN50" ca="1">IF(INDIRECT("$D"&amp;(ROW(R50)+$F$1-1))=0,AN49,$G51)</f>
        <v>0</v>
      </c>
      <c r="AO50" s="7" cm="1">
        <f t="array" aca="1" ref="AO50" ca="1">IF(INDIRECT("$D"&amp;(ROW(R50)+$F$1-1))=0,AO49,$G52)</f>
        <v>0</v>
      </c>
      <c r="AP50" s="7" cm="1">
        <f t="array" aca="1" ref="AP50" ca="1">IF(INDIRECT("$D"&amp;(ROW(R50)+$F$1-1))=0,AP49,$G53)</f>
        <v>0</v>
      </c>
      <c r="AQ50" s="7" cm="1">
        <f t="array" aca="1" ref="AQ50" ca="1">IF(INDIRECT("$D"&amp;(ROW(R50)+$F$1-1))=0,AQ49,$G54)</f>
        <v>1</v>
      </c>
      <c r="AR50" s="7" cm="1">
        <f t="array" aca="1" ref="AR50" ca="1">IF(INDIRECT("$D"&amp;(ROW(R50)+$F$1-1))=0,AR49,$G55)</f>
        <v>0</v>
      </c>
      <c r="AS50" s="7" cm="1">
        <f t="array" aca="1" ref="AS50" ca="1">IF(INDIRECT("$D"&amp;(ROW(AS50)+$F$1-1))=0,AS49+4,1)</f>
        <v>109</v>
      </c>
      <c r="AT50" s="7" cm="1">
        <f t="array" aca="1" ref="AT50" ca="1">IF(INDIRECT("$D"&amp;(ROW(AT50)+$F$1-1))=0,AT49+4,2)</f>
        <v>110</v>
      </c>
      <c r="AU50" s="7" cm="1">
        <f t="array" aca="1" ref="AU50" ca="1">IF(INDIRECT("$D"&amp;(ROW(AU50)+$F$1-1))=0,AU49+4,3)</f>
        <v>111</v>
      </c>
      <c r="AV50" s="7" cm="1">
        <f t="array" aca="1" ref="AV50" ca="1">IF(INDIRECT("$D"&amp;(ROW(AV50)+$F$1-1))=0,AV49+4,4)</f>
        <v>112</v>
      </c>
      <c r="AW50" s="22" cm="1">
        <f t="array" aca="1" ref="AW50" ca="1">_xlfn.XLOOKUP(1,INDIRECT("J"&amp;ROW(K50)+$F$1):J$103,INDIRECT("D"&amp;ROW(K50)+$F$1):D$103,0,0,1)</f>
        <v>0</v>
      </c>
      <c r="AX50" s="22">
        <f t="shared" ca="1" si="3"/>
        <v>0</v>
      </c>
      <c r="AY50" s="22" cm="1">
        <f t="array" aca="1" ref="AY50" ca="1">_xlfn.XLOOKUP(AW50,D$4:D$110,H$4:H$110&amp;N$4:N$110&amp;O$4:O$110,0,0,1)</f>
        <v>0</v>
      </c>
      <c r="AZ50" s="22" cm="1">
        <f t="array" aca="1" ref="AZ50" ca="1">_xlfn.XLOOKUP(AW50,D$4:D$110,I$4:I$110&amp;P$4:P$110&amp;Q$4:Q$110,0,0,1)</f>
        <v>0</v>
      </c>
      <c r="BA50" s="14" cm="1">
        <f t="array" ref="BA50">_xlfn.XLOOKUP(1,J$4:J49,D$4:D49,0,0,-1)</f>
        <v>35</v>
      </c>
      <c r="BB50" s="14">
        <f t="shared" si="5"/>
        <v>1</v>
      </c>
      <c r="BC50" s="14" t="str" cm="1">
        <f t="array" ref="BC50">_xlfn.SWITCH(TRUE,_xlfn.XLOOKUP(BA50,D$4:D$110,TEXT(F$4:F$110,"HH"),0,0,1)="00",B48&amp;"",_xlfn.XLOOKUP(BA50,D$4:D$110,TEXT(F$4:F$110,"HH"),0,0,1)="T","00",TRUE,_xlfn.XLOOKUP(BA50,D$4:D$110,TEXT(F$4:F$110,"HH"),0,0,1))</f>
        <v>00</v>
      </c>
      <c r="BD50" s="14" t="str">
        <f t="shared" si="4"/>
        <v>000000</v>
      </c>
    </row>
    <row r="51" spans="1:56">
      <c r="A51" s="2">
        <v>48</v>
      </c>
      <c r="B51" s="5"/>
      <c r="C51" s="5"/>
      <c r="D51" s="5"/>
      <c r="E51" s="5"/>
      <c r="F51" s="5"/>
      <c r="G51" s="5"/>
      <c r="H51" s="5"/>
      <c r="I51" s="5"/>
      <c r="J51" s="5">
        <f t="shared" si="1"/>
        <v>0</v>
      </c>
      <c r="K51" s="7" t="str">
        <f t="shared" si="0"/>
        <v>terminal</v>
      </c>
      <c r="L51" s="7" t="str" cm="1">
        <f t="array" ref="L51">_xlfn.SWITCH(TRUE,$K51="PASS",TEXT($B$1,"0000"),AND($K51="STOP",E51=""),TEXT($D$1,"0000"),$K50="TERMINAL","0000",TRUE,TEXT(E51,"MMSS"))</f>
        <v>0000</v>
      </c>
      <c r="M51" s="7" t="str" cm="1">
        <f t="array" ref="M51">_xlfn.SWITCH(TRUE,$K51="PASS",TEXT($B$1,"0000"),AND($K51="STOP",F51=""),TEXT($D$1,"0000"),$K51="TERMINAL","0000",TRUE,TEXT(F51,"MMSS"))</f>
        <v>0000</v>
      </c>
      <c r="N51" t="str" cm="1">
        <f t="array" ref="N51">_xlfn.SWITCH(TRUE,AND(LEFT(L51,2)="00",K51="TERMINAL"),"00",E51="",TEXT(LEFT($D$1,2),"00"),LEFT(L51,2)="00",$D$2&amp;"",TRUE,LEFT(L51,2))</f>
        <v>00</v>
      </c>
      <c r="O51" t="str" cm="1">
        <f t="array" ref="O51">_xlfn.SWITCH(TRUE,AND(N51="00",RIGHT(L51,2)="00",K51="TERMINAL"),"00",OR(E51="",N51=LEFT($B$1,2)),TEXT(RIGHT($D$1,2),"00"),RIGHT(L51,2)="00",$D$2&amp;"",TRUE,RIGHT(L51,2))</f>
        <v>00</v>
      </c>
      <c r="P51" t="str" cm="1">
        <f t="array" ref="P51">_xlfn.SWITCH(TRUE,AND(LEFT(M51,2)="00",K51="TERMINAL"),"00",F51="",TEXT(LEFT($D$1,2),"00"),LEFT(M51,2)="00",$D$2&amp;"",TRUE,LEFT(M51,2))</f>
        <v>00</v>
      </c>
      <c r="Q51" t="str" cm="1">
        <f t="array" ref="Q51">_xlfn.SWITCH(TRUE,AND(RIGHT(M51,2)="00",K51="TERMINAL"),"00",F51="",TEXT(RIGHT($D$1,2),"00"),RIGHT(M51,2)="00",$D$2&amp;"",TRUE,RIGHT(M51,2))</f>
        <v>00</v>
      </c>
      <c r="R51" s="7" cm="1">
        <f t="array" aca="1" ref="R51" ca="1">IF(INDIRECT("$D"&amp;(ROW(R51)+$F$1-1))=0,R50,$D51)</f>
        <v>39</v>
      </c>
      <c r="S51" s="7" cm="1">
        <f t="array" aca="1" ref="S51" ca="1">IF(INDIRECT("$D"&amp;(ROW(R51)+$F$1-1))=0,S50,$D52)</f>
        <v>38</v>
      </c>
      <c r="T51" s="7" cm="1">
        <f t="array" aca="1" ref="T51" ca="1">IF(INDIRECT("$D"&amp;(ROW(R51)+$F$1-1))=0,T50,$D53)</f>
        <v>37</v>
      </c>
      <c r="U51" s="7" cm="1">
        <f t="array" aca="1" ref="U51" ca="1">IF(INDIRECT("$D"&amp;(ROW(R51)+$F$1-1))=0,U50,$D54)</f>
        <v>36</v>
      </c>
      <c r="V51" s="7" cm="1">
        <f t="array" aca="1" ref="V51" ca="1">IF(INDIRECT("$D"&amp;(ROW(R51)+$F$1-1))=0,V50,$D55)</f>
        <v>35</v>
      </c>
      <c r="W51" s="7" cm="1">
        <f t="array" aca="1" ref="W51" ca="1">IF(INDIRECT("$D"&amp;(ROW(R51)+$F$1-1))=0,W50,$D56)</f>
        <v>0</v>
      </c>
      <c r="X51" s="7" t="str" cm="1">
        <f t="array" aca="1" ref="X51" ca="1">IF(INDIRECT("$D"&amp;(ROW(R51)+$F$1-1))=0,X49,$H51&amp;$N51&amp;$O51)</f>
        <v>5160</v>
      </c>
      <c r="Y51" s="7" t="str" cm="1">
        <f t="array" aca="1" ref="Y51" ca="1">IF(INDIRECT("$D"&amp;(ROW(R51)+$F$1-1))=0,Y50,H52&amp;$N52&amp;$O52)</f>
        <v>5530</v>
      </c>
      <c r="Z51" s="7" t="str" cm="1">
        <f t="array" aca="1" ref="Z51" ca="1">IF(INDIRECT("$D"&amp;(ROW(R51)+$F$1-1))=0,Z50,H53&amp;$N53&amp;$O53)</f>
        <v>6030</v>
      </c>
      <c r="AA51" s="7" t="str" cm="1">
        <f t="array" aca="1" ref="AA51" ca="1">IF(INDIRECT("$D"&amp;(ROW(R51)+$F$1-1))=0,AA50,H54&amp;$N54&amp;$O54)</f>
        <v>0000</v>
      </c>
      <c r="AB51" s="7" t="str" cm="1">
        <f t="array" aca="1" ref="AB51" ca="1">IF(INDIRECT("$D"&amp;(ROW(R51)+$F$1-1))=0,AB50,H55&amp;$N55&amp;$O55)</f>
        <v>0560</v>
      </c>
      <c r="AC51" s="7" t="str" cm="1">
        <f t="array" aca="1" ref="AC51" ca="1">IF(INDIRECT("$D"&amp;(ROW(R51)+$F$1-1))=0,AC50,H56&amp;$N56&amp;$O56)</f>
        <v>0000</v>
      </c>
      <c r="AD51" s="7" t="str" cm="1">
        <f t="array" aca="1" ref="AD51" ca="1">IF(INDIRECT("$D"&amp;(ROW(R51)+$F$1-1))=0,AD50,I51&amp;$P51&amp;$Q51)</f>
        <v>5130</v>
      </c>
      <c r="AE51" s="7" t="str" cm="1">
        <f t="array" aca="1" ref="AE51" ca="1">IF(INDIRECT("$D"&amp;(ROW(R51)+$F$1-1))=0,AE50,I52&amp;$P52&amp;$Q52)</f>
        <v>5660</v>
      </c>
      <c r="AF51" s="7" t="str" cm="1">
        <f t="array" aca="1" ref="AF51" ca="1">IF(INDIRECT("$D"&amp;(ROW(R51)+$F$1-1))=0,AF50,I53&amp;$P53&amp;$Q53)</f>
        <v>0160</v>
      </c>
      <c r="AG51" s="7" t="str" cm="1">
        <f t="array" aca="1" ref="AG51" ca="1">IF(INDIRECT("$D"&amp;(ROW(R51)+$F$1-1))=0,AG50,I54&amp;$P54&amp;$Q54)</f>
        <v>0000</v>
      </c>
      <c r="AH51" s="7" t="str" cm="1">
        <f t="array" aca="1" ref="AH51" ca="1">IF(INDIRECT("$D"&amp;(ROW(R51)+$F$1-1))=0,AH50,I55&amp;$P55&amp;$Q55)</f>
        <v>0000</v>
      </c>
      <c r="AI51" s="7" t="str" cm="1">
        <f t="array" aca="1" ref="AI51" ca="1">IF(INDIRECT("$D"&amp;(ROW(R51)+$F$1-1))=0,AI50,I56&amp;$P56&amp;$Q56)</f>
        <v>0000</v>
      </c>
      <c r="AJ51" s="7" t="str" cm="1">
        <f t="array" ref="AJ51">TEXT($D51,"000")&amp;TEXT(IFERROR(INDEX($D$5:$D$103,_xlfn.AGGREGATE(15,6,ROW($E$5:$E$103)/(($E$5:$E$103&lt;&gt;"p")*($E$5:$E$103&lt;&gt;"t")*(ROW($E$5:$E$103)&gt;ROW($E51))),1)-ROW($E$5)+1),$D51),"000")</f>
        <v>000000</v>
      </c>
      <c r="AK51" s="22">
        <f t="shared" si="2"/>
        <v>500</v>
      </c>
      <c r="AL51" s="22" cm="1">
        <f t="array" aca="1" ref="AL51" ca="1">IF(INDIRECT("$K"&amp;(ROW(R51)+$F$1-1))="TERMINAL",1000489,489)*SIGN(AK51)</f>
        <v>1000489</v>
      </c>
      <c r="AM51" s="7" cm="1">
        <f t="array" aca="1" ref="AM51" ca="1">IF(INDIRECT("$D"&amp;(ROW(R51)+$F$1-1))=0,AM50,$G51)</f>
        <v>8</v>
      </c>
      <c r="AN51" s="7" cm="1">
        <f t="array" aca="1" ref="AN51" ca="1">IF(INDIRECT("$D"&amp;(ROW(R51)+$F$1-1))=0,AN50,$G52)</f>
        <v>0</v>
      </c>
      <c r="AO51" s="7" cm="1">
        <f t="array" aca="1" ref="AO51" ca="1">IF(INDIRECT("$D"&amp;(ROW(R51)+$F$1-1))=0,AO50,$G53)</f>
        <v>0</v>
      </c>
      <c r="AP51" s="7" cm="1">
        <f t="array" aca="1" ref="AP51" ca="1">IF(INDIRECT("$D"&amp;(ROW(R51)+$F$1-1))=0,AP50,$G54)</f>
        <v>0</v>
      </c>
      <c r="AQ51" s="7" cm="1">
        <f t="array" aca="1" ref="AQ51" ca="1">IF(INDIRECT("$D"&amp;(ROW(R51)+$F$1-1))=0,AQ50,$G55)</f>
        <v>1</v>
      </c>
      <c r="AR51" s="7" cm="1">
        <f t="array" aca="1" ref="AR51" ca="1">IF(INDIRECT("$D"&amp;(ROW(R51)+$F$1-1))=0,AR50,$G56)</f>
        <v>0</v>
      </c>
      <c r="AS51" s="7" cm="1">
        <f t="array" aca="1" ref="AS51" ca="1">IF(INDIRECT("$D"&amp;(ROW(AS51)+$F$1-1))=0,AS50+4,1)</f>
        <v>113</v>
      </c>
      <c r="AT51" s="7" cm="1">
        <f t="array" aca="1" ref="AT51" ca="1">IF(INDIRECT("$D"&amp;(ROW(AT51)+$F$1-1))=0,AT50+4,2)</f>
        <v>114</v>
      </c>
      <c r="AU51" s="7" cm="1">
        <f t="array" aca="1" ref="AU51" ca="1">IF(INDIRECT("$D"&amp;(ROW(AU51)+$F$1-1))=0,AU50+4,3)</f>
        <v>115</v>
      </c>
      <c r="AV51" s="7" cm="1">
        <f t="array" aca="1" ref="AV51" ca="1">IF(INDIRECT("$D"&amp;(ROW(AV51)+$F$1-1))=0,AV50+4,4)</f>
        <v>116</v>
      </c>
      <c r="AW51" s="22" cm="1">
        <f t="array" aca="1" ref="AW51" ca="1">_xlfn.XLOOKUP(1,INDIRECT("J"&amp;ROW(K51)+$F$1):J$103,INDIRECT("D"&amp;ROW(K51)+$F$1):D$103,0,0,1)</f>
        <v>0</v>
      </c>
      <c r="AX51" s="22">
        <f t="shared" ca="1" si="3"/>
        <v>0</v>
      </c>
      <c r="AY51" s="22" cm="1">
        <f t="array" aca="1" ref="AY51" ca="1">_xlfn.XLOOKUP(AW51,D$4:D$110,H$4:H$110&amp;N$4:N$110&amp;O$4:O$110,0,0,1)</f>
        <v>0</v>
      </c>
      <c r="AZ51" s="22" cm="1">
        <f t="array" aca="1" ref="AZ51" ca="1">_xlfn.XLOOKUP(AW51,D$4:D$110,I$4:I$110&amp;P$4:P$110&amp;Q$4:Q$110,0,0,1)</f>
        <v>0</v>
      </c>
      <c r="BA51" s="14" cm="1">
        <f t="array" ref="BA51">_xlfn.XLOOKUP(1,J$4:J50,D$4:D50,0,0,-1)</f>
        <v>35</v>
      </c>
      <c r="BB51" s="14">
        <f t="shared" si="5"/>
        <v>1</v>
      </c>
      <c r="BC51" s="14" t="str" cm="1">
        <f t="array" ref="BC51">_xlfn.SWITCH(TRUE,_xlfn.XLOOKUP(BA51,D$4:D$110,TEXT(F$4:F$110,"HH"),0,0,1)="00",B49&amp;"",_xlfn.XLOOKUP(BA51,D$4:D$110,TEXT(F$4:F$110,"HH"),0,0,1)="T","00",TRUE,_xlfn.XLOOKUP(BA51,D$4:D$110,TEXT(F$4:F$110,"HH"),0,0,1))</f>
        <v>00</v>
      </c>
      <c r="BD51" s="14" t="str">
        <f t="shared" si="4"/>
        <v>000000</v>
      </c>
    </row>
    <row r="52" spans="1:56">
      <c r="A52" s="2">
        <v>49</v>
      </c>
      <c r="B52" s="5"/>
      <c r="C52" s="5"/>
      <c r="D52" s="5"/>
      <c r="E52" s="5"/>
      <c r="F52" s="5"/>
      <c r="G52" s="5"/>
      <c r="H52" s="5"/>
      <c r="I52" s="5"/>
      <c r="J52" s="5">
        <f t="shared" si="1"/>
        <v>0</v>
      </c>
      <c r="K52" s="7" t="str">
        <f t="shared" si="0"/>
        <v>terminal</v>
      </c>
      <c r="L52" s="7" t="str" cm="1">
        <f t="array" ref="L52">_xlfn.SWITCH(TRUE,$K52="PASS",TEXT($B$1,"0000"),AND($K52="STOP",E52=""),TEXT($D$1,"0000"),$K51="TERMINAL","0000",TRUE,TEXT(E52,"MMSS"))</f>
        <v>0000</v>
      </c>
      <c r="M52" s="7" t="str" cm="1">
        <f t="array" ref="M52">_xlfn.SWITCH(TRUE,$K52="PASS",TEXT($B$1,"0000"),AND($K52="STOP",F52=""),TEXT($D$1,"0000"),$K52="TERMINAL","0000",TRUE,TEXT(F52,"MMSS"))</f>
        <v>0000</v>
      </c>
      <c r="N52" t="str" cm="1">
        <f t="array" ref="N52">_xlfn.SWITCH(TRUE,AND(LEFT(L52,2)="00",K52="TERMINAL"),"00",E52="",TEXT(LEFT($D$1,2),"00"),LEFT(L52,2)="00",$D$2&amp;"",TRUE,LEFT(L52,2))</f>
        <v>00</v>
      </c>
      <c r="O52" t="str" cm="1">
        <f t="array" ref="O52">_xlfn.SWITCH(TRUE,AND(N52="00",RIGHT(L52,2)="00",K52="TERMINAL"),"00",OR(E52="",N52=LEFT($B$1,2)),TEXT(RIGHT($D$1,2),"00"),RIGHT(L52,2)="00",$D$2&amp;"",TRUE,RIGHT(L52,2))</f>
        <v>00</v>
      </c>
      <c r="P52" t="str" cm="1">
        <f t="array" ref="P52">_xlfn.SWITCH(TRUE,AND(LEFT(M52,2)="00",K52="TERMINAL"),"00",F52="",TEXT(LEFT($D$1,2),"00"),LEFT(M52,2)="00",$D$2&amp;"",TRUE,LEFT(M52,2))</f>
        <v>00</v>
      </c>
      <c r="Q52" t="str" cm="1">
        <f t="array" ref="Q52">_xlfn.SWITCH(TRUE,AND(RIGHT(M52,2)="00",K52="TERMINAL"),"00",F52="",TEXT(RIGHT($D$1,2),"00"),RIGHT(M52,2)="00",$D$2&amp;"",TRUE,RIGHT(M52,2))</f>
        <v>00</v>
      </c>
      <c r="R52" s="7" cm="1">
        <f t="array" aca="1" ref="R52" ca="1">IF(INDIRECT("$D"&amp;(ROW(R52)+$F$1-1))=0,R51,$D52)</f>
        <v>39</v>
      </c>
      <c r="S52" s="7" cm="1">
        <f t="array" aca="1" ref="S52" ca="1">IF(INDIRECT("$D"&amp;(ROW(R52)+$F$1-1))=0,S51,$D53)</f>
        <v>38</v>
      </c>
      <c r="T52" s="7" cm="1">
        <f t="array" aca="1" ref="T52" ca="1">IF(INDIRECT("$D"&amp;(ROW(R52)+$F$1-1))=0,T51,$D54)</f>
        <v>37</v>
      </c>
      <c r="U52" s="7" cm="1">
        <f t="array" aca="1" ref="U52" ca="1">IF(INDIRECT("$D"&amp;(ROW(R52)+$F$1-1))=0,U51,$D55)</f>
        <v>36</v>
      </c>
      <c r="V52" s="7" cm="1">
        <f t="array" aca="1" ref="V52" ca="1">IF(INDIRECT("$D"&amp;(ROW(R52)+$F$1-1))=0,V51,$D56)</f>
        <v>35</v>
      </c>
      <c r="W52" s="7" cm="1">
        <f t="array" aca="1" ref="W52" ca="1">IF(INDIRECT("$D"&amp;(ROW(R52)+$F$1-1))=0,W51,$D57)</f>
        <v>0</v>
      </c>
      <c r="X52" s="7" t="str" cm="1">
        <f t="array" aca="1" ref="X52" ca="1">IF(INDIRECT("$D"&amp;(ROW(R52)+$F$1-1))=0,X50,$H52&amp;$N52&amp;$O52)</f>
        <v>4630</v>
      </c>
      <c r="Y52" s="7" t="str" cm="1">
        <f t="array" aca="1" ref="Y52" ca="1">IF(INDIRECT("$D"&amp;(ROW(R52)+$F$1-1))=0,Y51,H53&amp;$N53&amp;$O53)</f>
        <v>5530</v>
      </c>
      <c r="Z52" s="7" t="str" cm="1">
        <f t="array" aca="1" ref="Z52" ca="1">IF(INDIRECT("$D"&amp;(ROW(R52)+$F$1-1))=0,Z51,H54&amp;$N54&amp;$O54)</f>
        <v>6030</v>
      </c>
      <c r="AA52" s="7" t="str" cm="1">
        <f t="array" aca="1" ref="AA52" ca="1">IF(INDIRECT("$D"&amp;(ROW(R52)+$F$1-1))=0,AA51,H55&amp;$N55&amp;$O55)</f>
        <v>0000</v>
      </c>
      <c r="AB52" s="7" t="str" cm="1">
        <f t="array" aca="1" ref="AB52" ca="1">IF(INDIRECT("$D"&amp;(ROW(R52)+$F$1-1))=0,AB51,H56&amp;$N56&amp;$O56)</f>
        <v>0560</v>
      </c>
      <c r="AC52" s="7" t="str" cm="1">
        <f t="array" aca="1" ref="AC52" ca="1">IF(INDIRECT("$D"&amp;(ROW(R52)+$F$1-1))=0,AC51,H57&amp;$N57&amp;$O57)</f>
        <v>0000</v>
      </c>
      <c r="AD52" s="7" t="str" cm="1">
        <f t="array" aca="1" ref="AD52" ca="1">IF(INDIRECT("$D"&amp;(ROW(R52)+$F$1-1))=0,AD51,I52&amp;$P52&amp;$Q52)</f>
        <v>5130</v>
      </c>
      <c r="AE52" s="7" t="str" cm="1">
        <f t="array" aca="1" ref="AE52" ca="1">IF(INDIRECT("$D"&amp;(ROW(R52)+$F$1-1))=0,AE51,I53&amp;$P53&amp;$Q53)</f>
        <v>5660</v>
      </c>
      <c r="AF52" s="7" t="str" cm="1">
        <f t="array" aca="1" ref="AF52" ca="1">IF(INDIRECT("$D"&amp;(ROW(R52)+$F$1-1))=0,AF51,I54&amp;$P54&amp;$Q54)</f>
        <v>0160</v>
      </c>
      <c r="AG52" s="7" t="str" cm="1">
        <f t="array" aca="1" ref="AG52" ca="1">IF(INDIRECT("$D"&amp;(ROW(R52)+$F$1-1))=0,AG51,I55&amp;$P55&amp;$Q55)</f>
        <v>0000</v>
      </c>
      <c r="AH52" s="7" t="str" cm="1">
        <f t="array" aca="1" ref="AH52" ca="1">IF(INDIRECT("$D"&amp;(ROW(R52)+$F$1-1))=0,AH51,I56&amp;$P56&amp;$Q56)</f>
        <v>0000</v>
      </c>
      <c r="AI52" s="7" t="str" cm="1">
        <f t="array" aca="1" ref="AI52" ca="1">IF(INDIRECT("$D"&amp;(ROW(R52)+$F$1-1))=0,AI51,I57&amp;$P57&amp;$Q57)</f>
        <v>0000</v>
      </c>
      <c r="AJ52" s="7" t="str" cm="1">
        <f t="array" ref="AJ52">TEXT($D52,"000")&amp;TEXT(IFERROR(INDEX($D$5:$D$103,_xlfn.AGGREGATE(15,6,ROW($E$5:$E$103)/(($E$5:$E$103&lt;&gt;"p")*($E$5:$E$103&lt;&gt;"t")*(ROW($E$5:$E$103)&gt;ROW($E52))),1)-ROW($E$5)+1),$D52),"000")</f>
        <v>000000</v>
      </c>
      <c r="AK52" s="22">
        <f t="shared" si="2"/>
        <v>500</v>
      </c>
      <c r="AL52" s="22" cm="1">
        <f t="array" aca="1" ref="AL52" ca="1">IF(INDIRECT("$K"&amp;(ROW(R52)+$F$1-1))="TERMINAL",1000489,489)*SIGN(AK52)</f>
        <v>1000489</v>
      </c>
      <c r="AM52" s="7" cm="1">
        <f t="array" aca="1" ref="AM52" ca="1">IF(INDIRECT("$D"&amp;(ROW(R52)+$F$1-1))=0,AM51,$G52)</f>
        <v>8</v>
      </c>
      <c r="AN52" s="7" cm="1">
        <f t="array" aca="1" ref="AN52" ca="1">IF(INDIRECT("$D"&amp;(ROW(R52)+$F$1-1))=0,AN51,$G53)</f>
        <v>0</v>
      </c>
      <c r="AO52" s="7" cm="1">
        <f t="array" aca="1" ref="AO52" ca="1">IF(INDIRECT("$D"&amp;(ROW(R52)+$F$1-1))=0,AO51,$G54)</f>
        <v>0</v>
      </c>
      <c r="AP52" s="7" cm="1">
        <f t="array" aca="1" ref="AP52" ca="1">IF(INDIRECT("$D"&amp;(ROW(R52)+$F$1-1))=0,AP51,$G55)</f>
        <v>0</v>
      </c>
      <c r="AQ52" s="7" cm="1">
        <f t="array" aca="1" ref="AQ52" ca="1">IF(INDIRECT("$D"&amp;(ROW(R52)+$F$1-1))=0,AQ51,$G56)</f>
        <v>1</v>
      </c>
      <c r="AR52" s="7" cm="1">
        <f t="array" aca="1" ref="AR52" ca="1">IF(INDIRECT("$D"&amp;(ROW(R52)+$F$1-1))=0,AR51,$G57)</f>
        <v>0</v>
      </c>
      <c r="AS52" s="7" cm="1">
        <f t="array" aca="1" ref="AS52" ca="1">IF(INDIRECT("$D"&amp;(ROW(AS52)+$F$1-1))=0,AS51+4,1)</f>
        <v>117</v>
      </c>
      <c r="AT52" s="7" cm="1">
        <f t="array" aca="1" ref="AT52" ca="1">IF(INDIRECT("$D"&amp;(ROW(AT52)+$F$1-1))=0,AT51+4,2)</f>
        <v>118</v>
      </c>
      <c r="AU52" s="7" cm="1">
        <f t="array" aca="1" ref="AU52" ca="1">IF(INDIRECT("$D"&amp;(ROW(AU52)+$F$1-1))=0,AU51+4,3)</f>
        <v>119</v>
      </c>
      <c r="AV52" s="7" cm="1">
        <f t="array" aca="1" ref="AV52" ca="1">IF(INDIRECT("$D"&amp;(ROW(AV52)+$F$1-1))=0,AV51+4,4)</f>
        <v>120</v>
      </c>
      <c r="AW52" s="22" cm="1">
        <f t="array" aca="1" ref="AW52" ca="1">_xlfn.XLOOKUP(1,INDIRECT("J"&amp;ROW(K52)+$F$1):J$103,INDIRECT("D"&amp;ROW(K52)+$F$1):D$103,0,0,1)</f>
        <v>0</v>
      </c>
      <c r="AX52" s="22">
        <f t="shared" ca="1" si="3"/>
        <v>0</v>
      </c>
      <c r="AY52" s="22" cm="1">
        <f t="array" aca="1" ref="AY52" ca="1">_xlfn.XLOOKUP(AW52,D$4:D$110,H$4:H$110&amp;N$4:N$110&amp;O$4:O$110,0,0,1)</f>
        <v>0</v>
      </c>
      <c r="AZ52" s="22" cm="1">
        <f t="array" aca="1" ref="AZ52" ca="1">_xlfn.XLOOKUP(AW52,D$4:D$110,I$4:I$110&amp;P$4:P$110&amp;Q$4:Q$110,0,0,1)</f>
        <v>0</v>
      </c>
      <c r="BA52" s="14" cm="1">
        <f t="array" ref="BA52">_xlfn.XLOOKUP(1,J$4:J51,D$4:D51,0,0,-1)</f>
        <v>35</v>
      </c>
      <c r="BB52" s="14">
        <f t="shared" si="5"/>
        <v>1</v>
      </c>
      <c r="BC52" s="14" t="str" cm="1">
        <f t="array" ref="BC52">_xlfn.SWITCH(TRUE,_xlfn.XLOOKUP(BA52,D$4:D$110,TEXT(F$4:F$110,"HH"),0,0,1)="00",B50&amp;"",_xlfn.XLOOKUP(BA52,D$4:D$110,TEXT(F$4:F$110,"HH"),0,0,1)="T","00",TRUE,_xlfn.XLOOKUP(BA52,D$4:D$110,TEXT(F$4:F$110,"HH"),0,0,1))</f>
        <v>00</v>
      </c>
      <c r="BD52" s="14" t="str">
        <f t="shared" si="4"/>
        <v>000000</v>
      </c>
    </row>
    <row r="53" spans="1:56">
      <c r="A53" s="2">
        <v>50</v>
      </c>
      <c r="B53" s="5"/>
      <c r="C53" s="5"/>
      <c r="D53" s="5"/>
      <c r="E53" s="5"/>
      <c r="F53" s="5"/>
      <c r="G53" s="5"/>
      <c r="H53" s="5"/>
      <c r="I53" s="5"/>
      <c r="J53" s="5">
        <f t="shared" si="1"/>
        <v>0</v>
      </c>
      <c r="K53" s="7" t="str">
        <f t="shared" si="0"/>
        <v>terminal</v>
      </c>
      <c r="L53" s="7" t="str" cm="1">
        <f t="array" ref="L53">_xlfn.SWITCH(TRUE,$K53="PASS",TEXT($B$1,"0000"),AND($K53="STOP",E53=""),TEXT($D$1,"0000"),$K52="TERMINAL","0000",TRUE,TEXT(E53,"MMSS"))</f>
        <v>0000</v>
      </c>
      <c r="M53" s="7" t="str" cm="1">
        <f t="array" ref="M53">_xlfn.SWITCH(TRUE,$K53="PASS",TEXT($B$1,"0000"),AND($K53="STOP",F53=""),TEXT($D$1,"0000"),$K53="TERMINAL","0000",TRUE,TEXT(F53,"MMSS"))</f>
        <v>0000</v>
      </c>
      <c r="N53" t="str" cm="1">
        <f t="array" ref="N53">_xlfn.SWITCH(TRUE,AND(LEFT(L53,2)="00",K53="TERMINAL"),"00",E53="",TEXT(LEFT($D$1,2),"00"),LEFT(L53,2)="00",$D$2&amp;"",TRUE,LEFT(L53,2))</f>
        <v>00</v>
      </c>
      <c r="O53" t="str" cm="1">
        <f t="array" ref="O53">_xlfn.SWITCH(TRUE,AND(N53="00",RIGHT(L53,2)="00",K53="TERMINAL"),"00",OR(E53="",N53=LEFT($B$1,2)),TEXT(RIGHT($D$1,2),"00"),RIGHT(L53,2)="00",$D$2&amp;"",TRUE,RIGHT(L53,2))</f>
        <v>00</v>
      </c>
      <c r="P53" t="str" cm="1">
        <f t="array" ref="P53">_xlfn.SWITCH(TRUE,AND(LEFT(M53,2)="00",K53="TERMINAL"),"00",F53="",TEXT(LEFT($D$1,2),"00"),LEFT(M53,2)="00",$D$2&amp;"",TRUE,LEFT(M53,2))</f>
        <v>00</v>
      </c>
      <c r="Q53" t="str" cm="1">
        <f t="array" ref="Q53">_xlfn.SWITCH(TRUE,AND(RIGHT(M53,2)="00",K53="TERMINAL"),"00",F53="",TEXT(RIGHT($D$1,2),"00"),RIGHT(M53,2)="00",$D$2&amp;"",TRUE,RIGHT(M53,2))</f>
        <v>00</v>
      </c>
      <c r="R53" s="7" cm="1">
        <f t="array" aca="1" ref="R53" ca="1">IF(INDIRECT("$D"&amp;(ROW(R53)+$F$1-1))=0,R52,$D53)</f>
        <v>39</v>
      </c>
      <c r="S53" s="7" cm="1">
        <f t="array" aca="1" ref="S53" ca="1">IF(INDIRECT("$D"&amp;(ROW(R53)+$F$1-1))=0,S52,$D54)</f>
        <v>38</v>
      </c>
      <c r="T53" s="7" cm="1">
        <f t="array" aca="1" ref="T53" ca="1">IF(INDIRECT("$D"&amp;(ROW(R53)+$F$1-1))=0,T52,$D55)</f>
        <v>37</v>
      </c>
      <c r="U53" s="7" cm="1">
        <f t="array" aca="1" ref="U53" ca="1">IF(INDIRECT("$D"&amp;(ROW(R53)+$F$1-1))=0,U52,$D56)</f>
        <v>36</v>
      </c>
      <c r="V53" s="7" cm="1">
        <f t="array" aca="1" ref="V53" ca="1">IF(INDIRECT("$D"&amp;(ROW(R53)+$F$1-1))=0,V52,$D57)</f>
        <v>35</v>
      </c>
      <c r="W53" s="7" cm="1">
        <f t="array" aca="1" ref="W53" ca="1">IF(INDIRECT("$D"&amp;(ROW(R53)+$F$1-1))=0,W52,$D58)</f>
        <v>0</v>
      </c>
      <c r="X53" s="7" t="str" cm="1">
        <f t="array" aca="1" ref="X53" ca="1">IF(INDIRECT("$D"&amp;(ROW(R53)+$F$1-1))=0,X51,$H53&amp;$N53&amp;$O53)</f>
        <v>5160</v>
      </c>
      <c r="Y53" s="7" t="str" cm="1">
        <f t="array" aca="1" ref="Y53" ca="1">IF(INDIRECT("$D"&amp;(ROW(R53)+$F$1-1))=0,Y52,H54&amp;$N54&amp;$O54)</f>
        <v>5530</v>
      </c>
      <c r="Z53" s="7" t="str" cm="1">
        <f t="array" aca="1" ref="Z53" ca="1">IF(INDIRECT("$D"&amp;(ROW(R53)+$F$1-1))=0,Z52,H55&amp;$N55&amp;$O55)</f>
        <v>6030</v>
      </c>
      <c r="AA53" s="7" t="str" cm="1">
        <f t="array" aca="1" ref="AA53" ca="1">IF(INDIRECT("$D"&amp;(ROW(R53)+$F$1-1))=0,AA52,H56&amp;$N56&amp;$O56)</f>
        <v>0000</v>
      </c>
      <c r="AB53" s="7" t="str" cm="1">
        <f t="array" aca="1" ref="AB53" ca="1">IF(INDIRECT("$D"&amp;(ROW(R53)+$F$1-1))=0,AB52,H57&amp;$N57&amp;$O57)</f>
        <v>0560</v>
      </c>
      <c r="AC53" s="7" t="str" cm="1">
        <f t="array" aca="1" ref="AC53" ca="1">IF(INDIRECT("$D"&amp;(ROW(R53)+$F$1-1))=0,AC52,H58&amp;$N58&amp;$O58)</f>
        <v>0000</v>
      </c>
      <c r="AD53" s="7" t="str" cm="1">
        <f t="array" aca="1" ref="AD53" ca="1">IF(INDIRECT("$D"&amp;(ROW(R53)+$F$1-1))=0,AD52,I53&amp;$P53&amp;$Q53)</f>
        <v>5130</v>
      </c>
      <c r="AE53" s="7" t="str" cm="1">
        <f t="array" aca="1" ref="AE53" ca="1">IF(INDIRECT("$D"&amp;(ROW(R53)+$F$1-1))=0,AE52,I54&amp;$P54&amp;$Q54)</f>
        <v>5660</v>
      </c>
      <c r="AF53" s="7" t="str" cm="1">
        <f t="array" aca="1" ref="AF53" ca="1">IF(INDIRECT("$D"&amp;(ROW(R53)+$F$1-1))=0,AF52,I55&amp;$P55&amp;$Q55)</f>
        <v>0160</v>
      </c>
      <c r="AG53" s="7" t="str" cm="1">
        <f t="array" aca="1" ref="AG53" ca="1">IF(INDIRECT("$D"&amp;(ROW(R53)+$F$1-1))=0,AG52,I56&amp;$P56&amp;$Q56)</f>
        <v>0000</v>
      </c>
      <c r="AH53" s="7" t="str" cm="1">
        <f t="array" aca="1" ref="AH53" ca="1">IF(INDIRECT("$D"&amp;(ROW(R53)+$F$1-1))=0,AH52,I57&amp;$P57&amp;$Q57)</f>
        <v>0000</v>
      </c>
      <c r="AI53" s="7" t="str" cm="1">
        <f t="array" aca="1" ref="AI53" ca="1">IF(INDIRECT("$D"&amp;(ROW(R53)+$F$1-1))=0,AI52,I58&amp;$P58&amp;$Q58)</f>
        <v>0000</v>
      </c>
      <c r="AJ53" s="7" t="str" cm="1">
        <f t="array" ref="AJ53">TEXT($D53,"000")&amp;TEXT(IFERROR(INDEX($D$5:$D$103,_xlfn.AGGREGATE(15,6,ROW($E$5:$E$103)/(($E$5:$E$103&lt;&gt;"p")*($E$5:$E$103&lt;&gt;"t")*(ROW($E$5:$E$103)&gt;ROW($E53))),1)-ROW($E$5)+1),$D53),"000")</f>
        <v>000000</v>
      </c>
      <c r="AK53" s="22">
        <f t="shared" si="2"/>
        <v>500</v>
      </c>
      <c r="AL53" s="22" cm="1">
        <f t="array" aca="1" ref="AL53" ca="1">IF(INDIRECT("$K"&amp;(ROW(R53)+$F$1-1))="TERMINAL",1000489,489)*SIGN(AK53)</f>
        <v>1000489</v>
      </c>
      <c r="AM53" s="7" cm="1">
        <f t="array" aca="1" ref="AM53" ca="1">IF(INDIRECT("$D"&amp;(ROW(R53)+$F$1-1))=0,AM52,$G53)</f>
        <v>8</v>
      </c>
      <c r="AN53" s="7" cm="1">
        <f t="array" aca="1" ref="AN53" ca="1">IF(INDIRECT("$D"&amp;(ROW(R53)+$F$1-1))=0,AN52,$G54)</f>
        <v>0</v>
      </c>
      <c r="AO53" s="7" cm="1">
        <f t="array" aca="1" ref="AO53" ca="1">IF(INDIRECT("$D"&amp;(ROW(R53)+$F$1-1))=0,AO52,$G55)</f>
        <v>0</v>
      </c>
      <c r="AP53" s="7" cm="1">
        <f t="array" aca="1" ref="AP53" ca="1">IF(INDIRECT("$D"&amp;(ROW(R53)+$F$1-1))=0,AP52,$G56)</f>
        <v>0</v>
      </c>
      <c r="AQ53" s="7" cm="1">
        <f t="array" aca="1" ref="AQ53" ca="1">IF(INDIRECT("$D"&amp;(ROW(R53)+$F$1-1))=0,AQ52,$G57)</f>
        <v>1</v>
      </c>
      <c r="AR53" s="7" cm="1">
        <f t="array" aca="1" ref="AR53" ca="1">IF(INDIRECT("$D"&amp;(ROW(R53)+$F$1-1))=0,AR52,$G58)</f>
        <v>0</v>
      </c>
      <c r="AS53" s="7" cm="1">
        <f t="array" aca="1" ref="AS53" ca="1">IF(INDIRECT("$D"&amp;(ROW(AS53)+$F$1-1))=0,AS52+4,1)</f>
        <v>121</v>
      </c>
      <c r="AT53" s="7" cm="1">
        <f t="array" aca="1" ref="AT53" ca="1">IF(INDIRECT("$D"&amp;(ROW(AT53)+$F$1-1))=0,AT52+4,2)</f>
        <v>122</v>
      </c>
      <c r="AU53" s="7" cm="1">
        <f t="array" aca="1" ref="AU53" ca="1">IF(INDIRECT("$D"&amp;(ROW(AU53)+$F$1-1))=0,AU52+4,3)</f>
        <v>123</v>
      </c>
      <c r="AV53" s="7" cm="1">
        <f t="array" aca="1" ref="AV53" ca="1">IF(INDIRECT("$D"&amp;(ROW(AV53)+$F$1-1))=0,AV52+4,4)</f>
        <v>124</v>
      </c>
      <c r="AW53" s="22" cm="1">
        <f t="array" aca="1" ref="AW53" ca="1">_xlfn.XLOOKUP(1,INDIRECT("J"&amp;ROW(K53)+$F$1):J$103,INDIRECT("D"&amp;ROW(K53)+$F$1):D$103,0,0,1)</f>
        <v>0</v>
      </c>
      <c r="AX53" s="22">
        <f t="shared" ca="1" si="3"/>
        <v>0</v>
      </c>
      <c r="AY53" s="22" cm="1">
        <f t="array" aca="1" ref="AY53" ca="1">_xlfn.XLOOKUP(AW53,D$4:D$110,H$4:H$110&amp;N$4:N$110&amp;O$4:O$110,0,0,1)</f>
        <v>0</v>
      </c>
      <c r="AZ53" s="22" cm="1">
        <f t="array" aca="1" ref="AZ53" ca="1">_xlfn.XLOOKUP(AW53,D$4:D$110,I$4:I$110&amp;P$4:P$110&amp;Q$4:Q$110,0,0,1)</f>
        <v>0</v>
      </c>
      <c r="BA53" s="14" cm="1">
        <f t="array" ref="BA53">_xlfn.XLOOKUP(1,J$4:J52,D$4:D52,0,0,-1)</f>
        <v>35</v>
      </c>
      <c r="BB53" s="14">
        <f t="shared" si="5"/>
        <v>1</v>
      </c>
      <c r="BC53" s="14" t="str" cm="1">
        <f t="array" ref="BC53">_xlfn.SWITCH(TRUE,_xlfn.XLOOKUP(BA53,D$4:D$110,TEXT(F$4:F$110,"HH"),0,0,1)="00",B51&amp;"",_xlfn.XLOOKUP(BA53,D$4:D$110,TEXT(F$4:F$110,"HH"),0,0,1)="T","00",TRUE,_xlfn.XLOOKUP(BA53,D$4:D$110,TEXT(F$4:F$110,"HH"),0,0,1))</f>
        <v>00</v>
      </c>
      <c r="BD53" s="14" t="str">
        <f t="shared" si="4"/>
        <v>000000</v>
      </c>
    </row>
    <row r="54" spans="1:56">
      <c r="A54" s="2">
        <v>51</v>
      </c>
      <c r="B54" s="5"/>
      <c r="C54" s="5"/>
      <c r="D54" s="5"/>
      <c r="E54" s="5"/>
      <c r="F54" s="5"/>
      <c r="G54" s="5"/>
      <c r="H54" s="5"/>
      <c r="I54" s="5"/>
      <c r="J54" s="5">
        <f t="shared" si="1"/>
        <v>0</v>
      </c>
      <c r="K54" s="7" t="str">
        <f t="shared" si="0"/>
        <v>terminal</v>
      </c>
      <c r="L54" s="7" t="str" cm="1">
        <f t="array" ref="L54">_xlfn.SWITCH(TRUE,$K54="PASS",TEXT($B$1,"0000"),AND($K54="STOP",E54=""),TEXT($D$1,"0000"),$K53="TERMINAL","0000",TRUE,TEXT(E54,"MMSS"))</f>
        <v>0000</v>
      </c>
      <c r="M54" s="7" t="str" cm="1">
        <f t="array" ref="M54">_xlfn.SWITCH(TRUE,$K54="PASS",TEXT($B$1,"0000"),AND($K54="STOP",F54=""),TEXT($D$1,"0000"),$K54="TERMINAL","0000",TRUE,TEXT(F54,"MMSS"))</f>
        <v>0000</v>
      </c>
      <c r="N54" t="str" cm="1">
        <f t="array" ref="N54">_xlfn.SWITCH(TRUE,AND(LEFT(L54,2)="00",K54="TERMINAL"),"00",E54="",TEXT(LEFT($D$1,2),"00"),LEFT(L54,2)="00",$D$2&amp;"",TRUE,LEFT(L54,2))</f>
        <v>00</v>
      </c>
      <c r="O54" t="str" cm="1">
        <f t="array" ref="O54">_xlfn.SWITCH(TRUE,AND(N54="00",RIGHT(L54,2)="00",K54="TERMINAL"),"00",OR(E54="",N54=LEFT($B$1,2)),TEXT(RIGHT($D$1,2),"00"),RIGHT(L54,2)="00",$D$2&amp;"",TRUE,RIGHT(L54,2))</f>
        <v>00</v>
      </c>
      <c r="P54" t="str" cm="1">
        <f t="array" ref="P54">_xlfn.SWITCH(TRUE,AND(LEFT(M54,2)="00",K54="TERMINAL"),"00",F54="",TEXT(LEFT($D$1,2),"00"),LEFT(M54,2)="00",$D$2&amp;"",TRUE,LEFT(M54,2))</f>
        <v>00</v>
      </c>
      <c r="Q54" t="str" cm="1">
        <f t="array" ref="Q54">_xlfn.SWITCH(TRUE,AND(RIGHT(M54,2)="00",K54="TERMINAL"),"00",F54="",TEXT(RIGHT($D$1,2),"00"),RIGHT(M54,2)="00",$D$2&amp;"",TRUE,RIGHT(M54,2))</f>
        <v>00</v>
      </c>
      <c r="R54" s="7" cm="1">
        <f t="array" aca="1" ref="R54" ca="1">IF(INDIRECT("$D"&amp;(ROW(R54)+$F$1-1))=0,R53,$D54)</f>
        <v>39</v>
      </c>
      <c r="S54" s="7" cm="1">
        <f t="array" aca="1" ref="S54" ca="1">IF(INDIRECT("$D"&amp;(ROW(R54)+$F$1-1))=0,S53,$D55)</f>
        <v>38</v>
      </c>
      <c r="T54" s="7" cm="1">
        <f t="array" aca="1" ref="T54" ca="1">IF(INDIRECT("$D"&amp;(ROW(R54)+$F$1-1))=0,T53,$D56)</f>
        <v>37</v>
      </c>
      <c r="U54" s="7" cm="1">
        <f t="array" aca="1" ref="U54" ca="1">IF(INDIRECT("$D"&amp;(ROW(R54)+$F$1-1))=0,U53,$D57)</f>
        <v>36</v>
      </c>
      <c r="V54" s="7" cm="1">
        <f t="array" aca="1" ref="V54" ca="1">IF(INDIRECT("$D"&amp;(ROW(R54)+$F$1-1))=0,V53,$D58)</f>
        <v>35</v>
      </c>
      <c r="W54" s="7" cm="1">
        <f t="array" aca="1" ref="W54" ca="1">IF(INDIRECT("$D"&amp;(ROW(R54)+$F$1-1))=0,W53,$D59)</f>
        <v>0</v>
      </c>
      <c r="X54" s="7" t="str" cm="1">
        <f t="array" aca="1" ref="X54" ca="1">IF(INDIRECT("$D"&amp;(ROW(R54)+$F$1-1))=0,X52,$H54&amp;$N54&amp;$O54)</f>
        <v>4630</v>
      </c>
      <c r="Y54" s="7" t="str" cm="1">
        <f t="array" aca="1" ref="Y54" ca="1">IF(INDIRECT("$D"&amp;(ROW(R54)+$F$1-1))=0,Y53,H55&amp;$N55&amp;$O55)</f>
        <v>5530</v>
      </c>
      <c r="Z54" s="7" t="str" cm="1">
        <f t="array" aca="1" ref="Z54" ca="1">IF(INDIRECT("$D"&amp;(ROW(R54)+$F$1-1))=0,Z53,H56&amp;$N56&amp;$O56)</f>
        <v>6030</v>
      </c>
      <c r="AA54" s="7" t="str" cm="1">
        <f t="array" aca="1" ref="AA54" ca="1">IF(INDIRECT("$D"&amp;(ROW(R54)+$F$1-1))=0,AA53,H57&amp;$N57&amp;$O57)</f>
        <v>0000</v>
      </c>
      <c r="AB54" s="7" t="str" cm="1">
        <f t="array" aca="1" ref="AB54" ca="1">IF(INDIRECT("$D"&amp;(ROW(R54)+$F$1-1))=0,AB53,H58&amp;$N58&amp;$O58)</f>
        <v>0560</v>
      </c>
      <c r="AC54" s="7" t="str" cm="1">
        <f t="array" aca="1" ref="AC54" ca="1">IF(INDIRECT("$D"&amp;(ROW(R54)+$F$1-1))=0,AC53,H59&amp;$N59&amp;$O59)</f>
        <v>0000</v>
      </c>
      <c r="AD54" s="7" t="str" cm="1">
        <f t="array" aca="1" ref="AD54" ca="1">IF(INDIRECT("$D"&amp;(ROW(R54)+$F$1-1))=0,AD53,I54&amp;$P54&amp;$Q54)</f>
        <v>5130</v>
      </c>
      <c r="AE54" s="7" t="str" cm="1">
        <f t="array" aca="1" ref="AE54" ca="1">IF(INDIRECT("$D"&amp;(ROW(R54)+$F$1-1))=0,AE53,I55&amp;$P55&amp;$Q55)</f>
        <v>5660</v>
      </c>
      <c r="AF54" s="7" t="str" cm="1">
        <f t="array" aca="1" ref="AF54" ca="1">IF(INDIRECT("$D"&amp;(ROW(R54)+$F$1-1))=0,AF53,I56&amp;$P56&amp;$Q56)</f>
        <v>0160</v>
      </c>
      <c r="AG54" s="7" t="str" cm="1">
        <f t="array" aca="1" ref="AG54" ca="1">IF(INDIRECT("$D"&amp;(ROW(R54)+$F$1-1))=0,AG53,I57&amp;$P57&amp;$Q57)</f>
        <v>0000</v>
      </c>
      <c r="AH54" s="7" t="str" cm="1">
        <f t="array" aca="1" ref="AH54" ca="1">IF(INDIRECT("$D"&amp;(ROW(R54)+$F$1-1))=0,AH53,I58&amp;$P58&amp;$Q58)</f>
        <v>0000</v>
      </c>
      <c r="AI54" s="7" t="str" cm="1">
        <f t="array" aca="1" ref="AI54" ca="1">IF(INDIRECT("$D"&amp;(ROW(R54)+$F$1-1))=0,AI53,I59&amp;$P59&amp;$Q59)</f>
        <v>0000</v>
      </c>
      <c r="AJ54" s="7" t="str" cm="1">
        <f t="array" ref="AJ54">TEXT($D54,"000")&amp;TEXT(IFERROR(INDEX($D$5:$D$103,_xlfn.AGGREGATE(15,6,ROW($E$5:$E$103)/(($E$5:$E$103&lt;&gt;"p")*($E$5:$E$103&lt;&gt;"t")*(ROW($E$5:$E$103)&gt;ROW($E54))),1)-ROW($E$5)+1),$D54),"000")</f>
        <v>000000</v>
      </c>
      <c r="AK54" s="22">
        <f t="shared" si="2"/>
        <v>500</v>
      </c>
      <c r="AL54" s="22" cm="1">
        <f t="array" aca="1" ref="AL54" ca="1">IF(INDIRECT("$K"&amp;(ROW(R54)+$F$1-1))="TERMINAL",1000489,489)*SIGN(AK54)</f>
        <v>1000489</v>
      </c>
      <c r="AM54" s="7" cm="1">
        <f t="array" aca="1" ref="AM54" ca="1">IF(INDIRECT("$D"&amp;(ROW(R54)+$F$1-1))=0,AM53,$G54)</f>
        <v>8</v>
      </c>
      <c r="AN54" s="7" cm="1">
        <f t="array" aca="1" ref="AN54" ca="1">IF(INDIRECT("$D"&amp;(ROW(R54)+$F$1-1))=0,AN53,$G55)</f>
        <v>0</v>
      </c>
      <c r="AO54" s="7" cm="1">
        <f t="array" aca="1" ref="AO54" ca="1">IF(INDIRECT("$D"&amp;(ROW(R54)+$F$1-1))=0,AO53,$G56)</f>
        <v>0</v>
      </c>
      <c r="AP54" s="7" cm="1">
        <f t="array" aca="1" ref="AP54" ca="1">IF(INDIRECT("$D"&amp;(ROW(R54)+$F$1-1))=0,AP53,$G57)</f>
        <v>0</v>
      </c>
      <c r="AQ54" s="7" cm="1">
        <f t="array" aca="1" ref="AQ54" ca="1">IF(INDIRECT("$D"&amp;(ROW(R54)+$F$1-1))=0,AQ53,$G58)</f>
        <v>1</v>
      </c>
      <c r="AR54" s="7" cm="1">
        <f t="array" aca="1" ref="AR54" ca="1">IF(INDIRECT("$D"&amp;(ROW(R54)+$F$1-1))=0,AR53,$G59)</f>
        <v>0</v>
      </c>
      <c r="AS54" s="7" cm="1">
        <f t="array" aca="1" ref="AS54" ca="1">IF(INDIRECT("$D"&amp;(ROW(AS54)+$F$1-1))=0,AS53+4,1)</f>
        <v>125</v>
      </c>
      <c r="AT54" s="7" cm="1">
        <f t="array" aca="1" ref="AT54" ca="1">IF(INDIRECT("$D"&amp;(ROW(AT54)+$F$1-1))=0,AT53+4,2)</f>
        <v>126</v>
      </c>
      <c r="AU54" s="7" cm="1">
        <f t="array" aca="1" ref="AU54" ca="1">IF(INDIRECT("$D"&amp;(ROW(AU54)+$F$1-1))=0,AU53+4,3)</f>
        <v>127</v>
      </c>
      <c r="AV54" s="7" cm="1">
        <f t="array" aca="1" ref="AV54" ca="1">IF(INDIRECT("$D"&amp;(ROW(AV54)+$F$1-1))=0,AV53+4,4)</f>
        <v>128</v>
      </c>
      <c r="AW54" s="22" cm="1">
        <f t="array" aca="1" ref="AW54" ca="1">_xlfn.XLOOKUP(1,INDIRECT("J"&amp;ROW(K54)+$F$1):J$103,INDIRECT("D"&amp;ROW(K54)+$F$1):D$103,0,0,1)</f>
        <v>0</v>
      </c>
      <c r="AX54" s="22">
        <f t="shared" ca="1" si="3"/>
        <v>0</v>
      </c>
      <c r="AY54" s="22" cm="1">
        <f t="array" aca="1" ref="AY54" ca="1">_xlfn.XLOOKUP(AW54,D$4:D$110,H$4:H$110&amp;N$4:N$110&amp;O$4:O$110,0,0,1)</f>
        <v>0</v>
      </c>
      <c r="AZ54" s="22" cm="1">
        <f t="array" aca="1" ref="AZ54" ca="1">_xlfn.XLOOKUP(AW54,D$4:D$110,I$4:I$110&amp;P$4:P$110&amp;Q$4:Q$110,0,0,1)</f>
        <v>0</v>
      </c>
      <c r="BA54" s="14" cm="1">
        <f t="array" ref="BA54">_xlfn.XLOOKUP(1,J$4:J53,D$4:D53,0,0,-1)</f>
        <v>35</v>
      </c>
      <c r="BB54" s="14">
        <f t="shared" si="5"/>
        <v>1</v>
      </c>
      <c r="BC54" s="14" t="str" cm="1">
        <f t="array" ref="BC54">_xlfn.SWITCH(TRUE,_xlfn.XLOOKUP(BA54,D$4:D$110,TEXT(F$4:F$110,"HH"),0,0,1)="00",B52&amp;"",_xlfn.XLOOKUP(BA54,D$4:D$110,TEXT(F$4:F$110,"HH"),0,0,1)="T","00",TRUE,_xlfn.XLOOKUP(BA54,D$4:D$110,TEXT(F$4:F$110,"HH"),0,0,1))</f>
        <v>00</v>
      </c>
      <c r="BD54" s="14" t="str">
        <f t="shared" si="4"/>
        <v>000000</v>
      </c>
    </row>
    <row r="55" spans="1:56">
      <c r="A55" s="2">
        <v>52</v>
      </c>
      <c r="B55" s="5"/>
      <c r="C55" s="5"/>
      <c r="D55" s="5"/>
      <c r="E55" s="5"/>
      <c r="F55" s="5"/>
      <c r="G55" s="5"/>
      <c r="H55" s="5"/>
      <c r="I55" s="5"/>
      <c r="J55" s="5">
        <f t="shared" si="1"/>
        <v>0</v>
      </c>
      <c r="K55" s="7" t="str">
        <f t="shared" si="0"/>
        <v>terminal</v>
      </c>
      <c r="L55" s="7" t="str" cm="1">
        <f t="array" ref="L55">_xlfn.SWITCH(TRUE,$K55="PASS",TEXT($B$1,"0000"),AND($K55="STOP",E55=""),TEXT($D$1,"0000"),$K54="TERMINAL","0000",TRUE,TEXT(E55,"MMSS"))</f>
        <v>0000</v>
      </c>
      <c r="M55" s="7" t="str" cm="1">
        <f t="array" ref="M55">_xlfn.SWITCH(TRUE,$K55="PASS",TEXT($B$1,"0000"),AND($K55="STOP",F55=""),TEXT($D$1,"0000"),$K55="TERMINAL","0000",TRUE,TEXT(F55,"MMSS"))</f>
        <v>0000</v>
      </c>
      <c r="N55" t="str" cm="1">
        <f t="array" ref="N55">_xlfn.SWITCH(TRUE,AND(LEFT(L55,2)="00",K55="TERMINAL"),"00",E55="",TEXT(LEFT($D$1,2),"00"),LEFT(L55,2)="00",$D$2&amp;"",TRUE,LEFT(L55,2))</f>
        <v>00</v>
      </c>
      <c r="O55" t="str" cm="1">
        <f t="array" ref="O55">_xlfn.SWITCH(TRUE,AND(N55="00",RIGHT(L55,2)="00",K55="TERMINAL"),"00",OR(E55="",N55=LEFT($B$1,2)),TEXT(RIGHT($D$1,2),"00"),RIGHT(L55,2)="00",$D$2&amp;"",TRUE,RIGHT(L55,2))</f>
        <v>00</v>
      </c>
      <c r="P55" t="str" cm="1">
        <f t="array" ref="P55">_xlfn.SWITCH(TRUE,AND(LEFT(M55,2)="00",K55="TERMINAL"),"00",F55="",TEXT(LEFT($D$1,2),"00"),LEFT(M55,2)="00",$D$2&amp;"",TRUE,LEFT(M55,2))</f>
        <v>00</v>
      </c>
      <c r="Q55" t="str" cm="1">
        <f t="array" ref="Q55">_xlfn.SWITCH(TRUE,AND(RIGHT(M55,2)="00",K55="TERMINAL"),"00",F55="",TEXT(RIGHT($D$1,2),"00"),RIGHT(M55,2)="00",$D$2&amp;"",TRUE,RIGHT(M55,2))</f>
        <v>00</v>
      </c>
      <c r="R55" s="7" cm="1">
        <f t="array" aca="1" ref="R55" ca="1">IF(INDIRECT("$D"&amp;(ROW(R55)+$F$1-1))=0,R54,$D55)</f>
        <v>39</v>
      </c>
      <c r="S55" s="7" cm="1">
        <f t="array" aca="1" ref="S55" ca="1">IF(INDIRECT("$D"&amp;(ROW(R55)+$F$1-1))=0,S54,$D56)</f>
        <v>38</v>
      </c>
      <c r="T55" s="7" cm="1">
        <f t="array" aca="1" ref="T55" ca="1">IF(INDIRECT("$D"&amp;(ROW(R55)+$F$1-1))=0,T54,$D57)</f>
        <v>37</v>
      </c>
      <c r="U55" s="7" cm="1">
        <f t="array" aca="1" ref="U55" ca="1">IF(INDIRECT("$D"&amp;(ROW(R55)+$F$1-1))=0,U54,$D58)</f>
        <v>36</v>
      </c>
      <c r="V55" s="7" cm="1">
        <f t="array" aca="1" ref="V55" ca="1">IF(INDIRECT("$D"&amp;(ROW(R55)+$F$1-1))=0,V54,$D59)</f>
        <v>35</v>
      </c>
      <c r="W55" s="7" cm="1">
        <f t="array" aca="1" ref="W55" ca="1">IF(INDIRECT("$D"&amp;(ROW(R55)+$F$1-1))=0,W54,$D60)</f>
        <v>0</v>
      </c>
      <c r="X55" s="7" t="str" cm="1">
        <f t="array" aca="1" ref="X55" ca="1">IF(INDIRECT("$D"&amp;(ROW(R55)+$F$1-1))=0,X53,$H55&amp;$N55&amp;$O55)</f>
        <v>5160</v>
      </c>
      <c r="Y55" s="7" t="str" cm="1">
        <f t="array" aca="1" ref="Y55" ca="1">IF(INDIRECT("$D"&amp;(ROW(R55)+$F$1-1))=0,Y54,H56&amp;$N56&amp;$O56)</f>
        <v>5530</v>
      </c>
      <c r="Z55" s="7" t="str" cm="1">
        <f t="array" aca="1" ref="Z55" ca="1">IF(INDIRECT("$D"&amp;(ROW(R55)+$F$1-1))=0,Z54,H57&amp;$N57&amp;$O57)</f>
        <v>6030</v>
      </c>
      <c r="AA55" s="7" t="str" cm="1">
        <f t="array" aca="1" ref="AA55" ca="1">IF(INDIRECT("$D"&amp;(ROW(R55)+$F$1-1))=0,AA54,H58&amp;$N58&amp;$O58)</f>
        <v>0000</v>
      </c>
      <c r="AB55" s="7" t="str" cm="1">
        <f t="array" aca="1" ref="AB55" ca="1">IF(INDIRECT("$D"&amp;(ROW(R55)+$F$1-1))=0,AB54,H59&amp;$N59&amp;$O59)</f>
        <v>0560</v>
      </c>
      <c r="AC55" s="7" t="str" cm="1">
        <f t="array" aca="1" ref="AC55" ca="1">IF(INDIRECT("$D"&amp;(ROW(R55)+$F$1-1))=0,AC54,H60&amp;$N60&amp;$O60)</f>
        <v>0000</v>
      </c>
      <c r="AD55" s="7" t="str" cm="1">
        <f t="array" aca="1" ref="AD55" ca="1">IF(INDIRECT("$D"&amp;(ROW(R55)+$F$1-1))=0,AD54,I55&amp;$P55&amp;$Q55)</f>
        <v>5130</v>
      </c>
      <c r="AE55" s="7" t="str" cm="1">
        <f t="array" aca="1" ref="AE55" ca="1">IF(INDIRECT("$D"&amp;(ROW(R55)+$F$1-1))=0,AE54,I56&amp;$P56&amp;$Q56)</f>
        <v>5660</v>
      </c>
      <c r="AF55" s="7" t="str" cm="1">
        <f t="array" aca="1" ref="AF55" ca="1">IF(INDIRECT("$D"&amp;(ROW(R55)+$F$1-1))=0,AF54,I57&amp;$P57&amp;$Q57)</f>
        <v>0160</v>
      </c>
      <c r="AG55" s="7" t="str" cm="1">
        <f t="array" aca="1" ref="AG55" ca="1">IF(INDIRECT("$D"&amp;(ROW(R55)+$F$1-1))=0,AG54,I58&amp;$P58&amp;$Q58)</f>
        <v>0000</v>
      </c>
      <c r="AH55" s="7" t="str" cm="1">
        <f t="array" aca="1" ref="AH55" ca="1">IF(INDIRECT("$D"&amp;(ROW(R55)+$F$1-1))=0,AH54,I59&amp;$P59&amp;$Q59)</f>
        <v>0000</v>
      </c>
      <c r="AI55" s="7" t="str" cm="1">
        <f t="array" aca="1" ref="AI55" ca="1">IF(INDIRECT("$D"&amp;(ROW(R55)+$F$1-1))=0,AI54,I60&amp;$P60&amp;$Q60)</f>
        <v>0000</v>
      </c>
      <c r="AJ55" s="7" t="str" cm="1">
        <f t="array" ref="AJ55">TEXT($D55,"000")&amp;TEXT(IFERROR(INDEX($D$5:$D$103,_xlfn.AGGREGATE(15,6,ROW($E$5:$E$103)/(($E$5:$E$103&lt;&gt;"p")*($E$5:$E$103&lt;&gt;"t")*(ROW($E$5:$E$103)&gt;ROW($E55))),1)-ROW($E$5)+1),$D55),"000")</f>
        <v>000000</v>
      </c>
      <c r="AK55" s="22">
        <f t="shared" si="2"/>
        <v>500</v>
      </c>
      <c r="AL55" s="22" cm="1">
        <f t="array" aca="1" ref="AL55" ca="1">IF(INDIRECT("$K"&amp;(ROW(R55)+$F$1-1))="TERMINAL",1000489,489)*SIGN(AK55)</f>
        <v>1000489</v>
      </c>
      <c r="AM55" s="7" cm="1">
        <f t="array" aca="1" ref="AM55" ca="1">IF(INDIRECT("$D"&amp;(ROW(R55)+$F$1-1))=0,AM54,$G55)</f>
        <v>8</v>
      </c>
      <c r="AN55" s="7" cm="1">
        <f t="array" aca="1" ref="AN55" ca="1">IF(INDIRECT("$D"&amp;(ROW(R55)+$F$1-1))=0,AN54,$G56)</f>
        <v>0</v>
      </c>
      <c r="AO55" s="7" cm="1">
        <f t="array" aca="1" ref="AO55" ca="1">IF(INDIRECT("$D"&amp;(ROW(R55)+$F$1-1))=0,AO54,$G57)</f>
        <v>0</v>
      </c>
      <c r="AP55" s="7" cm="1">
        <f t="array" aca="1" ref="AP55" ca="1">IF(INDIRECT("$D"&amp;(ROW(R55)+$F$1-1))=0,AP54,$G58)</f>
        <v>0</v>
      </c>
      <c r="AQ55" s="7" cm="1">
        <f t="array" aca="1" ref="AQ55" ca="1">IF(INDIRECT("$D"&amp;(ROW(R55)+$F$1-1))=0,AQ54,$G59)</f>
        <v>1</v>
      </c>
      <c r="AR55" s="7" cm="1">
        <f t="array" aca="1" ref="AR55" ca="1">IF(INDIRECT("$D"&amp;(ROW(R55)+$F$1-1))=0,AR54,$G60)</f>
        <v>0</v>
      </c>
      <c r="AS55" s="7" cm="1">
        <f t="array" aca="1" ref="AS55" ca="1">IF(INDIRECT("$D"&amp;(ROW(AS55)+$F$1-1))=0,AS54+4,1)</f>
        <v>129</v>
      </c>
      <c r="AT55" s="7" cm="1">
        <f t="array" aca="1" ref="AT55" ca="1">IF(INDIRECT("$D"&amp;(ROW(AT55)+$F$1-1))=0,AT54+4,2)</f>
        <v>130</v>
      </c>
      <c r="AU55" s="7" cm="1">
        <f t="array" aca="1" ref="AU55" ca="1">IF(INDIRECT("$D"&amp;(ROW(AU55)+$F$1-1))=0,AU54+4,3)</f>
        <v>131</v>
      </c>
      <c r="AV55" s="7" cm="1">
        <f t="array" aca="1" ref="AV55" ca="1">IF(INDIRECT("$D"&amp;(ROW(AV55)+$F$1-1))=0,AV54+4,4)</f>
        <v>132</v>
      </c>
      <c r="AW55" s="22" cm="1">
        <f t="array" aca="1" ref="AW55" ca="1">_xlfn.XLOOKUP(1,INDIRECT("J"&amp;ROW(K55)+$F$1):J$103,INDIRECT("D"&amp;ROW(K55)+$F$1):D$103,0,0,1)</f>
        <v>0</v>
      </c>
      <c r="AX55" s="22">
        <f t="shared" ca="1" si="3"/>
        <v>0</v>
      </c>
      <c r="AY55" s="22" cm="1">
        <f t="array" aca="1" ref="AY55" ca="1">_xlfn.XLOOKUP(AW55,D$4:D$110,H$4:H$110&amp;N$4:N$110&amp;O$4:O$110,0,0,1)</f>
        <v>0</v>
      </c>
      <c r="AZ55" s="22" cm="1">
        <f t="array" aca="1" ref="AZ55" ca="1">_xlfn.XLOOKUP(AW55,D$4:D$110,I$4:I$110&amp;P$4:P$110&amp;Q$4:Q$110,0,0,1)</f>
        <v>0</v>
      </c>
      <c r="BA55" s="14" cm="1">
        <f t="array" ref="BA55">_xlfn.XLOOKUP(1,J$4:J54,D$4:D54,0,0,-1)</f>
        <v>35</v>
      </c>
      <c r="BB55" s="14">
        <f t="shared" si="5"/>
        <v>1</v>
      </c>
      <c r="BC55" s="14" t="str" cm="1">
        <f t="array" ref="BC55">_xlfn.SWITCH(TRUE,_xlfn.XLOOKUP(BA55,D$4:D$110,TEXT(F$4:F$110,"HH"),0,0,1)="00",B53&amp;"",_xlfn.XLOOKUP(BA55,D$4:D$110,TEXT(F$4:F$110,"HH"),0,0,1)="T","00",TRUE,_xlfn.XLOOKUP(BA55,D$4:D$110,TEXT(F$4:F$110,"HH"),0,0,1))</f>
        <v>00</v>
      </c>
      <c r="BD55" s="14" t="str">
        <f t="shared" si="4"/>
        <v>000000</v>
      </c>
    </row>
    <row r="56" spans="1:56">
      <c r="A56" s="2">
        <v>53</v>
      </c>
      <c r="B56" s="5"/>
      <c r="C56" s="5"/>
      <c r="D56" s="5"/>
      <c r="E56" s="5"/>
      <c r="F56" s="5"/>
      <c r="G56" s="5"/>
      <c r="H56" s="5"/>
      <c r="I56" s="5"/>
      <c r="J56" s="5">
        <f t="shared" si="1"/>
        <v>0</v>
      </c>
      <c r="K56" s="7" t="str">
        <f t="shared" si="0"/>
        <v>terminal</v>
      </c>
      <c r="L56" s="7" t="str" cm="1">
        <f t="array" ref="L56">_xlfn.SWITCH(TRUE,$K56="PASS",TEXT($B$1,"0000"),AND($K56="STOP",E56=""),TEXT($D$1,"0000"),$K55="TERMINAL","0000",TRUE,TEXT(E56,"MMSS"))</f>
        <v>0000</v>
      </c>
      <c r="M56" s="7" t="str" cm="1">
        <f t="array" ref="M56">_xlfn.SWITCH(TRUE,$K56="PASS",TEXT($B$1,"0000"),AND($K56="STOP",F56=""),TEXT($D$1,"0000"),$K56="TERMINAL","0000",TRUE,TEXT(F56,"MMSS"))</f>
        <v>0000</v>
      </c>
      <c r="N56" t="str" cm="1">
        <f t="array" ref="N56">_xlfn.SWITCH(TRUE,AND(LEFT(L56,2)="00",K56="TERMINAL"),"00",E56="",TEXT(LEFT($D$1,2),"00"),LEFT(L56,2)="00",$D$2&amp;"",TRUE,LEFT(L56,2))</f>
        <v>00</v>
      </c>
      <c r="O56" t="str" cm="1">
        <f t="array" ref="O56">_xlfn.SWITCH(TRUE,AND(N56="00",RIGHT(L56,2)="00",K56="TERMINAL"),"00",OR(E56="",N56=LEFT($B$1,2)),TEXT(RIGHT($D$1,2),"00"),RIGHT(L56,2)="00",$D$2&amp;"",TRUE,RIGHT(L56,2))</f>
        <v>00</v>
      </c>
      <c r="P56" t="str" cm="1">
        <f t="array" ref="P56">_xlfn.SWITCH(TRUE,AND(LEFT(M56,2)="00",K56="TERMINAL"),"00",F56="",TEXT(LEFT($D$1,2),"00"),LEFT(M56,2)="00",$D$2&amp;"",TRUE,LEFT(M56,2))</f>
        <v>00</v>
      </c>
      <c r="Q56" t="str" cm="1">
        <f t="array" ref="Q56">_xlfn.SWITCH(TRUE,AND(RIGHT(M56,2)="00",K56="TERMINAL"),"00",F56="",TEXT(RIGHT($D$1,2),"00"),RIGHT(M56,2)="00",$D$2&amp;"",TRUE,RIGHT(M56,2))</f>
        <v>00</v>
      </c>
      <c r="R56" s="7" cm="1">
        <f t="array" aca="1" ref="R56" ca="1">IF(INDIRECT("$D"&amp;(ROW(R56)+$F$1-1))=0,R55,$D56)</f>
        <v>39</v>
      </c>
      <c r="S56" s="7" cm="1">
        <f t="array" aca="1" ref="S56" ca="1">IF(INDIRECT("$D"&amp;(ROW(R56)+$F$1-1))=0,S55,$D57)</f>
        <v>38</v>
      </c>
      <c r="T56" s="7" cm="1">
        <f t="array" aca="1" ref="T56" ca="1">IF(INDIRECT("$D"&amp;(ROW(R56)+$F$1-1))=0,T55,$D58)</f>
        <v>37</v>
      </c>
      <c r="U56" s="7" cm="1">
        <f t="array" aca="1" ref="U56" ca="1">IF(INDIRECT("$D"&amp;(ROW(R56)+$F$1-1))=0,U55,$D59)</f>
        <v>36</v>
      </c>
      <c r="V56" s="7" cm="1">
        <f t="array" aca="1" ref="V56" ca="1">IF(INDIRECT("$D"&amp;(ROW(R56)+$F$1-1))=0,V55,$D60)</f>
        <v>35</v>
      </c>
      <c r="W56" s="7" cm="1">
        <f t="array" aca="1" ref="W56" ca="1">IF(INDIRECT("$D"&amp;(ROW(R56)+$F$1-1))=0,W55,$D61)</f>
        <v>0</v>
      </c>
      <c r="X56" s="7" t="str" cm="1">
        <f t="array" aca="1" ref="X56" ca="1">IF(INDIRECT("$D"&amp;(ROW(R56)+$F$1-1))=0,X54,$H56&amp;$N56&amp;$O56)</f>
        <v>4630</v>
      </c>
      <c r="Y56" s="7" t="str" cm="1">
        <f t="array" aca="1" ref="Y56" ca="1">IF(INDIRECT("$D"&amp;(ROW(R56)+$F$1-1))=0,Y55,H57&amp;$N57&amp;$O57)</f>
        <v>5530</v>
      </c>
      <c r="Z56" s="7" t="str" cm="1">
        <f t="array" aca="1" ref="Z56" ca="1">IF(INDIRECT("$D"&amp;(ROW(R56)+$F$1-1))=0,Z55,H58&amp;$N58&amp;$O58)</f>
        <v>6030</v>
      </c>
      <c r="AA56" s="7" t="str" cm="1">
        <f t="array" aca="1" ref="AA56" ca="1">IF(INDIRECT("$D"&amp;(ROW(R56)+$F$1-1))=0,AA55,H59&amp;$N59&amp;$O59)</f>
        <v>0000</v>
      </c>
      <c r="AB56" s="7" t="str" cm="1">
        <f t="array" aca="1" ref="AB56" ca="1">IF(INDIRECT("$D"&amp;(ROW(R56)+$F$1-1))=0,AB55,H60&amp;$N60&amp;$O60)</f>
        <v>0560</v>
      </c>
      <c r="AC56" s="7" t="str" cm="1">
        <f t="array" aca="1" ref="AC56" ca="1">IF(INDIRECT("$D"&amp;(ROW(R56)+$F$1-1))=0,AC55,H61&amp;$N61&amp;$O61)</f>
        <v>0000</v>
      </c>
      <c r="AD56" s="7" t="str" cm="1">
        <f t="array" aca="1" ref="AD56" ca="1">IF(INDIRECT("$D"&amp;(ROW(R56)+$F$1-1))=0,AD55,I56&amp;$P56&amp;$Q56)</f>
        <v>5130</v>
      </c>
      <c r="AE56" s="7" t="str" cm="1">
        <f t="array" aca="1" ref="AE56" ca="1">IF(INDIRECT("$D"&amp;(ROW(R56)+$F$1-1))=0,AE55,I57&amp;$P57&amp;$Q57)</f>
        <v>5660</v>
      </c>
      <c r="AF56" s="7" t="str" cm="1">
        <f t="array" aca="1" ref="AF56" ca="1">IF(INDIRECT("$D"&amp;(ROW(R56)+$F$1-1))=0,AF55,I58&amp;$P58&amp;$Q58)</f>
        <v>0160</v>
      </c>
      <c r="AG56" s="7" t="str" cm="1">
        <f t="array" aca="1" ref="AG56" ca="1">IF(INDIRECT("$D"&amp;(ROW(R56)+$F$1-1))=0,AG55,I59&amp;$P59&amp;$Q59)</f>
        <v>0000</v>
      </c>
      <c r="AH56" s="7" t="str" cm="1">
        <f t="array" aca="1" ref="AH56" ca="1">IF(INDIRECT("$D"&amp;(ROW(R56)+$F$1-1))=0,AH55,I60&amp;$P60&amp;$Q60)</f>
        <v>0000</v>
      </c>
      <c r="AI56" s="7" t="str" cm="1">
        <f t="array" aca="1" ref="AI56" ca="1">IF(INDIRECT("$D"&amp;(ROW(R56)+$F$1-1))=0,AI55,I61&amp;$P61&amp;$Q61)</f>
        <v>0000</v>
      </c>
      <c r="AJ56" s="7" t="str" cm="1">
        <f t="array" ref="AJ56">TEXT($D56,"000")&amp;TEXT(IFERROR(INDEX($D$5:$D$103,_xlfn.AGGREGATE(15,6,ROW($E$5:$E$103)/(($E$5:$E$103&lt;&gt;"p")*($E$5:$E$103&lt;&gt;"t")*(ROW($E$5:$E$103)&gt;ROW($E56))),1)-ROW($E$5)+1),$D56),"000")</f>
        <v>000000</v>
      </c>
      <c r="AK56" s="22">
        <f t="shared" si="2"/>
        <v>500</v>
      </c>
      <c r="AL56" s="22" cm="1">
        <f t="array" aca="1" ref="AL56" ca="1">IF(INDIRECT("$K"&amp;(ROW(R56)+$F$1-1))="TERMINAL",1000489,489)*SIGN(AK56)</f>
        <v>1000489</v>
      </c>
      <c r="AM56" s="7" cm="1">
        <f t="array" aca="1" ref="AM56" ca="1">IF(INDIRECT("$D"&amp;(ROW(R56)+$F$1-1))=0,AM55,$G56)</f>
        <v>8</v>
      </c>
      <c r="AN56" s="7" cm="1">
        <f t="array" aca="1" ref="AN56" ca="1">IF(INDIRECT("$D"&amp;(ROW(R56)+$F$1-1))=0,AN55,$G57)</f>
        <v>0</v>
      </c>
      <c r="AO56" s="7" cm="1">
        <f t="array" aca="1" ref="AO56" ca="1">IF(INDIRECT("$D"&amp;(ROW(R56)+$F$1-1))=0,AO55,$G58)</f>
        <v>0</v>
      </c>
      <c r="AP56" s="7" cm="1">
        <f t="array" aca="1" ref="AP56" ca="1">IF(INDIRECT("$D"&amp;(ROW(R56)+$F$1-1))=0,AP55,$G59)</f>
        <v>0</v>
      </c>
      <c r="AQ56" s="7" cm="1">
        <f t="array" aca="1" ref="AQ56" ca="1">IF(INDIRECT("$D"&amp;(ROW(R56)+$F$1-1))=0,AQ55,$G60)</f>
        <v>1</v>
      </c>
      <c r="AR56" s="7" cm="1">
        <f t="array" aca="1" ref="AR56" ca="1">IF(INDIRECT("$D"&amp;(ROW(R56)+$F$1-1))=0,AR55,$G61)</f>
        <v>0</v>
      </c>
      <c r="AS56" s="7" cm="1">
        <f t="array" aca="1" ref="AS56" ca="1">IF(INDIRECT("$D"&amp;(ROW(AS56)+$F$1-1))=0,AS55+4,1)</f>
        <v>133</v>
      </c>
      <c r="AT56" s="7" cm="1">
        <f t="array" aca="1" ref="AT56" ca="1">IF(INDIRECT("$D"&amp;(ROW(AT56)+$F$1-1))=0,AT55+4,2)</f>
        <v>134</v>
      </c>
      <c r="AU56" s="7" cm="1">
        <f t="array" aca="1" ref="AU56" ca="1">IF(INDIRECT("$D"&amp;(ROW(AU56)+$F$1-1))=0,AU55+4,3)</f>
        <v>135</v>
      </c>
      <c r="AV56" s="7" cm="1">
        <f t="array" aca="1" ref="AV56" ca="1">IF(INDIRECT("$D"&amp;(ROW(AV56)+$F$1-1))=0,AV55+4,4)</f>
        <v>136</v>
      </c>
      <c r="AW56" s="22" cm="1">
        <f t="array" aca="1" ref="AW56" ca="1">_xlfn.XLOOKUP(1,INDIRECT("J"&amp;ROW(K56)+$F$1):J$103,INDIRECT("D"&amp;ROW(K56)+$F$1):D$103,0,0,1)</f>
        <v>0</v>
      </c>
      <c r="AX56" s="22">
        <f t="shared" ca="1" si="3"/>
        <v>0</v>
      </c>
      <c r="AY56" s="22" cm="1">
        <f t="array" aca="1" ref="AY56" ca="1">_xlfn.XLOOKUP(AW56,D$4:D$110,H$4:H$110&amp;N$4:N$110&amp;O$4:O$110,0,0,1)</f>
        <v>0</v>
      </c>
      <c r="AZ56" s="22" cm="1">
        <f t="array" aca="1" ref="AZ56" ca="1">_xlfn.XLOOKUP(AW56,D$4:D$110,I$4:I$110&amp;P$4:P$110&amp;Q$4:Q$110,0,0,1)</f>
        <v>0</v>
      </c>
      <c r="BA56" s="14" cm="1">
        <f t="array" ref="BA56">_xlfn.XLOOKUP(1,J$4:J55,D$4:D55,0,0,-1)</f>
        <v>35</v>
      </c>
      <c r="BB56" s="14">
        <f t="shared" si="5"/>
        <v>1</v>
      </c>
      <c r="BC56" s="14" t="str" cm="1">
        <f t="array" ref="BC56">_xlfn.SWITCH(TRUE,_xlfn.XLOOKUP(BA56,D$4:D$110,TEXT(F$4:F$110,"HH"),0,0,1)="00",B54&amp;"",_xlfn.XLOOKUP(BA56,D$4:D$110,TEXT(F$4:F$110,"HH"),0,0,1)="T","00",TRUE,_xlfn.XLOOKUP(BA56,D$4:D$110,TEXT(F$4:F$110,"HH"),0,0,1))</f>
        <v>00</v>
      </c>
      <c r="BD56" s="14" t="str">
        <f t="shared" si="4"/>
        <v>000000</v>
      </c>
    </row>
    <row r="57" spans="1:56">
      <c r="A57" s="2">
        <v>54</v>
      </c>
      <c r="B57" s="5"/>
      <c r="C57" s="5"/>
      <c r="D57" s="5"/>
      <c r="E57" s="5"/>
      <c r="F57" s="5"/>
      <c r="G57" s="5"/>
      <c r="H57" s="5"/>
      <c r="I57" s="5"/>
      <c r="J57" s="5">
        <f t="shared" si="1"/>
        <v>0</v>
      </c>
      <c r="K57" s="7" t="str">
        <f t="shared" si="0"/>
        <v>terminal</v>
      </c>
      <c r="L57" s="7" t="str" cm="1">
        <f t="array" ref="L57">_xlfn.SWITCH(TRUE,$K57="PASS",TEXT($B$1,"0000"),AND($K57="STOP",E57=""),TEXT($D$1,"0000"),$K56="TERMINAL","0000",TRUE,TEXT(E57,"MMSS"))</f>
        <v>0000</v>
      </c>
      <c r="M57" s="7" t="str" cm="1">
        <f t="array" ref="M57">_xlfn.SWITCH(TRUE,$K57="PASS",TEXT($B$1,"0000"),AND($K57="STOP",F57=""),TEXT($D$1,"0000"),$K57="TERMINAL","0000",TRUE,TEXT(F57,"MMSS"))</f>
        <v>0000</v>
      </c>
      <c r="N57" t="str" cm="1">
        <f t="array" ref="N57">_xlfn.SWITCH(TRUE,AND(LEFT(L57,2)="00",K57="TERMINAL"),"00",E57="",TEXT(LEFT($D$1,2),"00"),LEFT(L57,2)="00",$D$2&amp;"",TRUE,LEFT(L57,2))</f>
        <v>00</v>
      </c>
      <c r="O57" t="str" cm="1">
        <f t="array" ref="O57">_xlfn.SWITCH(TRUE,AND(N57="00",RIGHT(L57,2)="00",K57="TERMINAL"),"00",OR(E57="",N57=LEFT($B$1,2)),TEXT(RIGHT($D$1,2),"00"),RIGHT(L57,2)="00",$D$2&amp;"",TRUE,RIGHT(L57,2))</f>
        <v>00</v>
      </c>
      <c r="P57" t="str" cm="1">
        <f t="array" ref="P57">_xlfn.SWITCH(TRUE,AND(LEFT(M57,2)="00",K57="TERMINAL"),"00",F57="",TEXT(LEFT($D$1,2),"00"),LEFT(M57,2)="00",$D$2&amp;"",TRUE,LEFT(M57,2))</f>
        <v>00</v>
      </c>
      <c r="Q57" t="str" cm="1">
        <f t="array" ref="Q57">_xlfn.SWITCH(TRUE,AND(RIGHT(M57,2)="00",K57="TERMINAL"),"00",F57="",TEXT(RIGHT($D$1,2),"00"),RIGHT(M57,2)="00",$D$2&amp;"",TRUE,RIGHT(M57,2))</f>
        <v>00</v>
      </c>
      <c r="R57" s="7" cm="1">
        <f t="array" aca="1" ref="R57" ca="1">IF(INDIRECT("$D"&amp;(ROW(R57)+$F$1-1))=0,R56,$D57)</f>
        <v>39</v>
      </c>
      <c r="S57" s="7" cm="1">
        <f t="array" aca="1" ref="S57" ca="1">IF(INDIRECT("$D"&amp;(ROW(R57)+$F$1-1))=0,S56,$D58)</f>
        <v>38</v>
      </c>
      <c r="T57" s="7" cm="1">
        <f t="array" aca="1" ref="T57" ca="1">IF(INDIRECT("$D"&amp;(ROW(R57)+$F$1-1))=0,T56,$D59)</f>
        <v>37</v>
      </c>
      <c r="U57" s="7" cm="1">
        <f t="array" aca="1" ref="U57" ca="1">IF(INDIRECT("$D"&amp;(ROW(R57)+$F$1-1))=0,U56,$D60)</f>
        <v>36</v>
      </c>
      <c r="V57" s="7" cm="1">
        <f t="array" aca="1" ref="V57" ca="1">IF(INDIRECT("$D"&amp;(ROW(R57)+$F$1-1))=0,V56,$D61)</f>
        <v>35</v>
      </c>
      <c r="W57" s="7" cm="1">
        <f t="array" aca="1" ref="W57" ca="1">IF(INDIRECT("$D"&amp;(ROW(R57)+$F$1-1))=0,W56,$D62)</f>
        <v>0</v>
      </c>
      <c r="X57" s="7" t="str" cm="1">
        <f t="array" aca="1" ref="X57" ca="1">IF(INDIRECT("$D"&amp;(ROW(R57)+$F$1-1))=0,X55,$H57&amp;$N57&amp;$O57)</f>
        <v>5160</v>
      </c>
      <c r="Y57" s="7" t="str" cm="1">
        <f t="array" aca="1" ref="Y57" ca="1">IF(INDIRECT("$D"&amp;(ROW(R57)+$F$1-1))=0,Y56,H58&amp;$N58&amp;$O58)</f>
        <v>5530</v>
      </c>
      <c r="Z57" s="7" t="str" cm="1">
        <f t="array" aca="1" ref="Z57" ca="1">IF(INDIRECT("$D"&amp;(ROW(R57)+$F$1-1))=0,Z56,H59&amp;$N59&amp;$O59)</f>
        <v>6030</v>
      </c>
      <c r="AA57" s="7" t="str" cm="1">
        <f t="array" aca="1" ref="AA57" ca="1">IF(INDIRECT("$D"&amp;(ROW(R57)+$F$1-1))=0,AA56,H60&amp;$N60&amp;$O60)</f>
        <v>0000</v>
      </c>
      <c r="AB57" s="7" t="str" cm="1">
        <f t="array" aca="1" ref="AB57" ca="1">IF(INDIRECT("$D"&amp;(ROW(R57)+$F$1-1))=0,AB56,H61&amp;$N61&amp;$O61)</f>
        <v>0560</v>
      </c>
      <c r="AC57" s="7" t="str" cm="1">
        <f t="array" aca="1" ref="AC57" ca="1">IF(INDIRECT("$D"&amp;(ROW(R57)+$F$1-1))=0,AC56,H62&amp;$N62&amp;$O62)</f>
        <v>0000</v>
      </c>
      <c r="AD57" s="7" t="str" cm="1">
        <f t="array" aca="1" ref="AD57" ca="1">IF(INDIRECT("$D"&amp;(ROW(R57)+$F$1-1))=0,AD56,I57&amp;$P57&amp;$Q57)</f>
        <v>5130</v>
      </c>
      <c r="AE57" s="7" t="str" cm="1">
        <f t="array" aca="1" ref="AE57" ca="1">IF(INDIRECT("$D"&amp;(ROW(R57)+$F$1-1))=0,AE56,I58&amp;$P58&amp;$Q58)</f>
        <v>5660</v>
      </c>
      <c r="AF57" s="7" t="str" cm="1">
        <f t="array" aca="1" ref="AF57" ca="1">IF(INDIRECT("$D"&amp;(ROW(R57)+$F$1-1))=0,AF56,I59&amp;$P59&amp;$Q59)</f>
        <v>0160</v>
      </c>
      <c r="AG57" s="7" t="str" cm="1">
        <f t="array" aca="1" ref="AG57" ca="1">IF(INDIRECT("$D"&amp;(ROW(R57)+$F$1-1))=0,AG56,I60&amp;$P60&amp;$Q60)</f>
        <v>0000</v>
      </c>
      <c r="AH57" s="7" t="str" cm="1">
        <f t="array" aca="1" ref="AH57" ca="1">IF(INDIRECT("$D"&amp;(ROW(R57)+$F$1-1))=0,AH56,I61&amp;$P61&amp;$Q61)</f>
        <v>0000</v>
      </c>
      <c r="AI57" s="7" t="str" cm="1">
        <f t="array" aca="1" ref="AI57" ca="1">IF(INDIRECT("$D"&amp;(ROW(R57)+$F$1-1))=0,AI56,I62&amp;$P62&amp;$Q62)</f>
        <v>0000</v>
      </c>
      <c r="AJ57" s="7" t="str" cm="1">
        <f t="array" ref="AJ57">TEXT($D57,"000")&amp;TEXT(IFERROR(INDEX($D$5:$D$103,_xlfn.AGGREGATE(15,6,ROW($E$5:$E$103)/(($E$5:$E$103&lt;&gt;"p")*($E$5:$E$103&lt;&gt;"t")*(ROW($E$5:$E$103)&gt;ROW($E57))),1)-ROW($E$5)+1),$D57),"000")</f>
        <v>000000</v>
      </c>
      <c r="AK57" s="22">
        <f t="shared" si="2"/>
        <v>500</v>
      </c>
      <c r="AL57" s="22" cm="1">
        <f t="array" aca="1" ref="AL57" ca="1">IF(INDIRECT("$K"&amp;(ROW(R57)+$F$1-1))="TERMINAL",1000489,489)*SIGN(AK57)</f>
        <v>1000489</v>
      </c>
      <c r="AM57" s="7" cm="1">
        <f t="array" aca="1" ref="AM57" ca="1">IF(INDIRECT("$D"&amp;(ROW(R57)+$F$1-1))=0,AM56,$G57)</f>
        <v>8</v>
      </c>
      <c r="AN57" s="7" cm="1">
        <f t="array" aca="1" ref="AN57" ca="1">IF(INDIRECT("$D"&amp;(ROW(R57)+$F$1-1))=0,AN56,$G58)</f>
        <v>0</v>
      </c>
      <c r="AO57" s="7" cm="1">
        <f t="array" aca="1" ref="AO57" ca="1">IF(INDIRECT("$D"&amp;(ROW(R57)+$F$1-1))=0,AO56,$G59)</f>
        <v>0</v>
      </c>
      <c r="AP57" s="7" cm="1">
        <f t="array" aca="1" ref="AP57" ca="1">IF(INDIRECT("$D"&amp;(ROW(R57)+$F$1-1))=0,AP56,$G60)</f>
        <v>0</v>
      </c>
      <c r="AQ57" s="7" cm="1">
        <f t="array" aca="1" ref="AQ57" ca="1">IF(INDIRECT("$D"&amp;(ROW(R57)+$F$1-1))=0,AQ56,$G61)</f>
        <v>1</v>
      </c>
      <c r="AR57" s="7" cm="1">
        <f t="array" aca="1" ref="AR57" ca="1">IF(INDIRECT("$D"&amp;(ROW(R57)+$F$1-1))=0,AR56,$G62)</f>
        <v>0</v>
      </c>
      <c r="AS57" s="7" cm="1">
        <f t="array" aca="1" ref="AS57" ca="1">IF(INDIRECT("$D"&amp;(ROW(AS57)+$F$1-1))=0,AS56+4,1)</f>
        <v>137</v>
      </c>
      <c r="AT57" s="7" cm="1">
        <f t="array" aca="1" ref="AT57" ca="1">IF(INDIRECT("$D"&amp;(ROW(AT57)+$F$1-1))=0,AT56+4,2)</f>
        <v>138</v>
      </c>
      <c r="AU57" s="7" cm="1">
        <f t="array" aca="1" ref="AU57" ca="1">IF(INDIRECT("$D"&amp;(ROW(AU57)+$F$1-1))=0,AU56+4,3)</f>
        <v>139</v>
      </c>
      <c r="AV57" s="7" cm="1">
        <f t="array" aca="1" ref="AV57" ca="1">IF(INDIRECT("$D"&amp;(ROW(AV57)+$F$1-1))=0,AV56+4,4)</f>
        <v>140</v>
      </c>
      <c r="AW57" s="22" cm="1">
        <f t="array" aca="1" ref="AW57" ca="1">_xlfn.XLOOKUP(1,INDIRECT("J"&amp;ROW(K57)+$F$1):J$103,INDIRECT("D"&amp;ROW(K57)+$F$1):D$103,0,0,1)</f>
        <v>0</v>
      </c>
      <c r="AX57" s="22">
        <f t="shared" ca="1" si="3"/>
        <v>0</v>
      </c>
      <c r="AY57" s="22" cm="1">
        <f t="array" aca="1" ref="AY57" ca="1">_xlfn.XLOOKUP(AW57,D$4:D$110,H$4:H$110&amp;N$4:N$110&amp;O$4:O$110,0,0,1)</f>
        <v>0</v>
      </c>
      <c r="AZ57" s="22" cm="1">
        <f t="array" aca="1" ref="AZ57" ca="1">_xlfn.XLOOKUP(AW57,D$4:D$110,I$4:I$110&amp;P$4:P$110&amp;Q$4:Q$110,0,0,1)</f>
        <v>0</v>
      </c>
      <c r="BA57" s="14" cm="1">
        <f t="array" ref="BA57">_xlfn.XLOOKUP(1,J$4:J56,D$4:D56,0,0,-1)</f>
        <v>35</v>
      </c>
      <c r="BB57" s="14">
        <f t="shared" si="5"/>
        <v>1</v>
      </c>
      <c r="BC57" s="14" t="str" cm="1">
        <f t="array" ref="BC57">_xlfn.SWITCH(TRUE,_xlfn.XLOOKUP(BA57,D$4:D$110,TEXT(F$4:F$110,"HH"),0,0,1)="00",B55&amp;"",_xlfn.XLOOKUP(BA57,D$4:D$110,TEXT(F$4:F$110,"HH"),0,0,1)="T","00",TRUE,_xlfn.XLOOKUP(BA57,D$4:D$110,TEXT(F$4:F$110,"HH"),0,0,1))</f>
        <v>00</v>
      </c>
      <c r="BD57" s="14" t="str">
        <f t="shared" si="4"/>
        <v>000000</v>
      </c>
    </row>
    <row r="58" spans="1:56">
      <c r="A58" s="2">
        <v>55</v>
      </c>
      <c r="B58" s="5"/>
      <c r="C58" s="5"/>
      <c r="D58" s="5"/>
      <c r="E58" s="5"/>
      <c r="F58" s="5"/>
      <c r="G58" s="5"/>
      <c r="H58" s="5"/>
      <c r="I58" s="5"/>
      <c r="J58" s="5">
        <f t="shared" si="1"/>
        <v>0</v>
      </c>
      <c r="K58" s="7" t="str">
        <f t="shared" si="0"/>
        <v>terminal</v>
      </c>
      <c r="L58" s="7" t="str" cm="1">
        <f t="array" ref="L58">_xlfn.SWITCH(TRUE,$K58="PASS",TEXT($B$1,"0000"),AND($K58="STOP",E58=""),TEXT($D$1,"0000"),$K57="TERMINAL","0000",TRUE,TEXT(E58,"MMSS"))</f>
        <v>0000</v>
      </c>
      <c r="M58" s="7" t="str" cm="1">
        <f t="array" ref="M58">_xlfn.SWITCH(TRUE,$K58="PASS",TEXT($B$1,"0000"),AND($K58="STOP",F58=""),TEXT($D$1,"0000"),$K58="TERMINAL","0000",TRUE,TEXT(F58,"MMSS"))</f>
        <v>0000</v>
      </c>
      <c r="N58" t="str" cm="1">
        <f t="array" ref="N58">_xlfn.SWITCH(TRUE,AND(LEFT(L58,2)="00",K58="TERMINAL"),"00",E58="",TEXT(LEFT($D$1,2),"00"),LEFT(L58,2)="00",$D$2&amp;"",TRUE,LEFT(L58,2))</f>
        <v>00</v>
      </c>
      <c r="O58" t="str" cm="1">
        <f t="array" ref="O58">_xlfn.SWITCH(TRUE,AND(N58="00",RIGHT(L58,2)="00",K58="TERMINAL"),"00",OR(E58="",N58=LEFT($B$1,2)),TEXT(RIGHT($D$1,2),"00"),RIGHT(L58,2)="00",$D$2&amp;"",TRUE,RIGHT(L58,2))</f>
        <v>00</v>
      </c>
      <c r="P58" t="str" cm="1">
        <f t="array" ref="P58">_xlfn.SWITCH(TRUE,AND(LEFT(M58,2)="00",K58="TERMINAL"),"00",F58="",TEXT(LEFT($D$1,2),"00"),LEFT(M58,2)="00",$D$2&amp;"",TRUE,LEFT(M58,2))</f>
        <v>00</v>
      </c>
      <c r="Q58" t="str" cm="1">
        <f t="array" ref="Q58">_xlfn.SWITCH(TRUE,AND(RIGHT(M58,2)="00",K58="TERMINAL"),"00",F58="",TEXT(RIGHT($D$1,2),"00"),RIGHT(M58,2)="00",$D$2&amp;"",TRUE,RIGHT(M58,2))</f>
        <v>00</v>
      </c>
      <c r="R58" s="7" cm="1">
        <f t="array" aca="1" ref="R58" ca="1">IF(INDIRECT("$D"&amp;(ROW(R58)+$F$1-1))=0,R57,$D58)</f>
        <v>39</v>
      </c>
      <c r="S58" s="7" cm="1">
        <f t="array" aca="1" ref="S58" ca="1">IF(INDIRECT("$D"&amp;(ROW(R58)+$F$1-1))=0,S57,$D59)</f>
        <v>38</v>
      </c>
      <c r="T58" s="7" cm="1">
        <f t="array" aca="1" ref="T58" ca="1">IF(INDIRECT("$D"&amp;(ROW(R58)+$F$1-1))=0,T57,$D60)</f>
        <v>37</v>
      </c>
      <c r="U58" s="7" cm="1">
        <f t="array" aca="1" ref="U58" ca="1">IF(INDIRECT("$D"&amp;(ROW(R58)+$F$1-1))=0,U57,$D61)</f>
        <v>36</v>
      </c>
      <c r="V58" s="7" cm="1">
        <f t="array" aca="1" ref="V58" ca="1">IF(INDIRECT("$D"&amp;(ROW(R58)+$F$1-1))=0,V57,$D62)</f>
        <v>35</v>
      </c>
      <c r="W58" s="7" cm="1">
        <f t="array" aca="1" ref="W58" ca="1">IF(INDIRECT("$D"&amp;(ROW(R58)+$F$1-1))=0,W57,$D63)</f>
        <v>0</v>
      </c>
      <c r="X58" s="7" t="str" cm="1">
        <f t="array" aca="1" ref="X58" ca="1">IF(INDIRECT("$D"&amp;(ROW(R58)+$F$1-1))=0,X56,$H58&amp;$N58&amp;$O58)</f>
        <v>4630</v>
      </c>
      <c r="Y58" s="7" t="str" cm="1">
        <f t="array" aca="1" ref="Y58" ca="1">IF(INDIRECT("$D"&amp;(ROW(R58)+$F$1-1))=0,Y57,H59&amp;$N59&amp;$O59)</f>
        <v>5530</v>
      </c>
      <c r="Z58" s="7" t="str" cm="1">
        <f t="array" aca="1" ref="Z58" ca="1">IF(INDIRECT("$D"&amp;(ROW(R58)+$F$1-1))=0,Z57,H60&amp;$N60&amp;$O60)</f>
        <v>6030</v>
      </c>
      <c r="AA58" s="7" t="str" cm="1">
        <f t="array" aca="1" ref="AA58" ca="1">IF(INDIRECT("$D"&amp;(ROW(R58)+$F$1-1))=0,AA57,H61&amp;$N61&amp;$O61)</f>
        <v>0000</v>
      </c>
      <c r="AB58" s="7" t="str" cm="1">
        <f t="array" aca="1" ref="AB58" ca="1">IF(INDIRECT("$D"&amp;(ROW(R58)+$F$1-1))=0,AB57,H62&amp;$N62&amp;$O62)</f>
        <v>0560</v>
      </c>
      <c r="AC58" s="7" t="str" cm="1">
        <f t="array" aca="1" ref="AC58" ca="1">IF(INDIRECT("$D"&amp;(ROW(R58)+$F$1-1))=0,AC57,H63&amp;$N63&amp;$O63)</f>
        <v>0000</v>
      </c>
      <c r="AD58" s="7" t="str" cm="1">
        <f t="array" aca="1" ref="AD58" ca="1">IF(INDIRECT("$D"&amp;(ROW(R58)+$F$1-1))=0,AD57,I58&amp;$P58&amp;$Q58)</f>
        <v>5130</v>
      </c>
      <c r="AE58" s="7" t="str" cm="1">
        <f t="array" aca="1" ref="AE58" ca="1">IF(INDIRECT("$D"&amp;(ROW(R58)+$F$1-1))=0,AE57,I59&amp;$P59&amp;$Q59)</f>
        <v>5660</v>
      </c>
      <c r="AF58" s="7" t="str" cm="1">
        <f t="array" aca="1" ref="AF58" ca="1">IF(INDIRECT("$D"&amp;(ROW(R58)+$F$1-1))=0,AF57,I60&amp;$P60&amp;$Q60)</f>
        <v>0160</v>
      </c>
      <c r="AG58" s="7" t="str" cm="1">
        <f t="array" aca="1" ref="AG58" ca="1">IF(INDIRECT("$D"&amp;(ROW(R58)+$F$1-1))=0,AG57,I61&amp;$P61&amp;$Q61)</f>
        <v>0000</v>
      </c>
      <c r="AH58" s="7" t="str" cm="1">
        <f t="array" aca="1" ref="AH58" ca="1">IF(INDIRECT("$D"&amp;(ROW(R58)+$F$1-1))=0,AH57,I62&amp;$P62&amp;$Q62)</f>
        <v>0000</v>
      </c>
      <c r="AI58" s="7" t="str" cm="1">
        <f t="array" aca="1" ref="AI58" ca="1">IF(INDIRECT("$D"&amp;(ROW(R58)+$F$1-1))=0,AI57,I63&amp;$P63&amp;$Q63)</f>
        <v>0000</v>
      </c>
      <c r="AJ58" s="7" t="str" cm="1">
        <f t="array" ref="AJ58">TEXT($D58,"000")&amp;TEXT(IFERROR(INDEX($D$5:$D$103,_xlfn.AGGREGATE(15,6,ROW($E$5:$E$103)/(($E$5:$E$103&lt;&gt;"p")*($E$5:$E$103&lt;&gt;"t")*(ROW($E$5:$E$103)&gt;ROW($E58))),1)-ROW($E$5)+1),$D58),"000")</f>
        <v>000000</v>
      </c>
      <c r="AK58" s="22">
        <f t="shared" si="2"/>
        <v>500</v>
      </c>
      <c r="AL58" s="22" cm="1">
        <f t="array" aca="1" ref="AL58" ca="1">IF(INDIRECT("$K"&amp;(ROW(R58)+$F$1-1))="TERMINAL",1000489,489)*SIGN(AK58)</f>
        <v>1000489</v>
      </c>
      <c r="AM58" s="7" cm="1">
        <f t="array" aca="1" ref="AM58" ca="1">IF(INDIRECT("$D"&amp;(ROW(R58)+$F$1-1))=0,AM57,$G58)</f>
        <v>8</v>
      </c>
      <c r="AN58" s="7" cm="1">
        <f t="array" aca="1" ref="AN58" ca="1">IF(INDIRECT("$D"&amp;(ROW(R58)+$F$1-1))=0,AN57,$G59)</f>
        <v>0</v>
      </c>
      <c r="AO58" s="7" cm="1">
        <f t="array" aca="1" ref="AO58" ca="1">IF(INDIRECT("$D"&amp;(ROW(R58)+$F$1-1))=0,AO57,$G60)</f>
        <v>0</v>
      </c>
      <c r="AP58" s="7" cm="1">
        <f t="array" aca="1" ref="AP58" ca="1">IF(INDIRECT("$D"&amp;(ROW(R58)+$F$1-1))=0,AP57,$G61)</f>
        <v>0</v>
      </c>
      <c r="AQ58" s="7" cm="1">
        <f t="array" aca="1" ref="AQ58" ca="1">IF(INDIRECT("$D"&amp;(ROW(R58)+$F$1-1))=0,AQ57,$G62)</f>
        <v>1</v>
      </c>
      <c r="AR58" s="7" cm="1">
        <f t="array" aca="1" ref="AR58" ca="1">IF(INDIRECT("$D"&amp;(ROW(R58)+$F$1-1))=0,AR57,$G63)</f>
        <v>0</v>
      </c>
      <c r="AS58" s="7" cm="1">
        <f t="array" aca="1" ref="AS58" ca="1">IF(INDIRECT("$D"&amp;(ROW(AS58)+$F$1-1))=0,AS57+4,1)</f>
        <v>141</v>
      </c>
      <c r="AT58" s="7" cm="1">
        <f t="array" aca="1" ref="AT58" ca="1">IF(INDIRECT("$D"&amp;(ROW(AT58)+$F$1-1))=0,AT57+4,2)</f>
        <v>142</v>
      </c>
      <c r="AU58" s="7" cm="1">
        <f t="array" aca="1" ref="AU58" ca="1">IF(INDIRECT("$D"&amp;(ROW(AU58)+$F$1-1))=0,AU57+4,3)</f>
        <v>143</v>
      </c>
      <c r="AV58" s="7" cm="1">
        <f t="array" aca="1" ref="AV58" ca="1">IF(INDIRECT("$D"&amp;(ROW(AV58)+$F$1-1))=0,AV57+4,4)</f>
        <v>144</v>
      </c>
      <c r="AW58" s="22" cm="1">
        <f t="array" aca="1" ref="AW58" ca="1">_xlfn.XLOOKUP(1,INDIRECT("J"&amp;ROW(K58)+$F$1):J$103,INDIRECT("D"&amp;ROW(K58)+$F$1):D$103,0,0,1)</f>
        <v>0</v>
      </c>
      <c r="AX58" s="22">
        <f t="shared" ca="1" si="3"/>
        <v>0</v>
      </c>
      <c r="AY58" s="22" cm="1">
        <f t="array" aca="1" ref="AY58" ca="1">_xlfn.XLOOKUP(AW58,D$4:D$110,H$4:H$110&amp;N$4:N$110&amp;O$4:O$110,0,0,1)</f>
        <v>0</v>
      </c>
      <c r="AZ58" s="22" cm="1">
        <f t="array" aca="1" ref="AZ58" ca="1">_xlfn.XLOOKUP(AW58,D$4:D$110,I$4:I$110&amp;P$4:P$110&amp;Q$4:Q$110,0,0,1)</f>
        <v>0</v>
      </c>
      <c r="BA58" s="14" cm="1">
        <f t="array" ref="BA58">_xlfn.XLOOKUP(1,J$4:J57,D$4:D57,0,0,-1)</f>
        <v>35</v>
      </c>
      <c r="BB58" s="14">
        <f t="shared" si="5"/>
        <v>1</v>
      </c>
      <c r="BC58" s="14" t="str" cm="1">
        <f t="array" ref="BC58">_xlfn.SWITCH(TRUE,_xlfn.XLOOKUP(BA58,D$4:D$110,TEXT(F$4:F$110,"HH"),0,0,1)="00",B56&amp;"",_xlfn.XLOOKUP(BA58,D$4:D$110,TEXT(F$4:F$110,"HH"),0,0,1)="T","00",TRUE,_xlfn.XLOOKUP(BA58,D$4:D$110,TEXT(F$4:F$110,"HH"),0,0,1))</f>
        <v>00</v>
      </c>
      <c r="BD58" s="14" t="str">
        <f t="shared" si="4"/>
        <v>000000</v>
      </c>
    </row>
    <row r="59" spans="1:56">
      <c r="A59" s="2">
        <v>56</v>
      </c>
      <c r="B59" s="5"/>
      <c r="C59" s="5"/>
      <c r="D59" s="5"/>
      <c r="E59" s="5"/>
      <c r="F59" s="5"/>
      <c r="G59" s="5"/>
      <c r="H59" s="5"/>
      <c r="I59" s="5"/>
      <c r="J59" s="5">
        <f t="shared" si="1"/>
        <v>0</v>
      </c>
      <c r="K59" s="7" t="str">
        <f t="shared" si="0"/>
        <v>terminal</v>
      </c>
      <c r="L59" s="7" t="str" cm="1">
        <f t="array" ref="L59">_xlfn.SWITCH(TRUE,$K59="PASS",TEXT($B$1,"0000"),AND($K59="STOP",E59=""),TEXT($D$1,"0000"),$K58="TERMINAL","0000",TRUE,TEXT(E59,"MMSS"))</f>
        <v>0000</v>
      </c>
      <c r="M59" s="7" t="str" cm="1">
        <f t="array" ref="M59">_xlfn.SWITCH(TRUE,$K59="PASS",TEXT($B$1,"0000"),AND($K59="STOP",F59=""),TEXT($D$1,"0000"),$K59="TERMINAL","0000",TRUE,TEXT(F59,"MMSS"))</f>
        <v>0000</v>
      </c>
      <c r="N59" t="str" cm="1">
        <f t="array" ref="N59">_xlfn.SWITCH(TRUE,AND(LEFT(L59,2)="00",K59="TERMINAL"),"00",E59="",TEXT(LEFT($D$1,2),"00"),LEFT(L59,2)="00",$D$2&amp;"",TRUE,LEFT(L59,2))</f>
        <v>00</v>
      </c>
      <c r="O59" t="str" cm="1">
        <f t="array" ref="O59">_xlfn.SWITCH(TRUE,AND(N59="00",RIGHT(L59,2)="00",K59="TERMINAL"),"00",OR(E59="",N59=LEFT($B$1,2)),TEXT(RIGHT($D$1,2),"00"),RIGHT(L59,2)="00",$D$2&amp;"",TRUE,RIGHT(L59,2))</f>
        <v>00</v>
      </c>
      <c r="P59" t="str" cm="1">
        <f t="array" ref="P59">_xlfn.SWITCH(TRUE,AND(LEFT(M59,2)="00",K59="TERMINAL"),"00",F59="",TEXT(LEFT($D$1,2),"00"),LEFT(M59,2)="00",$D$2&amp;"",TRUE,LEFT(M59,2))</f>
        <v>00</v>
      </c>
      <c r="Q59" t="str" cm="1">
        <f t="array" ref="Q59">_xlfn.SWITCH(TRUE,AND(RIGHT(M59,2)="00",K59="TERMINAL"),"00",F59="",TEXT(RIGHT($D$1,2),"00"),RIGHT(M59,2)="00",$D$2&amp;"",TRUE,RIGHT(M59,2))</f>
        <v>00</v>
      </c>
      <c r="R59" s="7" cm="1">
        <f t="array" aca="1" ref="R59" ca="1">IF(INDIRECT("$D"&amp;(ROW(R59)+$F$1-1))=0,R58,$D59)</f>
        <v>39</v>
      </c>
      <c r="S59" s="7" cm="1">
        <f t="array" aca="1" ref="S59" ca="1">IF(INDIRECT("$D"&amp;(ROW(R59)+$F$1-1))=0,S58,$D60)</f>
        <v>38</v>
      </c>
      <c r="T59" s="7" cm="1">
        <f t="array" aca="1" ref="T59" ca="1">IF(INDIRECT("$D"&amp;(ROW(R59)+$F$1-1))=0,T58,$D61)</f>
        <v>37</v>
      </c>
      <c r="U59" s="7" cm="1">
        <f t="array" aca="1" ref="U59" ca="1">IF(INDIRECT("$D"&amp;(ROW(R59)+$F$1-1))=0,U58,$D62)</f>
        <v>36</v>
      </c>
      <c r="V59" s="7" cm="1">
        <f t="array" aca="1" ref="V59" ca="1">IF(INDIRECT("$D"&amp;(ROW(R59)+$F$1-1))=0,V58,$D63)</f>
        <v>35</v>
      </c>
      <c r="W59" s="7" cm="1">
        <f t="array" aca="1" ref="W59" ca="1">IF(INDIRECT("$D"&amp;(ROW(R59)+$F$1-1))=0,W58,$D64)</f>
        <v>0</v>
      </c>
      <c r="X59" s="7" t="str" cm="1">
        <f t="array" aca="1" ref="X59" ca="1">IF(INDIRECT("$D"&amp;(ROW(R59)+$F$1-1))=0,X57,$H59&amp;$N59&amp;$O59)</f>
        <v>5160</v>
      </c>
      <c r="Y59" s="7" t="str" cm="1">
        <f t="array" aca="1" ref="Y59" ca="1">IF(INDIRECT("$D"&amp;(ROW(R59)+$F$1-1))=0,Y58,H60&amp;$N60&amp;$O60)</f>
        <v>5530</v>
      </c>
      <c r="Z59" s="7" t="str" cm="1">
        <f t="array" aca="1" ref="Z59" ca="1">IF(INDIRECT("$D"&amp;(ROW(R59)+$F$1-1))=0,Z58,H61&amp;$N61&amp;$O61)</f>
        <v>6030</v>
      </c>
      <c r="AA59" s="7" t="str" cm="1">
        <f t="array" aca="1" ref="AA59" ca="1">IF(INDIRECT("$D"&amp;(ROW(R59)+$F$1-1))=0,AA58,H62&amp;$N62&amp;$O62)</f>
        <v>0000</v>
      </c>
      <c r="AB59" s="7" t="str" cm="1">
        <f t="array" aca="1" ref="AB59" ca="1">IF(INDIRECT("$D"&amp;(ROW(R59)+$F$1-1))=0,AB58,H63&amp;$N63&amp;$O63)</f>
        <v>0560</v>
      </c>
      <c r="AC59" s="7" t="str" cm="1">
        <f t="array" aca="1" ref="AC59" ca="1">IF(INDIRECT("$D"&amp;(ROW(R59)+$F$1-1))=0,AC58,H64&amp;$N64&amp;$O64)</f>
        <v>0000</v>
      </c>
      <c r="AD59" s="7" t="str" cm="1">
        <f t="array" aca="1" ref="AD59" ca="1">IF(INDIRECT("$D"&amp;(ROW(R59)+$F$1-1))=0,AD58,I59&amp;$P59&amp;$Q59)</f>
        <v>5130</v>
      </c>
      <c r="AE59" s="7" t="str" cm="1">
        <f t="array" aca="1" ref="AE59" ca="1">IF(INDIRECT("$D"&amp;(ROW(R59)+$F$1-1))=0,AE58,I60&amp;$P60&amp;$Q60)</f>
        <v>5660</v>
      </c>
      <c r="AF59" s="7" t="str" cm="1">
        <f t="array" aca="1" ref="AF59" ca="1">IF(INDIRECT("$D"&amp;(ROW(R59)+$F$1-1))=0,AF58,I61&amp;$P61&amp;$Q61)</f>
        <v>0160</v>
      </c>
      <c r="AG59" s="7" t="str" cm="1">
        <f t="array" aca="1" ref="AG59" ca="1">IF(INDIRECT("$D"&amp;(ROW(R59)+$F$1-1))=0,AG58,I62&amp;$P62&amp;$Q62)</f>
        <v>0000</v>
      </c>
      <c r="AH59" s="7" t="str" cm="1">
        <f t="array" aca="1" ref="AH59" ca="1">IF(INDIRECT("$D"&amp;(ROW(R59)+$F$1-1))=0,AH58,I63&amp;$P63&amp;$Q63)</f>
        <v>0000</v>
      </c>
      <c r="AI59" s="7" t="str" cm="1">
        <f t="array" aca="1" ref="AI59" ca="1">IF(INDIRECT("$D"&amp;(ROW(R59)+$F$1-1))=0,AI58,I64&amp;$P64&amp;$Q64)</f>
        <v>0000</v>
      </c>
      <c r="AJ59" s="7" t="str" cm="1">
        <f t="array" ref="AJ59">TEXT($D59,"000")&amp;TEXT(IFERROR(INDEX($D$5:$D$103,_xlfn.AGGREGATE(15,6,ROW($E$5:$E$103)/(($E$5:$E$103&lt;&gt;"p")*($E$5:$E$103&lt;&gt;"t")*(ROW($E$5:$E$103)&gt;ROW($E59))),1)-ROW($E$5)+1),$D59),"000")</f>
        <v>000000</v>
      </c>
      <c r="AK59" s="22">
        <f t="shared" si="2"/>
        <v>500</v>
      </c>
      <c r="AL59" s="22" cm="1">
        <f t="array" aca="1" ref="AL59" ca="1">IF(INDIRECT("$K"&amp;(ROW(R59)+$F$1-1))="TERMINAL",1000489,489)*SIGN(AK59)</f>
        <v>1000489</v>
      </c>
      <c r="AM59" s="7" cm="1">
        <f t="array" aca="1" ref="AM59" ca="1">IF(INDIRECT("$D"&amp;(ROW(R59)+$F$1-1))=0,AM58,$G59)</f>
        <v>8</v>
      </c>
      <c r="AN59" s="7" cm="1">
        <f t="array" aca="1" ref="AN59" ca="1">IF(INDIRECT("$D"&amp;(ROW(R59)+$F$1-1))=0,AN58,$G60)</f>
        <v>0</v>
      </c>
      <c r="AO59" s="7" cm="1">
        <f t="array" aca="1" ref="AO59" ca="1">IF(INDIRECT("$D"&amp;(ROW(R59)+$F$1-1))=0,AO58,$G61)</f>
        <v>0</v>
      </c>
      <c r="AP59" s="7" cm="1">
        <f t="array" aca="1" ref="AP59" ca="1">IF(INDIRECT("$D"&amp;(ROW(R59)+$F$1-1))=0,AP58,$G62)</f>
        <v>0</v>
      </c>
      <c r="AQ59" s="7" cm="1">
        <f t="array" aca="1" ref="AQ59" ca="1">IF(INDIRECT("$D"&amp;(ROW(R59)+$F$1-1))=0,AQ58,$G63)</f>
        <v>1</v>
      </c>
      <c r="AR59" s="7" cm="1">
        <f t="array" aca="1" ref="AR59" ca="1">IF(INDIRECT("$D"&amp;(ROW(R59)+$F$1-1))=0,AR58,$G64)</f>
        <v>0</v>
      </c>
      <c r="AS59" s="7" cm="1">
        <f t="array" aca="1" ref="AS59" ca="1">IF(INDIRECT("$D"&amp;(ROW(AS59)+$F$1-1))=0,AS58+4,1)</f>
        <v>145</v>
      </c>
      <c r="AT59" s="7" cm="1">
        <f t="array" aca="1" ref="AT59" ca="1">IF(INDIRECT("$D"&amp;(ROW(AT59)+$F$1-1))=0,AT58+4,2)</f>
        <v>146</v>
      </c>
      <c r="AU59" s="7" cm="1">
        <f t="array" aca="1" ref="AU59" ca="1">IF(INDIRECT("$D"&amp;(ROW(AU59)+$F$1-1))=0,AU58+4,3)</f>
        <v>147</v>
      </c>
      <c r="AV59" s="7" cm="1">
        <f t="array" aca="1" ref="AV59" ca="1">IF(INDIRECT("$D"&amp;(ROW(AV59)+$F$1-1))=0,AV58+4,4)</f>
        <v>148</v>
      </c>
      <c r="AW59" s="22" cm="1">
        <f t="array" aca="1" ref="AW59" ca="1">_xlfn.XLOOKUP(1,INDIRECT("J"&amp;ROW(K59)+$F$1):J$103,INDIRECT("D"&amp;ROW(K59)+$F$1):D$103,0,0,1)</f>
        <v>0</v>
      </c>
      <c r="AX59" s="22">
        <f t="shared" ca="1" si="3"/>
        <v>0</v>
      </c>
      <c r="AY59" s="22" cm="1">
        <f t="array" aca="1" ref="AY59" ca="1">_xlfn.XLOOKUP(AW59,D$4:D$110,H$4:H$110&amp;N$4:N$110&amp;O$4:O$110,0,0,1)</f>
        <v>0</v>
      </c>
      <c r="AZ59" s="22" cm="1">
        <f t="array" aca="1" ref="AZ59" ca="1">_xlfn.XLOOKUP(AW59,D$4:D$110,I$4:I$110&amp;P$4:P$110&amp;Q$4:Q$110,0,0,1)</f>
        <v>0</v>
      </c>
      <c r="BA59" s="14" cm="1">
        <f t="array" ref="BA59">_xlfn.XLOOKUP(1,J$4:J58,D$4:D58,0,0,-1)</f>
        <v>35</v>
      </c>
      <c r="BB59" s="14">
        <f t="shared" si="5"/>
        <v>1</v>
      </c>
      <c r="BC59" s="14" t="str" cm="1">
        <f t="array" ref="BC59">_xlfn.SWITCH(TRUE,_xlfn.XLOOKUP(BA59,D$4:D$110,TEXT(F$4:F$110,"HH"),0,0,1)="00",B57&amp;"",_xlfn.XLOOKUP(BA59,D$4:D$110,TEXT(F$4:F$110,"HH"),0,0,1)="T","00",TRUE,_xlfn.XLOOKUP(BA59,D$4:D$110,TEXT(F$4:F$110,"HH"),0,0,1))</f>
        <v>00</v>
      </c>
      <c r="BD59" s="14" t="str">
        <f t="shared" si="4"/>
        <v>000000</v>
      </c>
    </row>
    <row r="60" spans="1:56">
      <c r="A60" s="2">
        <v>57</v>
      </c>
      <c r="B60" s="5"/>
      <c r="C60" s="5"/>
      <c r="D60" s="5"/>
      <c r="E60" s="5"/>
      <c r="F60" s="5"/>
      <c r="G60" s="5"/>
      <c r="H60" s="5"/>
      <c r="I60" s="5"/>
      <c r="J60" s="5">
        <f t="shared" si="1"/>
        <v>0</v>
      </c>
      <c r="K60" s="7" t="str">
        <f t="shared" si="0"/>
        <v>terminal</v>
      </c>
      <c r="L60" s="7" t="str" cm="1">
        <f t="array" ref="L60">_xlfn.SWITCH(TRUE,$K60="PASS",TEXT($B$1,"0000"),AND($K60="STOP",E60=""),TEXT($D$1,"0000"),$K59="TERMINAL","0000",TRUE,TEXT(E60,"MMSS"))</f>
        <v>0000</v>
      </c>
      <c r="M60" s="7" t="str" cm="1">
        <f t="array" ref="M60">_xlfn.SWITCH(TRUE,$K60="PASS",TEXT($B$1,"0000"),AND($K60="STOP",F60=""),TEXT($D$1,"0000"),$K60="TERMINAL","0000",TRUE,TEXT(F60,"MMSS"))</f>
        <v>0000</v>
      </c>
      <c r="N60" t="str" cm="1">
        <f t="array" ref="N60">_xlfn.SWITCH(TRUE,AND(LEFT(L60,2)="00",K60="TERMINAL"),"00",E60="",TEXT(LEFT($D$1,2),"00"),LEFT(L60,2)="00",$D$2&amp;"",TRUE,LEFT(L60,2))</f>
        <v>00</v>
      </c>
      <c r="O60" t="str" cm="1">
        <f t="array" ref="O60">_xlfn.SWITCH(TRUE,AND(N60="00",RIGHT(L60,2)="00",K60="TERMINAL"),"00",OR(E60="",N60=LEFT($B$1,2)),TEXT(RIGHT($D$1,2),"00"),RIGHT(L60,2)="00",$D$2&amp;"",TRUE,RIGHT(L60,2))</f>
        <v>00</v>
      </c>
      <c r="P60" t="str" cm="1">
        <f t="array" ref="P60">_xlfn.SWITCH(TRUE,AND(LEFT(M60,2)="00",K60="TERMINAL"),"00",F60="",TEXT(LEFT($D$1,2),"00"),LEFT(M60,2)="00",$D$2&amp;"",TRUE,LEFT(M60,2))</f>
        <v>00</v>
      </c>
      <c r="Q60" t="str" cm="1">
        <f t="array" ref="Q60">_xlfn.SWITCH(TRUE,AND(RIGHT(M60,2)="00",K60="TERMINAL"),"00",F60="",TEXT(RIGHT($D$1,2),"00"),RIGHT(M60,2)="00",$D$2&amp;"",TRUE,RIGHT(M60,2))</f>
        <v>00</v>
      </c>
      <c r="R60" s="7" cm="1">
        <f t="array" aca="1" ref="R60" ca="1">IF(INDIRECT("$D"&amp;(ROW(R60)+$F$1-1))=0,R59,$D60)</f>
        <v>39</v>
      </c>
      <c r="S60" s="7" cm="1">
        <f t="array" aca="1" ref="S60" ca="1">IF(INDIRECT("$D"&amp;(ROW(R60)+$F$1-1))=0,S59,$D61)</f>
        <v>38</v>
      </c>
      <c r="T60" s="7" cm="1">
        <f t="array" aca="1" ref="T60" ca="1">IF(INDIRECT("$D"&amp;(ROW(R60)+$F$1-1))=0,T59,$D62)</f>
        <v>37</v>
      </c>
      <c r="U60" s="7" cm="1">
        <f t="array" aca="1" ref="U60" ca="1">IF(INDIRECT("$D"&amp;(ROW(R60)+$F$1-1))=0,U59,$D63)</f>
        <v>36</v>
      </c>
      <c r="V60" s="7" cm="1">
        <f t="array" aca="1" ref="V60" ca="1">IF(INDIRECT("$D"&amp;(ROW(R60)+$F$1-1))=0,V59,$D64)</f>
        <v>35</v>
      </c>
      <c r="W60" s="7" cm="1">
        <f t="array" aca="1" ref="W60" ca="1">IF(INDIRECT("$D"&amp;(ROW(R60)+$F$1-1))=0,W59,$D65)</f>
        <v>0</v>
      </c>
      <c r="X60" s="7" t="str" cm="1">
        <f t="array" aca="1" ref="X60" ca="1">IF(INDIRECT("$D"&amp;(ROW(R60)+$F$1-1))=0,X58,$H60&amp;$N60&amp;$O60)</f>
        <v>4630</v>
      </c>
      <c r="Y60" s="7" t="str" cm="1">
        <f t="array" aca="1" ref="Y60" ca="1">IF(INDIRECT("$D"&amp;(ROW(R60)+$F$1-1))=0,Y59,H61&amp;$N61&amp;$O61)</f>
        <v>5530</v>
      </c>
      <c r="Z60" s="7" t="str" cm="1">
        <f t="array" aca="1" ref="Z60" ca="1">IF(INDIRECT("$D"&amp;(ROW(R60)+$F$1-1))=0,Z59,H62&amp;$N62&amp;$O62)</f>
        <v>6030</v>
      </c>
      <c r="AA60" s="7" t="str" cm="1">
        <f t="array" aca="1" ref="AA60" ca="1">IF(INDIRECT("$D"&amp;(ROW(R60)+$F$1-1))=0,AA59,H63&amp;$N63&amp;$O63)</f>
        <v>0000</v>
      </c>
      <c r="AB60" s="7" t="str" cm="1">
        <f t="array" aca="1" ref="AB60" ca="1">IF(INDIRECT("$D"&amp;(ROW(R60)+$F$1-1))=0,AB59,H64&amp;$N64&amp;$O64)</f>
        <v>0560</v>
      </c>
      <c r="AC60" s="7" t="str" cm="1">
        <f t="array" aca="1" ref="AC60" ca="1">IF(INDIRECT("$D"&amp;(ROW(R60)+$F$1-1))=0,AC59,H65&amp;$N65&amp;$O65)</f>
        <v>0000</v>
      </c>
      <c r="AD60" s="7" t="str" cm="1">
        <f t="array" aca="1" ref="AD60" ca="1">IF(INDIRECT("$D"&amp;(ROW(R60)+$F$1-1))=0,AD59,I60&amp;$P60&amp;$Q60)</f>
        <v>5130</v>
      </c>
      <c r="AE60" s="7" t="str" cm="1">
        <f t="array" aca="1" ref="AE60" ca="1">IF(INDIRECT("$D"&amp;(ROW(R60)+$F$1-1))=0,AE59,I61&amp;$P61&amp;$Q61)</f>
        <v>5660</v>
      </c>
      <c r="AF60" s="7" t="str" cm="1">
        <f t="array" aca="1" ref="AF60" ca="1">IF(INDIRECT("$D"&amp;(ROW(R60)+$F$1-1))=0,AF59,I62&amp;$P62&amp;$Q62)</f>
        <v>0160</v>
      </c>
      <c r="AG60" s="7" t="str" cm="1">
        <f t="array" aca="1" ref="AG60" ca="1">IF(INDIRECT("$D"&amp;(ROW(R60)+$F$1-1))=0,AG59,I63&amp;$P63&amp;$Q63)</f>
        <v>0000</v>
      </c>
      <c r="AH60" s="7" t="str" cm="1">
        <f t="array" aca="1" ref="AH60" ca="1">IF(INDIRECT("$D"&amp;(ROW(R60)+$F$1-1))=0,AH59,I64&amp;$P64&amp;$Q64)</f>
        <v>0000</v>
      </c>
      <c r="AI60" s="7" t="str" cm="1">
        <f t="array" aca="1" ref="AI60" ca="1">IF(INDIRECT("$D"&amp;(ROW(R60)+$F$1-1))=0,AI59,I65&amp;$P65&amp;$Q65)</f>
        <v>0000</v>
      </c>
      <c r="AJ60" s="7" t="str" cm="1">
        <f t="array" ref="AJ60">TEXT($D60,"000")&amp;TEXT(IFERROR(INDEX($D$5:$D$103,_xlfn.AGGREGATE(15,6,ROW($E$5:$E$103)/(($E$5:$E$103&lt;&gt;"p")*($E$5:$E$103&lt;&gt;"t")*(ROW($E$5:$E$103)&gt;ROW($E60))),1)-ROW($E$5)+1),$D60),"000")</f>
        <v>000000</v>
      </c>
      <c r="AK60" s="22">
        <f t="shared" si="2"/>
        <v>500</v>
      </c>
      <c r="AL60" s="22" cm="1">
        <f t="array" aca="1" ref="AL60" ca="1">IF(INDIRECT("$K"&amp;(ROW(R60)+$F$1-1))="TERMINAL",1000489,489)*SIGN(AK60)</f>
        <v>1000489</v>
      </c>
      <c r="AM60" s="7" cm="1">
        <f t="array" aca="1" ref="AM60" ca="1">IF(INDIRECT("$D"&amp;(ROW(R60)+$F$1-1))=0,AM59,$G60)</f>
        <v>8</v>
      </c>
      <c r="AN60" s="7" cm="1">
        <f t="array" aca="1" ref="AN60" ca="1">IF(INDIRECT("$D"&amp;(ROW(R60)+$F$1-1))=0,AN59,$G61)</f>
        <v>0</v>
      </c>
      <c r="AO60" s="7" cm="1">
        <f t="array" aca="1" ref="AO60" ca="1">IF(INDIRECT("$D"&amp;(ROW(R60)+$F$1-1))=0,AO59,$G62)</f>
        <v>0</v>
      </c>
      <c r="AP60" s="7" cm="1">
        <f t="array" aca="1" ref="AP60" ca="1">IF(INDIRECT("$D"&amp;(ROW(R60)+$F$1-1))=0,AP59,$G63)</f>
        <v>0</v>
      </c>
      <c r="AQ60" s="7" cm="1">
        <f t="array" aca="1" ref="AQ60" ca="1">IF(INDIRECT("$D"&amp;(ROW(R60)+$F$1-1))=0,AQ59,$G64)</f>
        <v>1</v>
      </c>
      <c r="AR60" s="7" cm="1">
        <f t="array" aca="1" ref="AR60" ca="1">IF(INDIRECT("$D"&amp;(ROW(R60)+$F$1-1))=0,AR59,$G65)</f>
        <v>0</v>
      </c>
      <c r="AS60" s="7" cm="1">
        <f t="array" aca="1" ref="AS60" ca="1">IF(INDIRECT("$D"&amp;(ROW(AS60)+$F$1-1))=0,AS59+4,1)</f>
        <v>149</v>
      </c>
      <c r="AT60" s="7" cm="1">
        <f t="array" aca="1" ref="AT60" ca="1">IF(INDIRECT("$D"&amp;(ROW(AT60)+$F$1-1))=0,AT59+4,2)</f>
        <v>150</v>
      </c>
      <c r="AU60" s="7" cm="1">
        <f t="array" aca="1" ref="AU60" ca="1">IF(INDIRECT("$D"&amp;(ROW(AU60)+$F$1-1))=0,AU59+4,3)</f>
        <v>151</v>
      </c>
      <c r="AV60" s="7" cm="1">
        <f t="array" aca="1" ref="AV60" ca="1">IF(INDIRECT("$D"&amp;(ROW(AV60)+$F$1-1))=0,AV59+4,4)</f>
        <v>152</v>
      </c>
      <c r="AW60" s="22" cm="1">
        <f t="array" aca="1" ref="AW60" ca="1">_xlfn.XLOOKUP(1,INDIRECT("J"&amp;ROW(K60)+$F$1):J$103,INDIRECT("D"&amp;ROW(K60)+$F$1):D$103,0,0,1)</f>
        <v>0</v>
      </c>
      <c r="AX60" s="22">
        <f t="shared" ca="1" si="3"/>
        <v>0</v>
      </c>
      <c r="AY60" s="22" cm="1">
        <f t="array" aca="1" ref="AY60" ca="1">_xlfn.XLOOKUP(AW60,D$4:D$110,H$4:H$110&amp;N$4:N$110&amp;O$4:O$110,0,0,1)</f>
        <v>0</v>
      </c>
      <c r="AZ60" s="22" cm="1">
        <f t="array" aca="1" ref="AZ60" ca="1">_xlfn.XLOOKUP(AW60,D$4:D$110,I$4:I$110&amp;P$4:P$110&amp;Q$4:Q$110,0,0,1)</f>
        <v>0</v>
      </c>
      <c r="BA60" s="14" cm="1">
        <f t="array" ref="BA60">_xlfn.XLOOKUP(1,J$4:J59,D$4:D59,0,0,-1)</f>
        <v>35</v>
      </c>
      <c r="BB60" s="14">
        <f t="shared" si="5"/>
        <v>1</v>
      </c>
      <c r="BC60" s="14" t="str" cm="1">
        <f t="array" ref="BC60">_xlfn.SWITCH(TRUE,_xlfn.XLOOKUP(BA60,D$4:D$110,TEXT(F$4:F$110,"HH"),0,0,1)="00",B58&amp;"",_xlfn.XLOOKUP(BA60,D$4:D$110,TEXT(F$4:F$110,"HH"),0,0,1)="T","00",TRUE,_xlfn.XLOOKUP(BA60,D$4:D$110,TEXT(F$4:F$110,"HH"),0,0,1))</f>
        <v>00</v>
      </c>
      <c r="BD60" s="14" t="str">
        <f t="shared" si="4"/>
        <v>000000</v>
      </c>
    </row>
    <row r="61" spans="1:56">
      <c r="A61" s="2">
        <v>58</v>
      </c>
      <c r="B61" s="5"/>
      <c r="C61" s="5"/>
      <c r="D61" s="5"/>
      <c r="E61" s="5"/>
      <c r="F61" s="5"/>
      <c r="G61" s="5"/>
      <c r="H61" s="5"/>
      <c r="I61" s="5"/>
      <c r="J61" s="5">
        <f t="shared" si="1"/>
        <v>0</v>
      </c>
      <c r="K61" s="7" t="str">
        <f t="shared" si="0"/>
        <v>terminal</v>
      </c>
      <c r="L61" s="7" t="str" cm="1">
        <f t="array" ref="L61">_xlfn.SWITCH(TRUE,$K61="PASS",TEXT($B$1,"0000"),AND($K61="STOP",E61=""),TEXT($D$1,"0000"),$K60="TERMINAL","0000",TRUE,TEXT(E61,"MMSS"))</f>
        <v>0000</v>
      </c>
      <c r="M61" s="7" t="str" cm="1">
        <f t="array" ref="M61">_xlfn.SWITCH(TRUE,$K61="PASS",TEXT($B$1,"0000"),AND($K61="STOP",F61=""),TEXT($D$1,"0000"),$K61="TERMINAL","0000",TRUE,TEXT(F61,"MMSS"))</f>
        <v>0000</v>
      </c>
      <c r="N61" t="str" cm="1">
        <f t="array" ref="N61">_xlfn.SWITCH(TRUE,AND(LEFT(L61,2)="00",K61="TERMINAL"),"00",E61="",TEXT(LEFT($D$1,2),"00"),LEFT(L61,2)="00",$D$2&amp;"",TRUE,LEFT(L61,2))</f>
        <v>00</v>
      </c>
      <c r="O61" t="str" cm="1">
        <f t="array" ref="O61">_xlfn.SWITCH(TRUE,AND(N61="00",RIGHT(L61,2)="00",K61="TERMINAL"),"00",OR(E61="",N61=LEFT($B$1,2)),TEXT(RIGHT($D$1,2),"00"),RIGHT(L61,2)="00",$D$2&amp;"",TRUE,RIGHT(L61,2))</f>
        <v>00</v>
      </c>
      <c r="P61" t="str" cm="1">
        <f t="array" ref="P61">_xlfn.SWITCH(TRUE,AND(LEFT(M61,2)="00",K61="TERMINAL"),"00",F61="",TEXT(LEFT($D$1,2),"00"),LEFT(M61,2)="00",$D$2&amp;"",TRUE,LEFT(M61,2))</f>
        <v>00</v>
      </c>
      <c r="Q61" t="str" cm="1">
        <f t="array" ref="Q61">_xlfn.SWITCH(TRUE,AND(RIGHT(M61,2)="00",K61="TERMINAL"),"00",F61="",TEXT(RIGHT($D$1,2),"00"),RIGHT(M61,2)="00",$D$2&amp;"",TRUE,RIGHT(M61,2))</f>
        <v>00</v>
      </c>
      <c r="R61" s="7" cm="1">
        <f t="array" aca="1" ref="R61" ca="1">IF(INDIRECT("$D"&amp;(ROW(R61)+$F$1-1))=0,R60,$D61)</f>
        <v>39</v>
      </c>
      <c r="S61" s="7" cm="1">
        <f t="array" aca="1" ref="S61" ca="1">IF(INDIRECT("$D"&amp;(ROW(R61)+$F$1-1))=0,S60,$D62)</f>
        <v>38</v>
      </c>
      <c r="T61" s="7" cm="1">
        <f t="array" aca="1" ref="T61" ca="1">IF(INDIRECT("$D"&amp;(ROW(R61)+$F$1-1))=0,T60,$D63)</f>
        <v>37</v>
      </c>
      <c r="U61" s="7" cm="1">
        <f t="array" aca="1" ref="U61" ca="1">IF(INDIRECT("$D"&amp;(ROW(R61)+$F$1-1))=0,U60,$D64)</f>
        <v>36</v>
      </c>
      <c r="V61" s="7" cm="1">
        <f t="array" aca="1" ref="V61" ca="1">IF(INDIRECT("$D"&amp;(ROW(R61)+$F$1-1))=0,V60,$D65)</f>
        <v>35</v>
      </c>
      <c r="W61" s="7" cm="1">
        <f t="array" aca="1" ref="W61" ca="1">IF(INDIRECT("$D"&amp;(ROW(R61)+$F$1-1))=0,W60,$D66)</f>
        <v>0</v>
      </c>
      <c r="X61" s="7" t="str" cm="1">
        <f t="array" aca="1" ref="X61" ca="1">IF(INDIRECT("$D"&amp;(ROW(R61)+$F$1-1))=0,X59,$H61&amp;$N61&amp;$O61)</f>
        <v>5160</v>
      </c>
      <c r="Y61" s="7" t="str" cm="1">
        <f t="array" aca="1" ref="Y61" ca="1">IF(INDIRECT("$D"&amp;(ROW(R61)+$F$1-1))=0,Y60,H62&amp;$N62&amp;$O62)</f>
        <v>5530</v>
      </c>
      <c r="Z61" s="7" t="str" cm="1">
        <f t="array" aca="1" ref="Z61" ca="1">IF(INDIRECT("$D"&amp;(ROW(R61)+$F$1-1))=0,Z60,H63&amp;$N63&amp;$O63)</f>
        <v>6030</v>
      </c>
      <c r="AA61" s="7" t="str" cm="1">
        <f t="array" aca="1" ref="AA61" ca="1">IF(INDIRECT("$D"&amp;(ROW(R61)+$F$1-1))=0,AA60,H64&amp;$N64&amp;$O64)</f>
        <v>0000</v>
      </c>
      <c r="AB61" s="7" t="str" cm="1">
        <f t="array" aca="1" ref="AB61" ca="1">IF(INDIRECT("$D"&amp;(ROW(R61)+$F$1-1))=0,AB60,H65&amp;$N65&amp;$O65)</f>
        <v>0560</v>
      </c>
      <c r="AC61" s="7" t="str" cm="1">
        <f t="array" aca="1" ref="AC61" ca="1">IF(INDIRECT("$D"&amp;(ROW(R61)+$F$1-1))=0,AC60,H66&amp;$N66&amp;$O66)</f>
        <v>0000</v>
      </c>
      <c r="AD61" s="7" t="str" cm="1">
        <f t="array" aca="1" ref="AD61" ca="1">IF(INDIRECT("$D"&amp;(ROW(R61)+$F$1-1))=0,AD60,I61&amp;$P61&amp;$Q61)</f>
        <v>5130</v>
      </c>
      <c r="AE61" s="7" t="str" cm="1">
        <f t="array" aca="1" ref="AE61" ca="1">IF(INDIRECT("$D"&amp;(ROW(R61)+$F$1-1))=0,AE60,I62&amp;$P62&amp;$Q62)</f>
        <v>5660</v>
      </c>
      <c r="AF61" s="7" t="str" cm="1">
        <f t="array" aca="1" ref="AF61" ca="1">IF(INDIRECT("$D"&amp;(ROW(R61)+$F$1-1))=0,AF60,I63&amp;$P63&amp;$Q63)</f>
        <v>0160</v>
      </c>
      <c r="AG61" s="7" t="str" cm="1">
        <f t="array" aca="1" ref="AG61" ca="1">IF(INDIRECT("$D"&amp;(ROW(R61)+$F$1-1))=0,AG60,I64&amp;$P64&amp;$Q64)</f>
        <v>0000</v>
      </c>
      <c r="AH61" s="7" t="str" cm="1">
        <f t="array" aca="1" ref="AH61" ca="1">IF(INDIRECT("$D"&amp;(ROW(R61)+$F$1-1))=0,AH60,I65&amp;$P65&amp;$Q65)</f>
        <v>0000</v>
      </c>
      <c r="AI61" s="7" t="str" cm="1">
        <f t="array" aca="1" ref="AI61" ca="1">IF(INDIRECT("$D"&amp;(ROW(R61)+$F$1-1))=0,AI60,I66&amp;$P66&amp;$Q66)</f>
        <v>0000</v>
      </c>
      <c r="AJ61" s="7" t="str" cm="1">
        <f t="array" ref="AJ61">TEXT($D61,"000")&amp;TEXT(IFERROR(INDEX($D$5:$D$103,_xlfn.AGGREGATE(15,6,ROW($E$5:$E$103)/(($E$5:$E$103&lt;&gt;"p")*($E$5:$E$103&lt;&gt;"t")*(ROW($E$5:$E$103)&gt;ROW($E61))),1)-ROW($E$5)+1),$D61),"000")</f>
        <v>000000</v>
      </c>
      <c r="AK61" s="22">
        <f t="shared" si="2"/>
        <v>500</v>
      </c>
      <c r="AL61" s="22" cm="1">
        <f t="array" aca="1" ref="AL61" ca="1">IF(INDIRECT("$K"&amp;(ROW(R61)+$F$1-1))="TERMINAL",1000489,489)*SIGN(AK61)</f>
        <v>1000489</v>
      </c>
      <c r="AM61" s="7" cm="1">
        <f t="array" aca="1" ref="AM61" ca="1">IF(INDIRECT("$D"&amp;(ROW(R61)+$F$1-1))=0,AM60,$G61)</f>
        <v>8</v>
      </c>
      <c r="AN61" s="7" cm="1">
        <f t="array" aca="1" ref="AN61" ca="1">IF(INDIRECT("$D"&amp;(ROW(R61)+$F$1-1))=0,AN60,$G62)</f>
        <v>0</v>
      </c>
      <c r="AO61" s="7" cm="1">
        <f t="array" aca="1" ref="AO61" ca="1">IF(INDIRECT("$D"&amp;(ROW(R61)+$F$1-1))=0,AO60,$G63)</f>
        <v>0</v>
      </c>
      <c r="AP61" s="7" cm="1">
        <f t="array" aca="1" ref="AP61" ca="1">IF(INDIRECT("$D"&amp;(ROW(R61)+$F$1-1))=0,AP60,$G64)</f>
        <v>0</v>
      </c>
      <c r="AQ61" s="7" cm="1">
        <f t="array" aca="1" ref="AQ61" ca="1">IF(INDIRECT("$D"&amp;(ROW(R61)+$F$1-1))=0,AQ60,$G65)</f>
        <v>1</v>
      </c>
      <c r="AR61" s="7" cm="1">
        <f t="array" aca="1" ref="AR61" ca="1">IF(INDIRECT("$D"&amp;(ROW(R61)+$F$1-1))=0,AR60,$G66)</f>
        <v>0</v>
      </c>
      <c r="AS61" s="7" cm="1">
        <f t="array" aca="1" ref="AS61" ca="1">IF(INDIRECT("$D"&amp;(ROW(AS61)+$F$1-1))=0,AS60+4,1)</f>
        <v>153</v>
      </c>
      <c r="AT61" s="7" cm="1">
        <f t="array" aca="1" ref="AT61" ca="1">IF(INDIRECT("$D"&amp;(ROW(AT61)+$F$1-1))=0,AT60+4,2)</f>
        <v>154</v>
      </c>
      <c r="AU61" s="7" cm="1">
        <f t="array" aca="1" ref="AU61" ca="1">IF(INDIRECT("$D"&amp;(ROW(AU61)+$F$1-1))=0,AU60+4,3)</f>
        <v>155</v>
      </c>
      <c r="AV61" s="7" cm="1">
        <f t="array" aca="1" ref="AV61" ca="1">IF(INDIRECT("$D"&amp;(ROW(AV61)+$F$1-1))=0,AV60+4,4)</f>
        <v>156</v>
      </c>
      <c r="AW61" s="22" cm="1">
        <f t="array" aca="1" ref="AW61" ca="1">_xlfn.XLOOKUP(1,INDIRECT("J"&amp;ROW(K61)+$F$1):J$103,INDIRECT("D"&amp;ROW(K61)+$F$1):D$103,0,0,1)</f>
        <v>0</v>
      </c>
      <c r="AX61" s="22">
        <f t="shared" ca="1" si="3"/>
        <v>0</v>
      </c>
      <c r="AY61" s="22" cm="1">
        <f t="array" aca="1" ref="AY61" ca="1">_xlfn.XLOOKUP(AW61,D$4:D$110,H$4:H$110&amp;N$4:N$110&amp;O$4:O$110,0,0,1)</f>
        <v>0</v>
      </c>
      <c r="AZ61" s="22" cm="1">
        <f t="array" aca="1" ref="AZ61" ca="1">_xlfn.XLOOKUP(AW61,D$4:D$110,I$4:I$110&amp;P$4:P$110&amp;Q$4:Q$110,0,0,1)</f>
        <v>0</v>
      </c>
      <c r="BA61" s="14" cm="1">
        <f t="array" ref="BA61">_xlfn.XLOOKUP(1,J$4:J60,D$4:D60,0,0,-1)</f>
        <v>35</v>
      </c>
      <c r="BB61" s="14">
        <f t="shared" si="5"/>
        <v>1</v>
      </c>
      <c r="BC61" s="14" t="str" cm="1">
        <f t="array" ref="BC61">_xlfn.SWITCH(TRUE,_xlfn.XLOOKUP(BA61,D$4:D$110,TEXT(F$4:F$110,"HH"),0,0,1)="00",B59&amp;"",_xlfn.XLOOKUP(BA61,D$4:D$110,TEXT(F$4:F$110,"HH"),0,0,1)="T","00",TRUE,_xlfn.XLOOKUP(BA61,D$4:D$110,TEXT(F$4:F$110,"HH"),0,0,1))</f>
        <v>00</v>
      </c>
      <c r="BD61" s="14" t="str">
        <f t="shared" si="4"/>
        <v>000000</v>
      </c>
    </row>
    <row r="62" spans="1:56">
      <c r="A62" s="2">
        <v>59</v>
      </c>
      <c r="B62" s="5"/>
      <c r="C62" s="5"/>
      <c r="D62" s="5"/>
      <c r="E62" s="5"/>
      <c r="F62" s="5"/>
      <c r="G62" s="5"/>
      <c r="H62" s="5"/>
      <c r="I62" s="5"/>
      <c r="J62" s="5">
        <f t="shared" si="1"/>
        <v>0</v>
      </c>
      <c r="K62" s="7" t="str">
        <f t="shared" si="0"/>
        <v>terminal</v>
      </c>
      <c r="L62" s="7" t="str" cm="1">
        <f t="array" ref="L62">_xlfn.SWITCH(TRUE,$K62="PASS",TEXT($B$1,"0000"),AND($K62="STOP",E62=""),TEXT($D$1,"0000"),$K61="TERMINAL","0000",TRUE,TEXT(E62,"MMSS"))</f>
        <v>0000</v>
      </c>
      <c r="M62" s="7" t="str" cm="1">
        <f t="array" ref="M62">_xlfn.SWITCH(TRUE,$K62="PASS",TEXT($B$1,"0000"),AND($K62="STOP",F62=""),TEXT($D$1,"0000"),$K62="TERMINAL","0000",TRUE,TEXT(F62,"MMSS"))</f>
        <v>0000</v>
      </c>
      <c r="N62" t="str" cm="1">
        <f t="array" ref="N62">_xlfn.SWITCH(TRUE,AND(LEFT(L62,2)="00",K62="TERMINAL"),"00",E62="",TEXT(LEFT($D$1,2),"00"),LEFT(L62,2)="00",$D$2&amp;"",TRUE,LEFT(L62,2))</f>
        <v>00</v>
      </c>
      <c r="O62" t="str" cm="1">
        <f t="array" ref="O62">_xlfn.SWITCH(TRUE,AND(N62="00",RIGHT(L62,2)="00",K62="TERMINAL"),"00",OR(E62="",N62=LEFT($B$1,2)),TEXT(RIGHT($D$1,2),"00"),RIGHT(L62,2)="00",$D$2&amp;"",TRUE,RIGHT(L62,2))</f>
        <v>00</v>
      </c>
      <c r="P62" t="str" cm="1">
        <f t="array" ref="P62">_xlfn.SWITCH(TRUE,AND(LEFT(M62,2)="00",K62="TERMINAL"),"00",F62="",TEXT(LEFT($D$1,2),"00"),LEFT(M62,2)="00",$D$2&amp;"",TRUE,LEFT(M62,2))</f>
        <v>00</v>
      </c>
      <c r="Q62" t="str" cm="1">
        <f t="array" ref="Q62">_xlfn.SWITCH(TRUE,AND(RIGHT(M62,2)="00",K62="TERMINAL"),"00",F62="",TEXT(RIGHT($D$1,2),"00"),RIGHT(M62,2)="00",$D$2&amp;"",TRUE,RIGHT(M62,2))</f>
        <v>00</v>
      </c>
      <c r="R62" s="7" cm="1">
        <f t="array" aca="1" ref="R62" ca="1">IF(INDIRECT("$D"&amp;(ROW(R62)+$F$1-1))=0,R61,$D62)</f>
        <v>39</v>
      </c>
      <c r="S62" s="7" cm="1">
        <f t="array" aca="1" ref="S62" ca="1">IF(INDIRECT("$D"&amp;(ROW(R62)+$F$1-1))=0,S61,$D63)</f>
        <v>38</v>
      </c>
      <c r="T62" s="7" cm="1">
        <f t="array" aca="1" ref="T62" ca="1">IF(INDIRECT("$D"&amp;(ROW(R62)+$F$1-1))=0,T61,$D64)</f>
        <v>37</v>
      </c>
      <c r="U62" s="7" cm="1">
        <f t="array" aca="1" ref="U62" ca="1">IF(INDIRECT("$D"&amp;(ROW(R62)+$F$1-1))=0,U61,$D65)</f>
        <v>36</v>
      </c>
      <c r="V62" s="7" cm="1">
        <f t="array" aca="1" ref="V62" ca="1">IF(INDIRECT("$D"&amp;(ROW(R62)+$F$1-1))=0,V61,$D66)</f>
        <v>35</v>
      </c>
      <c r="W62" s="7" cm="1">
        <f t="array" aca="1" ref="W62" ca="1">IF(INDIRECT("$D"&amp;(ROW(R62)+$F$1-1))=0,W61,$D67)</f>
        <v>0</v>
      </c>
      <c r="X62" s="7" t="str" cm="1">
        <f t="array" aca="1" ref="X62" ca="1">IF(INDIRECT("$D"&amp;(ROW(R62)+$F$1-1))=0,X60,$H62&amp;$N62&amp;$O62)</f>
        <v>4630</v>
      </c>
      <c r="Y62" s="7" t="str" cm="1">
        <f t="array" aca="1" ref="Y62" ca="1">IF(INDIRECT("$D"&amp;(ROW(R62)+$F$1-1))=0,Y61,H63&amp;$N63&amp;$O63)</f>
        <v>5530</v>
      </c>
      <c r="Z62" s="7" t="str" cm="1">
        <f t="array" aca="1" ref="Z62" ca="1">IF(INDIRECT("$D"&amp;(ROW(R62)+$F$1-1))=0,Z61,H64&amp;$N64&amp;$O64)</f>
        <v>6030</v>
      </c>
      <c r="AA62" s="7" t="str" cm="1">
        <f t="array" aca="1" ref="AA62" ca="1">IF(INDIRECT("$D"&amp;(ROW(R62)+$F$1-1))=0,AA61,H65&amp;$N65&amp;$O65)</f>
        <v>0000</v>
      </c>
      <c r="AB62" s="7" t="str" cm="1">
        <f t="array" aca="1" ref="AB62" ca="1">IF(INDIRECT("$D"&amp;(ROW(R62)+$F$1-1))=0,AB61,H66&amp;$N66&amp;$O66)</f>
        <v>0560</v>
      </c>
      <c r="AC62" s="7" t="str" cm="1">
        <f t="array" aca="1" ref="AC62" ca="1">IF(INDIRECT("$D"&amp;(ROW(R62)+$F$1-1))=0,AC61,H67&amp;$N67&amp;$O67)</f>
        <v>0000</v>
      </c>
      <c r="AD62" s="7" t="str" cm="1">
        <f t="array" aca="1" ref="AD62" ca="1">IF(INDIRECT("$D"&amp;(ROW(R62)+$F$1-1))=0,AD61,I62&amp;$P62&amp;$Q62)</f>
        <v>5130</v>
      </c>
      <c r="AE62" s="7" t="str" cm="1">
        <f t="array" aca="1" ref="AE62" ca="1">IF(INDIRECT("$D"&amp;(ROW(R62)+$F$1-1))=0,AE61,I63&amp;$P63&amp;$Q63)</f>
        <v>5660</v>
      </c>
      <c r="AF62" s="7" t="str" cm="1">
        <f t="array" aca="1" ref="AF62" ca="1">IF(INDIRECT("$D"&amp;(ROW(R62)+$F$1-1))=0,AF61,I64&amp;$P64&amp;$Q64)</f>
        <v>0160</v>
      </c>
      <c r="AG62" s="7" t="str" cm="1">
        <f t="array" aca="1" ref="AG62" ca="1">IF(INDIRECT("$D"&amp;(ROW(R62)+$F$1-1))=0,AG61,I65&amp;$P65&amp;$Q65)</f>
        <v>0000</v>
      </c>
      <c r="AH62" s="7" t="str" cm="1">
        <f t="array" aca="1" ref="AH62" ca="1">IF(INDIRECT("$D"&amp;(ROW(R62)+$F$1-1))=0,AH61,I66&amp;$P66&amp;$Q66)</f>
        <v>0000</v>
      </c>
      <c r="AI62" s="7" t="str" cm="1">
        <f t="array" aca="1" ref="AI62" ca="1">IF(INDIRECT("$D"&amp;(ROW(R62)+$F$1-1))=0,AI61,I67&amp;$P67&amp;$Q67)</f>
        <v>0000</v>
      </c>
      <c r="AJ62" s="7" t="str" cm="1">
        <f t="array" ref="AJ62">TEXT($D62,"000")&amp;TEXT(IFERROR(INDEX($D$5:$D$103,_xlfn.AGGREGATE(15,6,ROW($E$5:$E$103)/(($E$5:$E$103&lt;&gt;"p")*($E$5:$E$103&lt;&gt;"t")*(ROW($E$5:$E$103)&gt;ROW($E62))),1)-ROW($E$5)+1),$D62),"000")</f>
        <v>000000</v>
      </c>
      <c r="AK62" s="22">
        <f t="shared" si="2"/>
        <v>500</v>
      </c>
      <c r="AL62" s="22" cm="1">
        <f t="array" aca="1" ref="AL62" ca="1">IF(INDIRECT("$K"&amp;(ROW(R62)+$F$1-1))="TERMINAL",1000489,489)*SIGN(AK62)</f>
        <v>1000489</v>
      </c>
      <c r="AM62" s="7" cm="1">
        <f t="array" aca="1" ref="AM62" ca="1">IF(INDIRECT("$D"&amp;(ROW(R62)+$F$1-1))=0,AM61,$G62)</f>
        <v>8</v>
      </c>
      <c r="AN62" s="7" cm="1">
        <f t="array" aca="1" ref="AN62" ca="1">IF(INDIRECT("$D"&amp;(ROW(R62)+$F$1-1))=0,AN61,$G63)</f>
        <v>0</v>
      </c>
      <c r="AO62" s="7" cm="1">
        <f t="array" aca="1" ref="AO62" ca="1">IF(INDIRECT("$D"&amp;(ROW(R62)+$F$1-1))=0,AO61,$G64)</f>
        <v>0</v>
      </c>
      <c r="AP62" s="7" cm="1">
        <f t="array" aca="1" ref="AP62" ca="1">IF(INDIRECT("$D"&amp;(ROW(R62)+$F$1-1))=0,AP61,$G65)</f>
        <v>0</v>
      </c>
      <c r="AQ62" s="7" cm="1">
        <f t="array" aca="1" ref="AQ62" ca="1">IF(INDIRECT("$D"&amp;(ROW(R62)+$F$1-1))=0,AQ61,$G66)</f>
        <v>1</v>
      </c>
      <c r="AR62" s="7" cm="1">
        <f t="array" aca="1" ref="AR62" ca="1">IF(INDIRECT("$D"&amp;(ROW(R62)+$F$1-1))=0,AR61,$G67)</f>
        <v>0</v>
      </c>
      <c r="AS62" s="7" cm="1">
        <f t="array" aca="1" ref="AS62" ca="1">IF(INDIRECT("$D"&amp;(ROW(AS62)+$F$1-1))=0,AS61+4,1)</f>
        <v>157</v>
      </c>
      <c r="AT62" s="7" cm="1">
        <f t="array" aca="1" ref="AT62" ca="1">IF(INDIRECT("$D"&amp;(ROW(AT62)+$F$1-1))=0,AT61+4,2)</f>
        <v>158</v>
      </c>
      <c r="AU62" s="7" cm="1">
        <f t="array" aca="1" ref="AU62" ca="1">IF(INDIRECT("$D"&amp;(ROW(AU62)+$F$1-1))=0,AU61+4,3)</f>
        <v>159</v>
      </c>
      <c r="AV62" s="7" cm="1">
        <f t="array" aca="1" ref="AV62" ca="1">IF(INDIRECT("$D"&amp;(ROW(AV62)+$F$1-1))=0,AV61+4,4)</f>
        <v>160</v>
      </c>
      <c r="AW62" s="22" cm="1">
        <f t="array" aca="1" ref="AW62" ca="1">_xlfn.XLOOKUP(1,INDIRECT("J"&amp;ROW(K62)+$F$1):J$103,INDIRECT("D"&amp;ROW(K62)+$F$1):D$103,0,0,1)</f>
        <v>0</v>
      </c>
      <c r="AX62" s="22">
        <f t="shared" ca="1" si="3"/>
        <v>0</v>
      </c>
      <c r="AY62" s="22" cm="1">
        <f t="array" aca="1" ref="AY62" ca="1">_xlfn.XLOOKUP(AW62,D$4:D$110,H$4:H$110&amp;N$4:N$110&amp;O$4:O$110,0,0,1)</f>
        <v>0</v>
      </c>
      <c r="AZ62" s="22" cm="1">
        <f t="array" aca="1" ref="AZ62" ca="1">_xlfn.XLOOKUP(AW62,D$4:D$110,I$4:I$110&amp;P$4:P$110&amp;Q$4:Q$110,0,0,1)</f>
        <v>0</v>
      </c>
      <c r="BA62" s="14" cm="1">
        <f t="array" ref="BA62">_xlfn.XLOOKUP(1,J$4:J61,D$4:D61,0,0,-1)</f>
        <v>35</v>
      </c>
      <c r="BB62" s="14">
        <f t="shared" si="5"/>
        <v>1</v>
      </c>
      <c r="BC62" s="14" t="str" cm="1">
        <f t="array" ref="BC62">_xlfn.SWITCH(TRUE,_xlfn.XLOOKUP(BA62,D$4:D$110,TEXT(F$4:F$110,"HH"),0,0,1)="00",B60&amp;"",_xlfn.XLOOKUP(BA62,D$4:D$110,TEXT(F$4:F$110,"HH"),0,0,1)="T","00",TRUE,_xlfn.XLOOKUP(BA62,D$4:D$110,TEXT(F$4:F$110,"HH"),0,0,1))</f>
        <v>00</v>
      </c>
      <c r="BD62" s="14" t="str">
        <f t="shared" si="4"/>
        <v>000000</v>
      </c>
    </row>
    <row r="63" spans="1:56">
      <c r="A63" s="2">
        <v>60</v>
      </c>
      <c r="B63" s="5"/>
      <c r="C63" s="5"/>
      <c r="D63" s="5"/>
      <c r="E63" s="5"/>
      <c r="F63" s="5"/>
      <c r="G63" s="5"/>
      <c r="H63" s="5"/>
      <c r="I63" s="5"/>
      <c r="J63" s="5">
        <f t="shared" si="1"/>
        <v>0</v>
      </c>
      <c r="K63" s="7" t="str">
        <f t="shared" si="0"/>
        <v>terminal</v>
      </c>
      <c r="L63" s="7" t="str" cm="1">
        <f t="array" ref="L63">_xlfn.SWITCH(TRUE,$K63="PASS",TEXT($B$1,"0000"),AND($K63="STOP",E63=""),TEXT($D$1,"0000"),$K62="TERMINAL","0000",TRUE,TEXT(E63,"MMSS"))</f>
        <v>0000</v>
      </c>
      <c r="M63" s="7" t="str" cm="1">
        <f t="array" ref="M63">_xlfn.SWITCH(TRUE,$K63="PASS",TEXT($B$1,"0000"),AND($K63="STOP",F63=""),TEXT($D$1,"0000"),$K63="TERMINAL","0000",TRUE,TEXT(F63,"MMSS"))</f>
        <v>0000</v>
      </c>
      <c r="N63" t="str" cm="1">
        <f t="array" ref="N63">_xlfn.SWITCH(TRUE,AND(LEFT(L63,2)="00",K63="TERMINAL"),"00",E63="",TEXT(LEFT($D$1,2),"00"),LEFT(L63,2)="00",$D$2&amp;"",TRUE,LEFT(L63,2))</f>
        <v>00</v>
      </c>
      <c r="O63" t="str" cm="1">
        <f t="array" ref="O63">_xlfn.SWITCH(TRUE,AND(N63="00",RIGHT(L63,2)="00",K63="TERMINAL"),"00",OR(E63="",N63=LEFT($B$1,2)),TEXT(RIGHT($D$1,2),"00"),RIGHT(L63,2)="00",$D$2&amp;"",TRUE,RIGHT(L63,2))</f>
        <v>00</v>
      </c>
      <c r="P63" t="str" cm="1">
        <f t="array" ref="P63">_xlfn.SWITCH(TRUE,AND(LEFT(M63,2)="00",K63="TERMINAL"),"00",F63="",TEXT(LEFT($D$1,2),"00"),LEFT(M63,2)="00",$D$2&amp;"",TRUE,LEFT(M63,2))</f>
        <v>00</v>
      </c>
      <c r="Q63" t="str" cm="1">
        <f t="array" ref="Q63">_xlfn.SWITCH(TRUE,AND(RIGHT(M63,2)="00",K63="TERMINAL"),"00",F63="",TEXT(RIGHT($D$1,2),"00"),RIGHT(M63,2)="00",$D$2&amp;"",TRUE,RIGHT(M63,2))</f>
        <v>00</v>
      </c>
      <c r="R63" s="7" cm="1">
        <f t="array" aca="1" ref="R63" ca="1">IF(INDIRECT("$D"&amp;(ROW(R63)+$F$1-1))=0,R62,$D63)</f>
        <v>39</v>
      </c>
      <c r="S63" s="7" cm="1">
        <f t="array" aca="1" ref="S63" ca="1">IF(INDIRECT("$D"&amp;(ROW(R63)+$F$1-1))=0,S62,$D64)</f>
        <v>38</v>
      </c>
      <c r="T63" s="7" cm="1">
        <f t="array" aca="1" ref="T63" ca="1">IF(INDIRECT("$D"&amp;(ROW(R63)+$F$1-1))=0,T62,$D65)</f>
        <v>37</v>
      </c>
      <c r="U63" s="7" cm="1">
        <f t="array" aca="1" ref="U63" ca="1">IF(INDIRECT("$D"&amp;(ROW(R63)+$F$1-1))=0,U62,$D66)</f>
        <v>36</v>
      </c>
      <c r="V63" s="7" cm="1">
        <f t="array" aca="1" ref="V63" ca="1">IF(INDIRECT("$D"&amp;(ROW(R63)+$F$1-1))=0,V62,$D67)</f>
        <v>35</v>
      </c>
      <c r="W63" s="7" cm="1">
        <f t="array" aca="1" ref="W63" ca="1">IF(INDIRECT("$D"&amp;(ROW(R63)+$F$1-1))=0,W62,$D68)</f>
        <v>0</v>
      </c>
      <c r="X63" s="7" t="str" cm="1">
        <f t="array" aca="1" ref="X63" ca="1">IF(INDIRECT("$D"&amp;(ROW(R63)+$F$1-1))=0,X61,$H63&amp;$N63&amp;$O63)</f>
        <v>5160</v>
      </c>
      <c r="Y63" s="7" t="str" cm="1">
        <f t="array" aca="1" ref="Y63" ca="1">IF(INDIRECT("$D"&amp;(ROW(R63)+$F$1-1))=0,Y62,H64&amp;$N64&amp;$O64)</f>
        <v>5530</v>
      </c>
      <c r="Z63" s="7" t="str" cm="1">
        <f t="array" aca="1" ref="Z63" ca="1">IF(INDIRECT("$D"&amp;(ROW(R63)+$F$1-1))=0,Z62,H65&amp;$N65&amp;$O65)</f>
        <v>6030</v>
      </c>
      <c r="AA63" s="7" t="str" cm="1">
        <f t="array" aca="1" ref="AA63" ca="1">IF(INDIRECT("$D"&amp;(ROW(R63)+$F$1-1))=0,AA62,H66&amp;$N66&amp;$O66)</f>
        <v>0000</v>
      </c>
      <c r="AB63" s="7" t="str" cm="1">
        <f t="array" aca="1" ref="AB63" ca="1">IF(INDIRECT("$D"&amp;(ROW(R63)+$F$1-1))=0,AB62,H67&amp;$N67&amp;$O67)</f>
        <v>0560</v>
      </c>
      <c r="AC63" s="7" t="str" cm="1">
        <f t="array" aca="1" ref="AC63" ca="1">IF(INDIRECT("$D"&amp;(ROW(R63)+$F$1-1))=0,AC62,H68&amp;$N68&amp;$O68)</f>
        <v>0000</v>
      </c>
      <c r="AD63" s="7" t="str" cm="1">
        <f t="array" aca="1" ref="AD63" ca="1">IF(INDIRECT("$D"&amp;(ROW(R63)+$F$1-1))=0,AD62,I63&amp;$P63&amp;$Q63)</f>
        <v>5130</v>
      </c>
      <c r="AE63" s="7" t="str" cm="1">
        <f t="array" aca="1" ref="AE63" ca="1">IF(INDIRECT("$D"&amp;(ROW(R63)+$F$1-1))=0,AE62,I64&amp;$P64&amp;$Q64)</f>
        <v>5660</v>
      </c>
      <c r="AF63" s="7" t="str" cm="1">
        <f t="array" aca="1" ref="AF63" ca="1">IF(INDIRECT("$D"&amp;(ROW(R63)+$F$1-1))=0,AF62,I65&amp;$P65&amp;$Q65)</f>
        <v>0160</v>
      </c>
      <c r="AG63" s="7" t="str" cm="1">
        <f t="array" aca="1" ref="AG63" ca="1">IF(INDIRECT("$D"&amp;(ROW(R63)+$F$1-1))=0,AG62,I66&amp;$P66&amp;$Q66)</f>
        <v>0000</v>
      </c>
      <c r="AH63" s="7" t="str" cm="1">
        <f t="array" aca="1" ref="AH63" ca="1">IF(INDIRECT("$D"&amp;(ROW(R63)+$F$1-1))=0,AH62,I67&amp;$P67&amp;$Q67)</f>
        <v>0000</v>
      </c>
      <c r="AI63" s="7" t="str" cm="1">
        <f t="array" aca="1" ref="AI63" ca="1">IF(INDIRECT("$D"&amp;(ROW(R63)+$F$1-1))=0,AI62,I68&amp;$P68&amp;$Q68)</f>
        <v>0000</v>
      </c>
      <c r="AJ63" s="7" t="str" cm="1">
        <f t="array" ref="AJ63">TEXT($D63,"000")&amp;TEXT(IFERROR(INDEX($D$5:$D$103,_xlfn.AGGREGATE(15,6,ROW($E$5:$E$103)/(($E$5:$E$103&lt;&gt;"p")*($E$5:$E$103&lt;&gt;"t")*(ROW($E$5:$E$103)&gt;ROW($E63))),1)-ROW($E$5)+1),$D63),"000")</f>
        <v>000000</v>
      </c>
      <c r="AK63" s="22">
        <f t="shared" si="2"/>
        <v>500</v>
      </c>
      <c r="AL63" s="22" cm="1">
        <f t="array" aca="1" ref="AL63" ca="1">IF(INDIRECT("$K"&amp;(ROW(R63)+$F$1-1))="TERMINAL",1000489,489)*SIGN(AK63)</f>
        <v>1000489</v>
      </c>
      <c r="AM63" s="7" cm="1">
        <f t="array" aca="1" ref="AM63" ca="1">IF(INDIRECT("$D"&amp;(ROW(R63)+$F$1-1))=0,AM62,$G63)</f>
        <v>8</v>
      </c>
      <c r="AN63" s="7" cm="1">
        <f t="array" aca="1" ref="AN63" ca="1">IF(INDIRECT("$D"&amp;(ROW(R63)+$F$1-1))=0,AN62,$G64)</f>
        <v>0</v>
      </c>
      <c r="AO63" s="7" cm="1">
        <f t="array" aca="1" ref="AO63" ca="1">IF(INDIRECT("$D"&amp;(ROW(R63)+$F$1-1))=0,AO62,$G65)</f>
        <v>0</v>
      </c>
      <c r="AP63" s="7" cm="1">
        <f t="array" aca="1" ref="AP63" ca="1">IF(INDIRECT("$D"&amp;(ROW(R63)+$F$1-1))=0,AP62,$G66)</f>
        <v>0</v>
      </c>
      <c r="AQ63" s="7" cm="1">
        <f t="array" aca="1" ref="AQ63" ca="1">IF(INDIRECT("$D"&amp;(ROW(R63)+$F$1-1))=0,AQ62,$G67)</f>
        <v>1</v>
      </c>
      <c r="AR63" s="7" cm="1">
        <f t="array" aca="1" ref="AR63" ca="1">IF(INDIRECT("$D"&amp;(ROW(R63)+$F$1-1))=0,AR62,$G68)</f>
        <v>0</v>
      </c>
      <c r="AS63" s="7" cm="1">
        <f t="array" aca="1" ref="AS63" ca="1">IF(INDIRECT("$D"&amp;(ROW(AS63)+$F$1-1))=0,AS62+4,1)</f>
        <v>161</v>
      </c>
      <c r="AT63" s="7" cm="1">
        <f t="array" aca="1" ref="AT63" ca="1">IF(INDIRECT("$D"&amp;(ROW(AT63)+$F$1-1))=0,AT62+4,2)</f>
        <v>162</v>
      </c>
      <c r="AU63" s="7" cm="1">
        <f t="array" aca="1" ref="AU63" ca="1">IF(INDIRECT("$D"&amp;(ROW(AU63)+$F$1-1))=0,AU62+4,3)</f>
        <v>163</v>
      </c>
      <c r="AV63" s="7" cm="1">
        <f t="array" aca="1" ref="AV63" ca="1">IF(INDIRECT("$D"&amp;(ROW(AV63)+$F$1-1))=0,AV62+4,4)</f>
        <v>164</v>
      </c>
      <c r="AW63" s="22" cm="1">
        <f t="array" aca="1" ref="AW63" ca="1">_xlfn.XLOOKUP(1,INDIRECT("J"&amp;ROW(K63)+$F$1):J$103,INDIRECT("D"&amp;ROW(K63)+$F$1):D$103,0,0,1)</f>
        <v>0</v>
      </c>
      <c r="AX63" s="22">
        <f t="shared" ca="1" si="3"/>
        <v>0</v>
      </c>
      <c r="AY63" s="22" cm="1">
        <f t="array" aca="1" ref="AY63" ca="1">_xlfn.XLOOKUP(AW63,D$4:D$110,H$4:H$110&amp;N$4:N$110&amp;O$4:O$110,0,0,1)</f>
        <v>0</v>
      </c>
      <c r="AZ63" s="22" cm="1">
        <f t="array" aca="1" ref="AZ63" ca="1">_xlfn.XLOOKUP(AW63,D$4:D$110,I$4:I$110&amp;P$4:P$110&amp;Q$4:Q$110,0,0,1)</f>
        <v>0</v>
      </c>
      <c r="BA63" s="14" cm="1">
        <f t="array" ref="BA63">_xlfn.XLOOKUP(1,J$4:J62,D$4:D62,0,0,-1)</f>
        <v>35</v>
      </c>
      <c r="BB63" s="14">
        <f t="shared" si="5"/>
        <v>1</v>
      </c>
      <c r="BC63" s="14" t="str" cm="1">
        <f t="array" ref="BC63">_xlfn.SWITCH(TRUE,_xlfn.XLOOKUP(BA63,D$4:D$110,TEXT(F$4:F$110,"HH"),0,0,1)="00",B61&amp;"",_xlfn.XLOOKUP(BA63,D$4:D$110,TEXT(F$4:F$110,"HH"),0,0,1)="T","00",TRUE,_xlfn.XLOOKUP(BA63,D$4:D$110,TEXT(F$4:F$110,"HH"),0,0,1))</f>
        <v>00</v>
      </c>
      <c r="BD63" s="14" t="str">
        <f t="shared" si="4"/>
        <v>000000</v>
      </c>
    </row>
    <row r="64" spans="1:56">
      <c r="A64" s="2">
        <v>61</v>
      </c>
      <c r="B64" s="5"/>
      <c r="C64" s="5"/>
      <c r="D64" s="5"/>
      <c r="E64" s="5"/>
      <c r="F64" s="5"/>
      <c r="G64" s="5"/>
      <c r="H64" s="5"/>
      <c r="I64" s="5"/>
      <c r="J64" s="5">
        <f t="shared" si="1"/>
        <v>0</v>
      </c>
      <c r="K64" s="7" t="str">
        <f t="shared" si="0"/>
        <v>terminal</v>
      </c>
      <c r="L64" s="7" t="str" cm="1">
        <f t="array" ref="L64">_xlfn.SWITCH(TRUE,$K64="PASS",TEXT($B$1,"0000"),AND($K64="STOP",E64=""),TEXT($D$1,"0000"),$K63="TERMINAL","0000",TRUE,TEXT(E64,"MMSS"))</f>
        <v>0000</v>
      </c>
      <c r="M64" s="7" t="str" cm="1">
        <f t="array" ref="M64">_xlfn.SWITCH(TRUE,$K64="PASS",TEXT($B$1,"0000"),AND($K64="STOP",F64=""),TEXT($D$1,"0000"),$K64="TERMINAL","0000",TRUE,TEXT(F64,"MMSS"))</f>
        <v>0000</v>
      </c>
      <c r="N64" t="str" cm="1">
        <f t="array" ref="N64">_xlfn.SWITCH(TRUE,AND(LEFT(L64,2)="00",K64="TERMINAL"),"00",E64="",TEXT(LEFT($D$1,2),"00"),LEFT(L64,2)="00",$D$2&amp;"",TRUE,LEFT(L64,2))</f>
        <v>00</v>
      </c>
      <c r="O64" t="str" cm="1">
        <f t="array" ref="O64">_xlfn.SWITCH(TRUE,AND(N64="00",RIGHT(L64,2)="00",K64="TERMINAL"),"00",OR(E64="",N64=LEFT($B$1,2)),TEXT(RIGHT($D$1,2),"00"),RIGHT(L64,2)="00",$D$2&amp;"",TRUE,RIGHT(L64,2))</f>
        <v>00</v>
      </c>
      <c r="P64" t="str" cm="1">
        <f t="array" ref="P64">_xlfn.SWITCH(TRUE,AND(LEFT(M64,2)="00",K64="TERMINAL"),"00",F64="",TEXT(LEFT($D$1,2),"00"),LEFT(M64,2)="00",$D$2&amp;"",TRUE,LEFT(M64,2))</f>
        <v>00</v>
      </c>
      <c r="Q64" t="str" cm="1">
        <f t="array" ref="Q64">_xlfn.SWITCH(TRUE,AND(RIGHT(M64,2)="00",K64="TERMINAL"),"00",F64="",TEXT(RIGHT($D$1,2),"00"),RIGHT(M64,2)="00",$D$2&amp;"",TRUE,RIGHT(M64,2))</f>
        <v>00</v>
      </c>
      <c r="R64" s="7" cm="1">
        <f t="array" aca="1" ref="R64" ca="1">IF(INDIRECT("$D"&amp;(ROW(R64)+$F$1-1))=0,R63,$D64)</f>
        <v>39</v>
      </c>
      <c r="S64" s="7" cm="1">
        <f t="array" aca="1" ref="S64" ca="1">IF(INDIRECT("$D"&amp;(ROW(R64)+$F$1-1))=0,S63,$D65)</f>
        <v>38</v>
      </c>
      <c r="T64" s="7" cm="1">
        <f t="array" aca="1" ref="T64" ca="1">IF(INDIRECT("$D"&amp;(ROW(R64)+$F$1-1))=0,T63,$D66)</f>
        <v>37</v>
      </c>
      <c r="U64" s="7" cm="1">
        <f t="array" aca="1" ref="U64" ca="1">IF(INDIRECT("$D"&amp;(ROW(R64)+$F$1-1))=0,U63,$D67)</f>
        <v>36</v>
      </c>
      <c r="V64" s="7" cm="1">
        <f t="array" aca="1" ref="V64" ca="1">IF(INDIRECT("$D"&amp;(ROW(R64)+$F$1-1))=0,V63,$D68)</f>
        <v>35</v>
      </c>
      <c r="W64" s="7" cm="1">
        <f t="array" aca="1" ref="W64" ca="1">IF(INDIRECT("$D"&amp;(ROW(R64)+$F$1-1))=0,W63,$D69)</f>
        <v>0</v>
      </c>
      <c r="X64" s="7" t="str" cm="1">
        <f t="array" aca="1" ref="X64" ca="1">IF(INDIRECT("$D"&amp;(ROW(R64)+$F$1-1))=0,X62,$H64&amp;$N64&amp;$O64)</f>
        <v>4630</v>
      </c>
      <c r="Y64" s="7" t="str" cm="1">
        <f t="array" aca="1" ref="Y64" ca="1">IF(INDIRECT("$D"&amp;(ROW(R64)+$F$1-1))=0,Y63,H65&amp;$N65&amp;$O65)</f>
        <v>5530</v>
      </c>
      <c r="Z64" s="7" t="str" cm="1">
        <f t="array" aca="1" ref="Z64" ca="1">IF(INDIRECT("$D"&amp;(ROW(R64)+$F$1-1))=0,Z63,H66&amp;$N66&amp;$O66)</f>
        <v>6030</v>
      </c>
      <c r="AA64" s="7" t="str" cm="1">
        <f t="array" aca="1" ref="AA64" ca="1">IF(INDIRECT("$D"&amp;(ROW(R64)+$F$1-1))=0,AA63,H67&amp;$N67&amp;$O67)</f>
        <v>0000</v>
      </c>
      <c r="AB64" s="7" t="str" cm="1">
        <f t="array" aca="1" ref="AB64" ca="1">IF(INDIRECT("$D"&amp;(ROW(R64)+$F$1-1))=0,AB63,H68&amp;$N68&amp;$O68)</f>
        <v>0560</v>
      </c>
      <c r="AC64" s="7" t="str" cm="1">
        <f t="array" aca="1" ref="AC64" ca="1">IF(INDIRECT("$D"&amp;(ROW(R64)+$F$1-1))=0,AC63,H69&amp;$N69&amp;$O69)</f>
        <v>0000</v>
      </c>
      <c r="AD64" s="7" t="str" cm="1">
        <f t="array" aca="1" ref="AD64" ca="1">IF(INDIRECT("$D"&amp;(ROW(R64)+$F$1-1))=0,AD63,I64&amp;$P64&amp;$Q64)</f>
        <v>5130</v>
      </c>
      <c r="AE64" s="7" t="str" cm="1">
        <f t="array" aca="1" ref="AE64" ca="1">IF(INDIRECT("$D"&amp;(ROW(R64)+$F$1-1))=0,AE63,I65&amp;$P65&amp;$Q65)</f>
        <v>5660</v>
      </c>
      <c r="AF64" s="7" t="str" cm="1">
        <f t="array" aca="1" ref="AF64" ca="1">IF(INDIRECT("$D"&amp;(ROW(R64)+$F$1-1))=0,AF63,I66&amp;$P66&amp;$Q66)</f>
        <v>0160</v>
      </c>
      <c r="AG64" s="7" t="str" cm="1">
        <f t="array" aca="1" ref="AG64" ca="1">IF(INDIRECT("$D"&amp;(ROW(R64)+$F$1-1))=0,AG63,I67&amp;$P67&amp;$Q67)</f>
        <v>0000</v>
      </c>
      <c r="AH64" s="7" t="str" cm="1">
        <f t="array" aca="1" ref="AH64" ca="1">IF(INDIRECT("$D"&amp;(ROW(R64)+$F$1-1))=0,AH63,I68&amp;$P68&amp;$Q68)</f>
        <v>0000</v>
      </c>
      <c r="AI64" s="7" t="str" cm="1">
        <f t="array" aca="1" ref="AI64" ca="1">IF(INDIRECT("$D"&amp;(ROW(R64)+$F$1-1))=0,AI63,I69&amp;$P69&amp;$Q69)</f>
        <v>0000</v>
      </c>
      <c r="AJ64" s="7" t="str" cm="1">
        <f t="array" ref="AJ64">TEXT($D64,"000")&amp;TEXT(IFERROR(INDEX($D$5:$D$103,_xlfn.AGGREGATE(15,6,ROW($E$5:$E$103)/(($E$5:$E$103&lt;&gt;"p")*($E$5:$E$103&lt;&gt;"t")*(ROW($E$5:$E$103)&gt;ROW($E64))),1)-ROW($E$5)+1),$D64),"000")</f>
        <v>000000</v>
      </c>
      <c r="AK64" s="22">
        <f t="shared" si="2"/>
        <v>500</v>
      </c>
      <c r="AL64" s="22" cm="1">
        <f t="array" aca="1" ref="AL64" ca="1">IF(INDIRECT("$K"&amp;(ROW(R64)+$F$1-1))="TERMINAL",1000489,489)*SIGN(AK64)</f>
        <v>1000489</v>
      </c>
      <c r="AM64" s="7" cm="1">
        <f t="array" aca="1" ref="AM64" ca="1">IF(INDIRECT("$D"&amp;(ROW(R64)+$F$1-1))=0,AM63,$G64)</f>
        <v>8</v>
      </c>
      <c r="AN64" s="7" cm="1">
        <f t="array" aca="1" ref="AN64" ca="1">IF(INDIRECT("$D"&amp;(ROW(R64)+$F$1-1))=0,AN63,$G65)</f>
        <v>0</v>
      </c>
      <c r="AO64" s="7" cm="1">
        <f t="array" aca="1" ref="AO64" ca="1">IF(INDIRECT("$D"&amp;(ROW(R64)+$F$1-1))=0,AO63,$G66)</f>
        <v>0</v>
      </c>
      <c r="AP64" s="7" cm="1">
        <f t="array" aca="1" ref="AP64" ca="1">IF(INDIRECT("$D"&amp;(ROW(R64)+$F$1-1))=0,AP63,$G67)</f>
        <v>0</v>
      </c>
      <c r="AQ64" s="7" cm="1">
        <f t="array" aca="1" ref="AQ64" ca="1">IF(INDIRECT("$D"&amp;(ROW(R64)+$F$1-1))=0,AQ63,$G68)</f>
        <v>1</v>
      </c>
      <c r="AR64" s="7" cm="1">
        <f t="array" aca="1" ref="AR64" ca="1">IF(INDIRECT("$D"&amp;(ROW(R64)+$F$1-1))=0,AR63,$G69)</f>
        <v>0</v>
      </c>
      <c r="AS64" s="7" cm="1">
        <f t="array" aca="1" ref="AS64" ca="1">IF(INDIRECT("$D"&amp;(ROW(AS64)+$F$1-1))=0,AS63+4,1)</f>
        <v>165</v>
      </c>
      <c r="AT64" s="7" cm="1">
        <f t="array" aca="1" ref="AT64" ca="1">IF(INDIRECT("$D"&amp;(ROW(AT64)+$F$1-1))=0,AT63+4,2)</f>
        <v>166</v>
      </c>
      <c r="AU64" s="7" cm="1">
        <f t="array" aca="1" ref="AU64" ca="1">IF(INDIRECT("$D"&amp;(ROW(AU64)+$F$1-1))=0,AU63+4,3)</f>
        <v>167</v>
      </c>
      <c r="AV64" s="7" cm="1">
        <f t="array" aca="1" ref="AV64" ca="1">IF(INDIRECT("$D"&amp;(ROW(AV64)+$F$1-1))=0,AV63+4,4)</f>
        <v>168</v>
      </c>
      <c r="AW64" s="22" cm="1">
        <f t="array" aca="1" ref="AW64" ca="1">_xlfn.XLOOKUP(1,INDIRECT("J"&amp;ROW(K64)+$F$1):J$103,INDIRECT("D"&amp;ROW(K64)+$F$1):D$103,0,0,1)</f>
        <v>0</v>
      </c>
      <c r="AX64" s="22">
        <f t="shared" ca="1" si="3"/>
        <v>0</v>
      </c>
      <c r="AY64" s="22" cm="1">
        <f t="array" aca="1" ref="AY64" ca="1">_xlfn.XLOOKUP(AW64,D$4:D$110,H$4:H$110&amp;N$4:N$110&amp;O$4:O$110,0,0,1)</f>
        <v>0</v>
      </c>
      <c r="AZ64" s="22" cm="1">
        <f t="array" aca="1" ref="AZ64" ca="1">_xlfn.XLOOKUP(AW64,D$4:D$110,I$4:I$110&amp;P$4:P$110&amp;Q$4:Q$110,0,0,1)</f>
        <v>0</v>
      </c>
      <c r="BA64" s="14" cm="1">
        <f t="array" ref="BA64">_xlfn.XLOOKUP(1,J$4:J63,D$4:D63,0,0,-1)</f>
        <v>35</v>
      </c>
      <c r="BB64" s="14">
        <f t="shared" si="5"/>
        <v>1</v>
      </c>
      <c r="BC64" s="14" t="str" cm="1">
        <f t="array" ref="BC64">_xlfn.SWITCH(TRUE,_xlfn.XLOOKUP(BA64,D$4:D$110,TEXT(F$4:F$110,"HH"),0,0,1)="00",B62&amp;"",_xlfn.XLOOKUP(BA64,D$4:D$110,TEXT(F$4:F$110,"HH"),0,0,1)="T","00",TRUE,_xlfn.XLOOKUP(BA64,D$4:D$110,TEXT(F$4:F$110,"HH"),0,0,1))</f>
        <v>00</v>
      </c>
      <c r="BD64" s="14" t="str">
        <f t="shared" si="4"/>
        <v>000000</v>
      </c>
    </row>
    <row r="65" spans="1:56">
      <c r="A65" s="2">
        <v>62</v>
      </c>
      <c r="B65" s="5"/>
      <c r="C65" s="5"/>
      <c r="D65" s="5"/>
      <c r="E65" s="5"/>
      <c r="F65" s="5"/>
      <c r="G65" s="5"/>
      <c r="H65" s="5"/>
      <c r="I65" s="5"/>
      <c r="J65" s="5">
        <f t="shared" si="1"/>
        <v>0</v>
      </c>
      <c r="K65" s="7" t="str">
        <f t="shared" si="0"/>
        <v>terminal</v>
      </c>
      <c r="L65" s="7" t="str" cm="1">
        <f t="array" ref="L65">_xlfn.SWITCH(TRUE,$K65="PASS",TEXT($B$1,"0000"),AND($K65="STOP",E65=""),TEXT($D$1,"0000"),$K64="TERMINAL","0000",TRUE,TEXT(E65,"MMSS"))</f>
        <v>0000</v>
      </c>
      <c r="M65" s="7" t="str" cm="1">
        <f t="array" ref="M65">_xlfn.SWITCH(TRUE,$K65="PASS",TEXT($B$1,"0000"),AND($K65="STOP",F65=""),TEXT($D$1,"0000"),$K65="TERMINAL","0000",TRUE,TEXT(F65,"MMSS"))</f>
        <v>0000</v>
      </c>
      <c r="N65" t="str" cm="1">
        <f t="array" ref="N65">_xlfn.SWITCH(TRUE,AND(LEFT(L65,2)="00",K65="TERMINAL"),"00",E65="",TEXT(LEFT($D$1,2),"00"),LEFT(L65,2)="00",$D$2&amp;"",TRUE,LEFT(L65,2))</f>
        <v>00</v>
      </c>
      <c r="O65" t="str" cm="1">
        <f t="array" ref="O65">_xlfn.SWITCH(TRUE,AND(N65="00",RIGHT(L65,2)="00",K65="TERMINAL"),"00",OR(E65="",N65=LEFT($B$1,2)),TEXT(RIGHT($D$1,2),"00"),RIGHT(L65,2)="00",$D$2&amp;"",TRUE,RIGHT(L65,2))</f>
        <v>00</v>
      </c>
      <c r="P65" t="str" cm="1">
        <f t="array" ref="P65">_xlfn.SWITCH(TRUE,AND(LEFT(M65,2)="00",K65="TERMINAL"),"00",F65="",TEXT(LEFT($D$1,2),"00"),LEFT(M65,2)="00",$D$2&amp;"",TRUE,LEFT(M65,2))</f>
        <v>00</v>
      </c>
      <c r="Q65" t="str" cm="1">
        <f t="array" ref="Q65">_xlfn.SWITCH(TRUE,AND(RIGHT(M65,2)="00",K65="TERMINAL"),"00",F65="",TEXT(RIGHT($D$1,2),"00"),RIGHT(M65,2)="00",$D$2&amp;"",TRUE,RIGHT(M65,2))</f>
        <v>00</v>
      </c>
      <c r="R65" s="7" cm="1">
        <f t="array" aca="1" ref="R65" ca="1">IF(INDIRECT("$D"&amp;(ROW(R65)+$F$1-1))=0,R64,$D65)</f>
        <v>39</v>
      </c>
      <c r="S65" s="7" cm="1">
        <f t="array" aca="1" ref="S65" ca="1">IF(INDIRECT("$D"&amp;(ROW(R65)+$F$1-1))=0,S64,$D66)</f>
        <v>38</v>
      </c>
      <c r="T65" s="7" cm="1">
        <f t="array" aca="1" ref="T65" ca="1">IF(INDIRECT("$D"&amp;(ROW(R65)+$F$1-1))=0,T64,$D67)</f>
        <v>37</v>
      </c>
      <c r="U65" s="7" cm="1">
        <f t="array" aca="1" ref="U65" ca="1">IF(INDIRECT("$D"&amp;(ROW(R65)+$F$1-1))=0,U64,$D68)</f>
        <v>36</v>
      </c>
      <c r="V65" s="7" cm="1">
        <f t="array" aca="1" ref="V65" ca="1">IF(INDIRECT("$D"&amp;(ROW(R65)+$F$1-1))=0,V64,$D69)</f>
        <v>35</v>
      </c>
      <c r="W65" s="7" cm="1">
        <f t="array" aca="1" ref="W65" ca="1">IF(INDIRECT("$D"&amp;(ROW(R65)+$F$1-1))=0,W64,$D70)</f>
        <v>0</v>
      </c>
      <c r="X65" s="7" t="str" cm="1">
        <f t="array" aca="1" ref="X65" ca="1">IF(INDIRECT("$D"&amp;(ROW(R65)+$F$1-1))=0,X63,$H65&amp;$N65&amp;$O65)</f>
        <v>5160</v>
      </c>
      <c r="Y65" s="7" t="str" cm="1">
        <f t="array" aca="1" ref="Y65" ca="1">IF(INDIRECT("$D"&amp;(ROW(R65)+$F$1-1))=0,Y64,H66&amp;$N66&amp;$O66)</f>
        <v>5530</v>
      </c>
      <c r="Z65" s="7" t="str" cm="1">
        <f t="array" aca="1" ref="Z65" ca="1">IF(INDIRECT("$D"&amp;(ROW(R65)+$F$1-1))=0,Z64,H67&amp;$N67&amp;$O67)</f>
        <v>6030</v>
      </c>
      <c r="AA65" s="7" t="str" cm="1">
        <f t="array" aca="1" ref="AA65" ca="1">IF(INDIRECT("$D"&amp;(ROW(R65)+$F$1-1))=0,AA64,H68&amp;$N68&amp;$O68)</f>
        <v>0000</v>
      </c>
      <c r="AB65" s="7" t="str" cm="1">
        <f t="array" aca="1" ref="AB65" ca="1">IF(INDIRECT("$D"&amp;(ROW(R65)+$F$1-1))=0,AB64,H69&amp;$N69&amp;$O69)</f>
        <v>0560</v>
      </c>
      <c r="AC65" s="7" t="str" cm="1">
        <f t="array" aca="1" ref="AC65" ca="1">IF(INDIRECT("$D"&amp;(ROW(R65)+$F$1-1))=0,AC64,H70&amp;$N70&amp;$O70)</f>
        <v>0000</v>
      </c>
      <c r="AD65" s="7" t="str" cm="1">
        <f t="array" aca="1" ref="AD65" ca="1">IF(INDIRECT("$D"&amp;(ROW(R65)+$F$1-1))=0,AD64,I65&amp;$P65&amp;$Q65)</f>
        <v>5130</v>
      </c>
      <c r="AE65" s="7" t="str" cm="1">
        <f t="array" aca="1" ref="AE65" ca="1">IF(INDIRECT("$D"&amp;(ROW(R65)+$F$1-1))=0,AE64,I66&amp;$P66&amp;$Q66)</f>
        <v>5660</v>
      </c>
      <c r="AF65" s="7" t="str" cm="1">
        <f t="array" aca="1" ref="AF65" ca="1">IF(INDIRECT("$D"&amp;(ROW(R65)+$F$1-1))=0,AF64,I67&amp;$P67&amp;$Q67)</f>
        <v>0160</v>
      </c>
      <c r="AG65" s="7" t="str" cm="1">
        <f t="array" aca="1" ref="AG65" ca="1">IF(INDIRECT("$D"&amp;(ROW(R65)+$F$1-1))=0,AG64,I68&amp;$P68&amp;$Q68)</f>
        <v>0000</v>
      </c>
      <c r="AH65" s="7" t="str" cm="1">
        <f t="array" aca="1" ref="AH65" ca="1">IF(INDIRECT("$D"&amp;(ROW(R65)+$F$1-1))=0,AH64,I69&amp;$P69&amp;$Q69)</f>
        <v>0000</v>
      </c>
      <c r="AI65" s="7" t="str" cm="1">
        <f t="array" aca="1" ref="AI65" ca="1">IF(INDIRECT("$D"&amp;(ROW(R65)+$F$1-1))=0,AI64,I70&amp;$P70&amp;$Q70)</f>
        <v>0000</v>
      </c>
      <c r="AJ65" s="7" t="str" cm="1">
        <f t="array" ref="AJ65">TEXT($D65,"000")&amp;TEXT(IFERROR(INDEX($D$5:$D$103,_xlfn.AGGREGATE(15,6,ROW($E$5:$E$103)/(($E$5:$E$103&lt;&gt;"p")*($E$5:$E$103&lt;&gt;"t")*(ROW($E$5:$E$103)&gt;ROW($E65))),1)-ROW($E$5)+1),$D65),"000")</f>
        <v>000000</v>
      </c>
      <c r="AK65" s="22">
        <f t="shared" si="2"/>
        <v>500</v>
      </c>
      <c r="AL65" s="22" cm="1">
        <f t="array" aca="1" ref="AL65" ca="1">IF(INDIRECT("$K"&amp;(ROW(R65)+$F$1-1))="TERMINAL",1000489,489)*SIGN(AK65)</f>
        <v>1000489</v>
      </c>
      <c r="AM65" s="7" cm="1">
        <f t="array" aca="1" ref="AM65" ca="1">IF(INDIRECT("$D"&amp;(ROW(R65)+$F$1-1))=0,AM64,$G65)</f>
        <v>8</v>
      </c>
      <c r="AN65" s="7" cm="1">
        <f t="array" aca="1" ref="AN65" ca="1">IF(INDIRECT("$D"&amp;(ROW(R65)+$F$1-1))=0,AN64,$G66)</f>
        <v>0</v>
      </c>
      <c r="AO65" s="7" cm="1">
        <f t="array" aca="1" ref="AO65" ca="1">IF(INDIRECT("$D"&amp;(ROW(R65)+$F$1-1))=0,AO64,$G67)</f>
        <v>0</v>
      </c>
      <c r="AP65" s="7" cm="1">
        <f t="array" aca="1" ref="AP65" ca="1">IF(INDIRECT("$D"&amp;(ROW(R65)+$F$1-1))=0,AP64,$G68)</f>
        <v>0</v>
      </c>
      <c r="AQ65" s="7" cm="1">
        <f t="array" aca="1" ref="AQ65" ca="1">IF(INDIRECT("$D"&amp;(ROW(R65)+$F$1-1))=0,AQ64,$G69)</f>
        <v>1</v>
      </c>
      <c r="AR65" s="7" cm="1">
        <f t="array" aca="1" ref="AR65" ca="1">IF(INDIRECT("$D"&amp;(ROW(R65)+$F$1-1))=0,AR64,$G70)</f>
        <v>0</v>
      </c>
      <c r="AS65" s="7" cm="1">
        <f t="array" aca="1" ref="AS65" ca="1">IF(INDIRECT("$D"&amp;(ROW(AS65)+$F$1-1))=0,AS64+4,1)</f>
        <v>169</v>
      </c>
      <c r="AT65" s="7" cm="1">
        <f t="array" aca="1" ref="AT65" ca="1">IF(INDIRECT("$D"&amp;(ROW(AT65)+$F$1-1))=0,AT64+4,2)</f>
        <v>170</v>
      </c>
      <c r="AU65" s="7" cm="1">
        <f t="array" aca="1" ref="AU65" ca="1">IF(INDIRECT("$D"&amp;(ROW(AU65)+$F$1-1))=0,AU64+4,3)</f>
        <v>171</v>
      </c>
      <c r="AV65" s="7" cm="1">
        <f t="array" aca="1" ref="AV65" ca="1">IF(INDIRECT("$D"&amp;(ROW(AV65)+$F$1-1))=0,AV64+4,4)</f>
        <v>172</v>
      </c>
      <c r="AW65" s="22" cm="1">
        <f t="array" aca="1" ref="AW65" ca="1">_xlfn.XLOOKUP(1,INDIRECT("J"&amp;ROW(K65)+$F$1):J$103,INDIRECT("D"&amp;ROW(K65)+$F$1):D$103,0,0,1)</f>
        <v>0</v>
      </c>
      <c r="AX65" s="22">
        <f t="shared" ca="1" si="3"/>
        <v>0</v>
      </c>
      <c r="AY65" s="22" cm="1">
        <f t="array" aca="1" ref="AY65" ca="1">_xlfn.XLOOKUP(AW65,D$4:D$110,H$4:H$110&amp;N$4:N$110&amp;O$4:O$110,0,0,1)</f>
        <v>0</v>
      </c>
      <c r="AZ65" s="22" cm="1">
        <f t="array" aca="1" ref="AZ65" ca="1">_xlfn.XLOOKUP(AW65,D$4:D$110,I$4:I$110&amp;P$4:P$110&amp;Q$4:Q$110,0,0,1)</f>
        <v>0</v>
      </c>
      <c r="BA65" s="14" cm="1">
        <f t="array" ref="BA65">_xlfn.XLOOKUP(1,J$4:J64,D$4:D64,0,0,-1)</f>
        <v>35</v>
      </c>
      <c r="BB65" s="14">
        <f t="shared" si="5"/>
        <v>1</v>
      </c>
      <c r="BC65" s="14" t="str" cm="1">
        <f t="array" ref="BC65">_xlfn.SWITCH(TRUE,_xlfn.XLOOKUP(BA65,D$4:D$110,TEXT(F$4:F$110,"HH"),0,0,1)="00",B63&amp;"",_xlfn.XLOOKUP(BA65,D$4:D$110,TEXT(F$4:F$110,"HH"),0,0,1)="T","00",TRUE,_xlfn.XLOOKUP(BA65,D$4:D$110,TEXT(F$4:F$110,"HH"),0,0,1))</f>
        <v>00</v>
      </c>
      <c r="BD65" s="14" t="str">
        <f t="shared" si="4"/>
        <v>000000</v>
      </c>
    </row>
    <row r="66" spans="1:56">
      <c r="A66" s="2">
        <v>63</v>
      </c>
      <c r="B66" s="5"/>
      <c r="C66" s="5"/>
      <c r="D66" s="5"/>
      <c r="E66" s="5"/>
      <c r="F66" s="5"/>
      <c r="G66" s="5"/>
      <c r="H66" s="5"/>
      <c r="I66" s="5"/>
      <c r="J66" s="5">
        <f t="shared" si="1"/>
        <v>0</v>
      </c>
      <c r="K66" s="7" t="str">
        <f t="shared" si="0"/>
        <v>terminal</v>
      </c>
      <c r="L66" s="7" t="str" cm="1">
        <f t="array" ref="L66">_xlfn.SWITCH(TRUE,$K66="PASS",TEXT($B$1,"0000"),AND($K66="STOP",E66=""),TEXT($D$1,"0000"),$K65="TERMINAL","0000",TRUE,TEXT(E66,"MMSS"))</f>
        <v>0000</v>
      </c>
      <c r="M66" s="7" t="str" cm="1">
        <f t="array" ref="M66">_xlfn.SWITCH(TRUE,$K66="PASS",TEXT($B$1,"0000"),AND($K66="STOP",F66=""),TEXT($D$1,"0000"),$K66="TERMINAL","0000",TRUE,TEXT(F66,"MMSS"))</f>
        <v>0000</v>
      </c>
      <c r="N66" t="str" cm="1">
        <f t="array" ref="N66">_xlfn.SWITCH(TRUE,AND(LEFT(L66,2)="00",K66="TERMINAL"),"00",E66="",TEXT(LEFT($D$1,2),"00"),LEFT(L66,2)="00",$D$2&amp;"",TRUE,LEFT(L66,2))</f>
        <v>00</v>
      </c>
      <c r="O66" t="str" cm="1">
        <f t="array" ref="O66">_xlfn.SWITCH(TRUE,AND(N66="00",RIGHT(L66,2)="00",K66="TERMINAL"),"00",OR(E66="",N66=LEFT($B$1,2)),TEXT(RIGHT($D$1,2),"00"),RIGHT(L66,2)="00",$D$2&amp;"",TRUE,RIGHT(L66,2))</f>
        <v>00</v>
      </c>
      <c r="P66" t="str" cm="1">
        <f t="array" ref="P66">_xlfn.SWITCH(TRUE,AND(LEFT(M66,2)="00",K66="TERMINAL"),"00",F66="",TEXT(LEFT($D$1,2),"00"),LEFT(M66,2)="00",$D$2&amp;"",TRUE,LEFT(M66,2))</f>
        <v>00</v>
      </c>
      <c r="Q66" t="str" cm="1">
        <f t="array" ref="Q66">_xlfn.SWITCH(TRUE,AND(RIGHT(M66,2)="00",K66="TERMINAL"),"00",F66="",TEXT(RIGHT($D$1,2),"00"),RIGHT(M66,2)="00",$D$2&amp;"",TRUE,RIGHT(M66,2))</f>
        <v>00</v>
      </c>
      <c r="R66" s="7" cm="1">
        <f t="array" aca="1" ref="R66" ca="1">IF(INDIRECT("$D"&amp;(ROW(R66)+$F$1-1))=0,R65,$D66)</f>
        <v>39</v>
      </c>
      <c r="S66" s="7" cm="1">
        <f t="array" aca="1" ref="S66" ca="1">IF(INDIRECT("$D"&amp;(ROW(R66)+$F$1-1))=0,S65,$D67)</f>
        <v>38</v>
      </c>
      <c r="T66" s="7" cm="1">
        <f t="array" aca="1" ref="T66" ca="1">IF(INDIRECT("$D"&amp;(ROW(R66)+$F$1-1))=0,T65,$D68)</f>
        <v>37</v>
      </c>
      <c r="U66" s="7" cm="1">
        <f t="array" aca="1" ref="U66" ca="1">IF(INDIRECT("$D"&amp;(ROW(R66)+$F$1-1))=0,U65,$D69)</f>
        <v>36</v>
      </c>
      <c r="V66" s="7" cm="1">
        <f t="array" aca="1" ref="V66" ca="1">IF(INDIRECT("$D"&amp;(ROW(R66)+$F$1-1))=0,V65,$D70)</f>
        <v>35</v>
      </c>
      <c r="W66" s="7" cm="1">
        <f t="array" aca="1" ref="W66" ca="1">IF(INDIRECT("$D"&amp;(ROW(R66)+$F$1-1))=0,W65,$D71)</f>
        <v>0</v>
      </c>
      <c r="X66" s="7" t="str" cm="1">
        <f t="array" aca="1" ref="X66" ca="1">IF(INDIRECT("$D"&amp;(ROW(R66)+$F$1-1))=0,X64,$H66&amp;$N66&amp;$O66)</f>
        <v>4630</v>
      </c>
      <c r="Y66" s="7" t="str" cm="1">
        <f t="array" aca="1" ref="Y66" ca="1">IF(INDIRECT("$D"&amp;(ROW(R66)+$F$1-1))=0,Y65,H67&amp;$N67&amp;$O67)</f>
        <v>5530</v>
      </c>
      <c r="Z66" s="7" t="str" cm="1">
        <f t="array" aca="1" ref="Z66" ca="1">IF(INDIRECT("$D"&amp;(ROW(R66)+$F$1-1))=0,Z65,H68&amp;$N68&amp;$O68)</f>
        <v>6030</v>
      </c>
      <c r="AA66" s="7" t="str" cm="1">
        <f t="array" aca="1" ref="AA66" ca="1">IF(INDIRECT("$D"&amp;(ROW(R66)+$F$1-1))=0,AA65,H69&amp;$N69&amp;$O69)</f>
        <v>0000</v>
      </c>
      <c r="AB66" s="7" t="str" cm="1">
        <f t="array" aca="1" ref="AB66" ca="1">IF(INDIRECT("$D"&amp;(ROW(R66)+$F$1-1))=0,AB65,H70&amp;$N70&amp;$O70)</f>
        <v>0560</v>
      </c>
      <c r="AC66" s="7" t="str" cm="1">
        <f t="array" aca="1" ref="AC66" ca="1">IF(INDIRECT("$D"&amp;(ROW(R66)+$F$1-1))=0,AC65,H71&amp;$N71&amp;$O71)</f>
        <v>0000</v>
      </c>
      <c r="AD66" s="7" t="str" cm="1">
        <f t="array" aca="1" ref="AD66" ca="1">IF(INDIRECT("$D"&amp;(ROW(R66)+$F$1-1))=0,AD65,I66&amp;$P66&amp;$Q66)</f>
        <v>5130</v>
      </c>
      <c r="AE66" s="7" t="str" cm="1">
        <f t="array" aca="1" ref="AE66" ca="1">IF(INDIRECT("$D"&amp;(ROW(R66)+$F$1-1))=0,AE65,I67&amp;$P67&amp;$Q67)</f>
        <v>5660</v>
      </c>
      <c r="AF66" s="7" t="str" cm="1">
        <f t="array" aca="1" ref="AF66" ca="1">IF(INDIRECT("$D"&amp;(ROW(R66)+$F$1-1))=0,AF65,I68&amp;$P68&amp;$Q68)</f>
        <v>0160</v>
      </c>
      <c r="AG66" s="7" t="str" cm="1">
        <f t="array" aca="1" ref="AG66" ca="1">IF(INDIRECT("$D"&amp;(ROW(R66)+$F$1-1))=0,AG65,I69&amp;$P69&amp;$Q69)</f>
        <v>0000</v>
      </c>
      <c r="AH66" s="7" t="str" cm="1">
        <f t="array" aca="1" ref="AH66" ca="1">IF(INDIRECT("$D"&amp;(ROW(R66)+$F$1-1))=0,AH65,I70&amp;$P70&amp;$Q70)</f>
        <v>0000</v>
      </c>
      <c r="AI66" s="7" t="str" cm="1">
        <f t="array" aca="1" ref="AI66" ca="1">IF(INDIRECT("$D"&amp;(ROW(R66)+$F$1-1))=0,AI65,I71&amp;$P71&amp;$Q71)</f>
        <v>0000</v>
      </c>
      <c r="AJ66" s="7" t="str" cm="1">
        <f t="array" ref="AJ66">TEXT($D66,"000")&amp;TEXT(IFERROR(INDEX($D$5:$D$103,_xlfn.AGGREGATE(15,6,ROW($E$5:$E$103)/(($E$5:$E$103&lt;&gt;"p")*($E$5:$E$103&lt;&gt;"t")*(ROW($E$5:$E$103)&gt;ROW($E66))),1)-ROW($E$5)+1),$D66),"000")</f>
        <v>000000</v>
      </c>
      <c r="AK66" s="22">
        <f t="shared" si="2"/>
        <v>500</v>
      </c>
      <c r="AL66" s="22" cm="1">
        <f t="array" aca="1" ref="AL66" ca="1">IF(INDIRECT("$K"&amp;(ROW(R66)+$F$1-1))="TERMINAL",1000489,489)*SIGN(AK66)</f>
        <v>1000489</v>
      </c>
      <c r="AM66" s="7" cm="1">
        <f t="array" aca="1" ref="AM66" ca="1">IF(INDIRECT("$D"&amp;(ROW(R66)+$F$1-1))=0,AM65,$G66)</f>
        <v>8</v>
      </c>
      <c r="AN66" s="7" cm="1">
        <f t="array" aca="1" ref="AN66" ca="1">IF(INDIRECT("$D"&amp;(ROW(R66)+$F$1-1))=0,AN65,$G67)</f>
        <v>0</v>
      </c>
      <c r="AO66" s="7" cm="1">
        <f t="array" aca="1" ref="AO66" ca="1">IF(INDIRECT("$D"&amp;(ROW(R66)+$F$1-1))=0,AO65,$G68)</f>
        <v>0</v>
      </c>
      <c r="AP66" s="7" cm="1">
        <f t="array" aca="1" ref="AP66" ca="1">IF(INDIRECT("$D"&amp;(ROW(R66)+$F$1-1))=0,AP65,$G69)</f>
        <v>0</v>
      </c>
      <c r="AQ66" s="7" cm="1">
        <f t="array" aca="1" ref="AQ66" ca="1">IF(INDIRECT("$D"&amp;(ROW(R66)+$F$1-1))=0,AQ65,$G70)</f>
        <v>1</v>
      </c>
      <c r="AR66" s="7" cm="1">
        <f t="array" aca="1" ref="AR66" ca="1">IF(INDIRECT("$D"&amp;(ROW(R66)+$F$1-1))=0,AR65,$G71)</f>
        <v>0</v>
      </c>
      <c r="AS66" s="7" cm="1">
        <f t="array" aca="1" ref="AS66" ca="1">IF(INDIRECT("$D"&amp;(ROW(AS66)+$F$1-1))=0,AS65+4,1)</f>
        <v>173</v>
      </c>
      <c r="AT66" s="7" cm="1">
        <f t="array" aca="1" ref="AT66" ca="1">IF(INDIRECT("$D"&amp;(ROW(AT66)+$F$1-1))=0,AT65+4,2)</f>
        <v>174</v>
      </c>
      <c r="AU66" s="7" cm="1">
        <f t="array" aca="1" ref="AU66" ca="1">IF(INDIRECT("$D"&amp;(ROW(AU66)+$F$1-1))=0,AU65+4,3)</f>
        <v>175</v>
      </c>
      <c r="AV66" s="7" cm="1">
        <f t="array" aca="1" ref="AV66" ca="1">IF(INDIRECT("$D"&amp;(ROW(AV66)+$F$1-1))=0,AV65+4,4)</f>
        <v>176</v>
      </c>
      <c r="AW66" s="22" cm="1">
        <f t="array" aca="1" ref="AW66" ca="1">_xlfn.XLOOKUP(1,INDIRECT("J"&amp;ROW(K66)+$F$1):J$103,INDIRECT("D"&amp;ROW(K66)+$F$1):D$103,0,0,1)</f>
        <v>0</v>
      </c>
      <c r="AX66" s="22">
        <f t="shared" ca="1" si="3"/>
        <v>0</v>
      </c>
      <c r="AY66" s="22" cm="1">
        <f t="array" aca="1" ref="AY66" ca="1">_xlfn.XLOOKUP(AW66,D$4:D$110,H$4:H$110&amp;N$4:N$110&amp;O$4:O$110,0,0,1)</f>
        <v>0</v>
      </c>
      <c r="AZ66" s="22" cm="1">
        <f t="array" aca="1" ref="AZ66" ca="1">_xlfn.XLOOKUP(AW66,D$4:D$110,I$4:I$110&amp;P$4:P$110&amp;Q$4:Q$110,0,0,1)</f>
        <v>0</v>
      </c>
      <c r="BA66" s="14" cm="1">
        <f t="array" ref="BA66">_xlfn.XLOOKUP(1,J$4:J65,D$4:D65,0,0,-1)</f>
        <v>35</v>
      </c>
      <c r="BB66" s="14">
        <f t="shared" si="5"/>
        <v>1</v>
      </c>
      <c r="BC66" s="14" t="str" cm="1">
        <f t="array" ref="BC66">_xlfn.SWITCH(TRUE,_xlfn.XLOOKUP(BA66,D$4:D$110,TEXT(F$4:F$110,"HH"),0,0,1)="00",B64&amp;"",_xlfn.XLOOKUP(BA66,D$4:D$110,TEXT(F$4:F$110,"HH"),0,0,1)="T","00",TRUE,_xlfn.XLOOKUP(BA66,D$4:D$110,TEXT(F$4:F$110,"HH"),0,0,1))</f>
        <v>00</v>
      </c>
      <c r="BD66" s="14" t="str">
        <f t="shared" si="4"/>
        <v>000000</v>
      </c>
    </row>
    <row r="67" spans="1:56">
      <c r="A67" s="2">
        <v>64</v>
      </c>
      <c r="B67" s="5"/>
      <c r="C67" s="5"/>
      <c r="D67" s="5"/>
      <c r="E67" s="5"/>
      <c r="F67" s="5"/>
      <c r="G67" s="5"/>
      <c r="H67" s="5"/>
      <c r="I67" s="5"/>
      <c r="J67" s="5">
        <f t="shared" si="1"/>
        <v>0</v>
      </c>
      <c r="K67" s="7" t="str">
        <f t="shared" si="0"/>
        <v>terminal</v>
      </c>
      <c r="L67" s="7" t="str" cm="1">
        <f t="array" ref="L67">_xlfn.SWITCH(TRUE,$K67="PASS",TEXT($B$1,"0000"),AND($K67="STOP",E67=""),TEXT($D$1,"0000"),$K66="TERMINAL","0000",TRUE,TEXT(E67,"MMSS"))</f>
        <v>0000</v>
      </c>
      <c r="M67" s="7" t="str" cm="1">
        <f t="array" ref="M67">_xlfn.SWITCH(TRUE,$K67="PASS",TEXT($B$1,"0000"),AND($K67="STOP",F67=""),TEXT($D$1,"0000"),$K67="TERMINAL","0000",TRUE,TEXT(F67,"MMSS"))</f>
        <v>0000</v>
      </c>
      <c r="N67" t="str" cm="1">
        <f t="array" ref="N67">_xlfn.SWITCH(TRUE,AND(LEFT(L67,2)="00",K67="TERMINAL"),"00",E67="",TEXT(LEFT($D$1,2),"00"),LEFT(L67,2)="00",$D$2&amp;"",TRUE,LEFT(L67,2))</f>
        <v>00</v>
      </c>
      <c r="O67" t="str" cm="1">
        <f t="array" ref="O67">_xlfn.SWITCH(TRUE,AND(N67="00",RIGHT(L67,2)="00",K67="TERMINAL"),"00",OR(E67="",N67=LEFT($B$1,2)),TEXT(RIGHT($D$1,2),"00"),RIGHT(L67,2)="00",$D$2&amp;"",TRUE,RIGHT(L67,2))</f>
        <v>00</v>
      </c>
      <c r="P67" t="str" cm="1">
        <f t="array" ref="P67">_xlfn.SWITCH(TRUE,AND(LEFT(M67,2)="00",K67="TERMINAL"),"00",F67="",TEXT(LEFT($D$1,2),"00"),LEFT(M67,2)="00",$D$2&amp;"",TRUE,LEFT(M67,2))</f>
        <v>00</v>
      </c>
      <c r="Q67" t="str" cm="1">
        <f t="array" ref="Q67">_xlfn.SWITCH(TRUE,AND(RIGHT(M67,2)="00",K67="TERMINAL"),"00",F67="",TEXT(RIGHT($D$1,2),"00"),RIGHT(M67,2)="00",$D$2&amp;"",TRUE,RIGHT(M67,2))</f>
        <v>00</v>
      </c>
      <c r="R67" s="7" cm="1">
        <f t="array" aca="1" ref="R67" ca="1">IF(INDIRECT("$D"&amp;(ROW(R67)+$F$1-1))=0,R66,$D67)</f>
        <v>39</v>
      </c>
      <c r="S67" s="7" cm="1">
        <f t="array" aca="1" ref="S67" ca="1">IF(INDIRECT("$D"&amp;(ROW(R67)+$F$1-1))=0,S66,$D68)</f>
        <v>38</v>
      </c>
      <c r="T67" s="7" cm="1">
        <f t="array" aca="1" ref="T67" ca="1">IF(INDIRECT("$D"&amp;(ROW(R67)+$F$1-1))=0,T66,$D69)</f>
        <v>37</v>
      </c>
      <c r="U67" s="7" cm="1">
        <f t="array" aca="1" ref="U67" ca="1">IF(INDIRECT("$D"&amp;(ROW(R67)+$F$1-1))=0,U66,$D70)</f>
        <v>36</v>
      </c>
      <c r="V67" s="7" cm="1">
        <f t="array" aca="1" ref="V67" ca="1">IF(INDIRECT("$D"&amp;(ROW(R67)+$F$1-1))=0,V66,$D71)</f>
        <v>35</v>
      </c>
      <c r="W67" s="7" cm="1">
        <f t="array" aca="1" ref="W67" ca="1">IF(INDIRECT("$D"&amp;(ROW(R67)+$F$1-1))=0,W66,$D72)</f>
        <v>0</v>
      </c>
      <c r="X67" s="7" t="str" cm="1">
        <f t="array" aca="1" ref="X67" ca="1">IF(INDIRECT("$D"&amp;(ROW(R67)+$F$1-1))=0,X65,$H67&amp;$N67&amp;$O67)</f>
        <v>5160</v>
      </c>
      <c r="Y67" s="7" t="str" cm="1">
        <f t="array" aca="1" ref="Y67" ca="1">IF(INDIRECT("$D"&amp;(ROW(R67)+$F$1-1))=0,Y66,H68&amp;$N68&amp;$O68)</f>
        <v>5530</v>
      </c>
      <c r="Z67" s="7" t="str" cm="1">
        <f t="array" aca="1" ref="Z67" ca="1">IF(INDIRECT("$D"&amp;(ROW(R67)+$F$1-1))=0,Z66,H69&amp;$N69&amp;$O69)</f>
        <v>6030</v>
      </c>
      <c r="AA67" s="7" t="str" cm="1">
        <f t="array" aca="1" ref="AA67" ca="1">IF(INDIRECT("$D"&amp;(ROW(R67)+$F$1-1))=0,AA66,H70&amp;$N70&amp;$O70)</f>
        <v>0000</v>
      </c>
      <c r="AB67" s="7" t="str" cm="1">
        <f t="array" aca="1" ref="AB67" ca="1">IF(INDIRECT("$D"&amp;(ROW(R67)+$F$1-1))=0,AB66,H71&amp;$N71&amp;$O71)</f>
        <v>0560</v>
      </c>
      <c r="AC67" s="7" t="str" cm="1">
        <f t="array" aca="1" ref="AC67" ca="1">IF(INDIRECT("$D"&amp;(ROW(R67)+$F$1-1))=0,AC66,H72&amp;$N72&amp;$O72)</f>
        <v>0000</v>
      </c>
      <c r="AD67" s="7" t="str" cm="1">
        <f t="array" aca="1" ref="AD67" ca="1">IF(INDIRECT("$D"&amp;(ROW(R67)+$F$1-1))=0,AD66,I67&amp;$P67&amp;$Q67)</f>
        <v>5130</v>
      </c>
      <c r="AE67" s="7" t="str" cm="1">
        <f t="array" aca="1" ref="AE67" ca="1">IF(INDIRECT("$D"&amp;(ROW(R67)+$F$1-1))=0,AE66,I68&amp;$P68&amp;$Q68)</f>
        <v>5660</v>
      </c>
      <c r="AF67" s="7" t="str" cm="1">
        <f t="array" aca="1" ref="AF67" ca="1">IF(INDIRECT("$D"&amp;(ROW(R67)+$F$1-1))=0,AF66,I69&amp;$P69&amp;$Q69)</f>
        <v>0160</v>
      </c>
      <c r="AG67" s="7" t="str" cm="1">
        <f t="array" aca="1" ref="AG67" ca="1">IF(INDIRECT("$D"&amp;(ROW(R67)+$F$1-1))=0,AG66,I70&amp;$P70&amp;$Q70)</f>
        <v>0000</v>
      </c>
      <c r="AH67" s="7" t="str" cm="1">
        <f t="array" aca="1" ref="AH67" ca="1">IF(INDIRECT("$D"&amp;(ROW(R67)+$F$1-1))=0,AH66,I71&amp;$P71&amp;$Q71)</f>
        <v>0000</v>
      </c>
      <c r="AI67" s="7" t="str" cm="1">
        <f t="array" aca="1" ref="AI67" ca="1">IF(INDIRECT("$D"&amp;(ROW(R67)+$F$1-1))=0,AI66,I72&amp;$P72&amp;$Q72)</f>
        <v>0000</v>
      </c>
      <c r="AJ67" s="7" t="str" cm="1">
        <f t="array" ref="AJ67">TEXT($D67,"000")&amp;TEXT(IFERROR(INDEX($D$5:$D$103,_xlfn.AGGREGATE(15,6,ROW($E$5:$E$103)/(($E$5:$E$103&lt;&gt;"p")*($E$5:$E$103&lt;&gt;"t")*(ROW($E$5:$E$103)&gt;ROW($E67))),1)-ROW($E$5)+1),$D67),"000")</f>
        <v>000000</v>
      </c>
      <c r="AK67" s="22">
        <f t="shared" si="2"/>
        <v>500</v>
      </c>
      <c r="AL67" s="22" cm="1">
        <f t="array" aca="1" ref="AL67" ca="1">IF(INDIRECT("$K"&amp;(ROW(R67)+$F$1-1))="TERMINAL",1000489,489)*SIGN(AK67)</f>
        <v>1000489</v>
      </c>
      <c r="AM67" s="7" cm="1">
        <f t="array" aca="1" ref="AM67" ca="1">IF(INDIRECT("$D"&amp;(ROW(R67)+$F$1-1))=0,AM66,$G67)</f>
        <v>8</v>
      </c>
      <c r="AN67" s="7" cm="1">
        <f t="array" aca="1" ref="AN67" ca="1">IF(INDIRECT("$D"&amp;(ROW(R67)+$F$1-1))=0,AN66,$G68)</f>
        <v>0</v>
      </c>
      <c r="AO67" s="7" cm="1">
        <f t="array" aca="1" ref="AO67" ca="1">IF(INDIRECT("$D"&amp;(ROW(R67)+$F$1-1))=0,AO66,$G69)</f>
        <v>0</v>
      </c>
      <c r="AP67" s="7" cm="1">
        <f t="array" aca="1" ref="AP67" ca="1">IF(INDIRECT("$D"&amp;(ROW(R67)+$F$1-1))=0,AP66,$G70)</f>
        <v>0</v>
      </c>
      <c r="AQ67" s="7" cm="1">
        <f t="array" aca="1" ref="AQ67" ca="1">IF(INDIRECT("$D"&amp;(ROW(R67)+$F$1-1))=0,AQ66,$G71)</f>
        <v>1</v>
      </c>
      <c r="AR67" s="7" cm="1">
        <f t="array" aca="1" ref="AR67" ca="1">IF(INDIRECT("$D"&amp;(ROW(R67)+$F$1-1))=0,AR66,$G72)</f>
        <v>0</v>
      </c>
      <c r="AS67" s="7" cm="1">
        <f t="array" aca="1" ref="AS67" ca="1">IF(INDIRECT("$D"&amp;(ROW(AS67)+$F$1-1))=0,AS66+4,1)</f>
        <v>177</v>
      </c>
      <c r="AT67" s="7" cm="1">
        <f t="array" aca="1" ref="AT67" ca="1">IF(INDIRECT("$D"&amp;(ROW(AT67)+$F$1-1))=0,AT66+4,2)</f>
        <v>178</v>
      </c>
      <c r="AU67" s="7" cm="1">
        <f t="array" aca="1" ref="AU67" ca="1">IF(INDIRECT("$D"&amp;(ROW(AU67)+$F$1-1))=0,AU66+4,3)</f>
        <v>179</v>
      </c>
      <c r="AV67" s="7" cm="1">
        <f t="array" aca="1" ref="AV67" ca="1">IF(INDIRECT("$D"&amp;(ROW(AV67)+$F$1-1))=0,AV66+4,4)</f>
        <v>180</v>
      </c>
      <c r="AW67" s="22" cm="1">
        <f t="array" aca="1" ref="AW67" ca="1">_xlfn.XLOOKUP(1,INDIRECT("J"&amp;ROW(K67)+$F$1):J$103,INDIRECT("D"&amp;ROW(K67)+$F$1):D$103,0,0,1)</f>
        <v>0</v>
      </c>
      <c r="AX67" s="22">
        <f t="shared" ca="1" si="3"/>
        <v>0</v>
      </c>
      <c r="AY67" s="22" cm="1">
        <f t="array" aca="1" ref="AY67" ca="1">_xlfn.XLOOKUP(AW67,D$4:D$110,H$4:H$110&amp;N$4:N$110&amp;O$4:O$110,0,0,1)</f>
        <v>0</v>
      </c>
      <c r="AZ67" s="22" cm="1">
        <f t="array" aca="1" ref="AZ67" ca="1">_xlfn.XLOOKUP(AW67,D$4:D$110,I$4:I$110&amp;P$4:P$110&amp;Q$4:Q$110,0,0,1)</f>
        <v>0</v>
      </c>
      <c r="BA67" s="14" cm="1">
        <f t="array" ref="BA67">_xlfn.XLOOKUP(1,J$4:J66,D$4:D66,0,0,-1)</f>
        <v>35</v>
      </c>
      <c r="BB67" s="14">
        <f t="shared" si="5"/>
        <v>1</v>
      </c>
      <c r="BC67" s="14" t="str" cm="1">
        <f t="array" ref="BC67">_xlfn.SWITCH(TRUE,_xlfn.XLOOKUP(BA67,D$4:D$110,TEXT(F$4:F$110,"HH"),0,0,1)="00",B65&amp;"",_xlfn.XLOOKUP(BA67,D$4:D$110,TEXT(F$4:F$110,"HH"),0,0,1)="T","00",TRUE,_xlfn.XLOOKUP(BA67,D$4:D$110,TEXT(F$4:F$110,"HH"),0,0,1))</f>
        <v>00</v>
      </c>
      <c r="BD67" s="14" t="str">
        <f t="shared" si="4"/>
        <v>000000</v>
      </c>
    </row>
    <row r="68" spans="1:56">
      <c r="A68" s="2">
        <v>65</v>
      </c>
      <c r="B68" s="5"/>
      <c r="C68" s="5"/>
      <c r="D68" s="5"/>
      <c r="E68" s="5"/>
      <c r="F68" s="5"/>
      <c r="G68" s="5"/>
      <c r="H68" s="5"/>
      <c r="I68" s="5"/>
      <c r="J68" s="5">
        <f t="shared" si="1"/>
        <v>0</v>
      </c>
      <c r="K68" s="7" t="str">
        <f t="shared" ref="K68:K103" si="6">IF(E67="着(hh:mm:ss)","start",IF(E68="p","pass",IF(OR(F68="t",K67="terminal"),"terminal","stop")))</f>
        <v>terminal</v>
      </c>
      <c r="L68" s="7" t="str" cm="1">
        <f t="array" ref="L68">_xlfn.SWITCH(TRUE,$K68="PASS",TEXT($B$1,"0000"),AND($K68="STOP",E68=""),TEXT($D$1,"0000"),$K67="TERMINAL","0000",TRUE,TEXT(E68,"MMSS"))</f>
        <v>0000</v>
      </c>
      <c r="M68" s="7" t="str" cm="1">
        <f t="array" ref="M68">_xlfn.SWITCH(TRUE,$K68="PASS",TEXT($B$1,"0000"),AND($K68="STOP",F68=""),TEXT($D$1,"0000"),$K68="TERMINAL","0000",TRUE,TEXT(F68,"MMSS"))</f>
        <v>0000</v>
      </c>
      <c r="N68" t="str" cm="1">
        <f t="array" ref="N68">_xlfn.SWITCH(TRUE,AND(LEFT(L68,2)="00",K68="TERMINAL"),"00",E68="",TEXT(LEFT($D$1,2),"00"),LEFT(L68,2)="00",$D$2&amp;"",TRUE,LEFT(L68,2))</f>
        <v>00</v>
      </c>
      <c r="O68" t="str" cm="1">
        <f t="array" ref="O68">_xlfn.SWITCH(TRUE,AND(N68="00",RIGHT(L68,2)="00",K68="TERMINAL"),"00",OR(E68="",N68=LEFT($B$1,2)),TEXT(RIGHT($D$1,2),"00"),RIGHT(L68,2)="00",$D$2&amp;"",TRUE,RIGHT(L68,2))</f>
        <v>00</v>
      </c>
      <c r="P68" t="str" cm="1">
        <f t="array" ref="P68">_xlfn.SWITCH(TRUE,AND(LEFT(M68,2)="00",K68="TERMINAL"),"00",F68="",TEXT(LEFT($D$1,2),"00"),LEFT(M68,2)="00",$D$2&amp;"",TRUE,LEFT(M68,2))</f>
        <v>00</v>
      </c>
      <c r="Q68" t="str" cm="1">
        <f t="array" ref="Q68">_xlfn.SWITCH(TRUE,AND(RIGHT(M68,2)="00",K68="TERMINAL"),"00",F68="",TEXT(RIGHT($D$1,2),"00"),RIGHT(M68,2)="00",$D$2&amp;"",TRUE,RIGHT(M68,2))</f>
        <v>00</v>
      </c>
      <c r="R68" s="7" cm="1">
        <f t="array" aca="1" ref="R68" ca="1">IF(INDIRECT("$D"&amp;(ROW(R68)+$F$1-1))=0,R67,$D68)</f>
        <v>39</v>
      </c>
      <c r="S68" s="7" cm="1">
        <f t="array" aca="1" ref="S68" ca="1">IF(INDIRECT("$D"&amp;(ROW(R68)+$F$1-1))=0,S67,$D69)</f>
        <v>38</v>
      </c>
      <c r="T68" s="7" cm="1">
        <f t="array" aca="1" ref="T68" ca="1">IF(INDIRECT("$D"&amp;(ROW(R68)+$F$1-1))=0,T67,$D70)</f>
        <v>37</v>
      </c>
      <c r="U68" s="7" cm="1">
        <f t="array" aca="1" ref="U68" ca="1">IF(INDIRECT("$D"&amp;(ROW(R68)+$F$1-1))=0,U67,$D71)</f>
        <v>36</v>
      </c>
      <c r="V68" s="7" cm="1">
        <f t="array" aca="1" ref="V68" ca="1">IF(INDIRECT("$D"&amp;(ROW(R68)+$F$1-1))=0,V67,$D72)</f>
        <v>35</v>
      </c>
      <c r="W68" s="7" cm="1">
        <f t="array" aca="1" ref="W68" ca="1">IF(INDIRECT("$D"&amp;(ROW(R68)+$F$1-1))=0,W67,$D73)</f>
        <v>0</v>
      </c>
      <c r="X68" s="7" t="str" cm="1">
        <f t="array" aca="1" ref="X68" ca="1">IF(INDIRECT("$D"&amp;(ROW(R68)+$F$1-1))=0,X66,$H68&amp;$N68&amp;$O68)</f>
        <v>4630</v>
      </c>
      <c r="Y68" s="7" t="str" cm="1">
        <f t="array" aca="1" ref="Y68" ca="1">IF(INDIRECT("$D"&amp;(ROW(R68)+$F$1-1))=0,Y67,H69&amp;$N69&amp;$O69)</f>
        <v>5530</v>
      </c>
      <c r="Z68" s="7" t="str" cm="1">
        <f t="array" aca="1" ref="Z68" ca="1">IF(INDIRECT("$D"&amp;(ROW(R68)+$F$1-1))=0,Z67,H70&amp;$N70&amp;$O70)</f>
        <v>6030</v>
      </c>
      <c r="AA68" s="7" t="str" cm="1">
        <f t="array" aca="1" ref="AA68" ca="1">IF(INDIRECT("$D"&amp;(ROW(R68)+$F$1-1))=0,AA67,H71&amp;$N71&amp;$O71)</f>
        <v>0000</v>
      </c>
      <c r="AB68" s="7" t="str" cm="1">
        <f t="array" aca="1" ref="AB68" ca="1">IF(INDIRECT("$D"&amp;(ROW(R68)+$F$1-1))=0,AB67,H72&amp;$N72&amp;$O72)</f>
        <v>0560</v>
      </c>
      <c r="AC68" s="7" t="str" cm="1">
        <f t="array" aca="1" ref="AC68" ca="1">IF(INDIRECT("$D"&amp;(ROW(R68)+$F$1-1))=0,AC67,H73&amp;$N73&amp;$O73)</f>
        <v>0000</v>
      </c>
      <c r="AD68" s="7" t="str" cm="1">
        <f t="array" aca="1" ref="AD68" ca="1">IF(INDIRECT("$D"&amp;(ROW(R68)+$F$1-1))=0,AD67,I68&amp;$P68&amp;$Q68)</f>
        <v>5130</v>
      </c>
      <c r="AE68" s="7" t="str" cm="1">
        <f t="array" aca="1" ref="AE68" ca="1">IF(INDIRECT("$D"&amp;(ROW(R68)+$F$1-1))=0,AE67,I69&amp;$P69&amp;$Q69)</f>
        <v>5660</v>
      </c>
      <c r="AF68" s="7" t="str" cm="1">
        <f t="array" aca="1" ref="AF68" ca="1">IF(INDIRECT("$D"&amp;(ROW(R68)+$F$1-1))=0,AF67,I70&amp;$P70&amp;$Q70)</f>
        <v>0160</v>
      </c>
      <c r="AG68" s="7" t="str" cm="1">
        <f t="array" aca="1" ref="AG68" ca="1">IF(INDIRECT("$D"&amp;(ROW(R68)+$F$1-1))=0,AG67,I71&amp;$P71&amp;$Q71)</f>
        <v>0000</v>
      </c>
      <c r="AH68" s="7" t="str" cm="1">
        <f t="array" aca="1" ref="AH68" ca="1">IF(INDIRECT("$D"&amp;(ROW(R68)+$F$1-1))=0,AH67,I72&amp;$P72&amp;$Q72)</f>
        <v>0000</v>
      </c>
      <c r="AI68" s="7" t="str" cm="1">
        <f t="array" aca="1" ref="AI68" ca="1">IF(INDIRECT("$D"&amp;(ROW(R68)+$F$1-1))=0,AI67,I73&amp;$P73&amp;$Q73)</f>
        <v>0000</v>
      </c>
      <c r="AJ68" s="7" t="str" cm="1">
        <f t="array" ref="AJ68">TEXT($D68,"000")&amp;TEXT(IFERROR(INDEX($D$5:$D$103,_xlfn.AGGREGATE(15,6,ROW($E$5:$E$103)/(($E$5:$E$103&lt;&gt;"p")*($E$5:$E$103&lt;&gt;"t")*(ROW($E$5:$E$103)&gt;ROW($E68))),1)-ROW($E$5)+1),$D68),"000")</f>
        <v>000000</v>
      </c>
      <c r="AK68" s="22">
        <f t="shared" si="2"/>
        <v>500</v>
      </c>
      <c r="AL68" s="22" cm="1">
        <f t="array" aca="1" ref="AL68" ca="1">IF(INDIRECT("$K"&amp;(ROW(R68)+$F$1-1))="TERMINAL",1000489,489)*SIGN(AK68)</f>
        <v>1000489</v>
      </c>
      <c r="AM68" s="7" cm="1">
        <f t="array" aca="1" ref="AM68" ca="1">IF(INDIRECT("$D"&amp;(ROW(R68)+$F$1-1))=0,AM67,$G68)</f>
        <v>8</v>
      </c>
      <c r="AN68" s="7" cm="1">
        <f t="array" aca="1" ref="AN68" ca="1">IF(INDIRECT("$D"&amp;(ROW(R68)+$F$1-1))=0,AN67,$G69)</f>
        <v>0</v>
      </c>
      <c r="AO68" s="7" cm="1">
        <f t="array" aca="1" ref="AO68" ca="1">IF(INDIRECT("$D"&amp;(ROW(R68)+$F$1-1))=0,AO67,$G70)</f>
        <v>0</v>
      </c>
      <c r="AP68" s="7" cm="1">
        <f t="array" aca="1" ref="AP68" ca="1">IF(INDIRECT("$D"&amp;(ROW(R68)+$F$1-1))=0,AP67,$G71)</f>
        <v>0</v>
      </c>
      <c r="AQ68" s="7" cm="1">
        <f t="array" aca="1" ref="AQ68" ca="1">IF(INDIRECT("$D"&amp;(ROW(R68)+$F$1-1))=0,AQ67,$G72)</f>
        <v>1</v>
      </c>
      <c r="AR68" s="7" cm="1">
        <f t="array" aca="1" ref="AR68" ca="1">IF(INDIRECT("$D"&amp;(ROW(R68)+$F$1-1))=0,AR67,$G73)</f>
        <v>0</v>
      </c>
      <c r="AS68" s="7" cm="1">
        <f t="array" aca="1" ref="AS68" ca="1">IF(INDIRECT("$D"&amp;(ROW(AS68)+$F$1-1))=0,AS67+4,1)</f>
        <v>181</v>
      </c>
      <c r="AT68" s="7" cm="1">
        <f t="array" aca="1" ref="AT68" ca="1">IF(INDIRECT("$D"&amp;(ROW(AT68)+$F$1-1))=0,AT67+4,2)</f>
        <v>182</v>
      </c>
      <c r="AU68" s="7" cm="1">
        <f t="array" aca="1" ref="AU68" ca="1">IF(INDIRECT("$D"&amp;(ROW(AU68)+$F$1-1))=0,AU67+4,3)</f>
        <v>183</v>
      </c>
      <c r="AV68" s="7" cm="1">
        <f t="array" aca="1" ref="AV68" ca="1">IF(INDIRECT("$D"&amp;(ROW(AV68)+$F$1-1))=0,AV67+4,4)</f>
        <v>184</v>
      </c>
      <c r="AW68" s="22" cm="1">
        <f t="array" aca="1" ref="AW68" ca="1">_xlfn.XLOOKUP(1,INDIRECT("J"&amp;ROW(K68)+$F$1):J$103,INDIRECT("D"&amp;ROW(K68)+$F$1):D$103,0,0,1)</f>
        <v>0</v>
      </c>
      <c r="AX68" s="22">
        <f t="shared" ca="1" si="3"/>
        <v>0</v>
      </c>
      <c r="AY68" s="22" cm="1">
        <f t="array" aca="1" ref="AY68" ca="1">_xlfn.XLOOKUP(AW68,D$4:D$110,H$4:H$110&amp;N$4:N$110&amp;O$4:O$110,0,0,1)</f>
        <v>0</v>
      </c>
      <c r="AZ68" s="22" cm="1">
        <f t="array" aca="1" ref="AZ68" ca="1">_xlfn.XLOOKUP(AW68,D$4:D$110,I$4:I$110&amp;P$4:P$110&amp;Q$4:Q$110,0,0,1)</f>
        <v>0</v>
      </c>
      <c r="BA68" s="14" cm="1">
        <f t="array" ref="BA68">_xlfn.XLOOKUP(1,J$4:J67,D$4:D67,0,0,-1)</f>
        <v>35</v>
      </c>
      <c r="BB68" s="14">
        <f t="shared" si="5"/>
        <v>1</v>
      </c>
      <c r="BC68" s="14" t="str" cm="1">
        <f t="array" ref="BC68">_xlfn.SWITCH(TRUE,_xlfn.XLOOKUP(BA68,D$4:D$110,TEXT(F$4:F$110,"HH"),0,0,1)="00",B66&amp;"",_xlfn.XLOOKUP(BA68,D$4:D$110,TEXT(F$4:F$110,"HH"),0,0,1)="T","00",TRUE,_xlfn.XLOOKUP(BA68,D$4:D$110,TEXT(F$4:F$110,"HH"),0,0,1))</f>
        <v>00</v>
      </c>
      <c r="BD68" s="14" t="str">
        <f t="shared" si="4"/>
        <v>000000</v>
      </c>
    </row>
    <row r="69" spans="1:56">
      <c r="A69" s="2">
        <v>66</v>
      </c>
      <c r="B69" s="5"/>
      <c r="C69" s="5"/>
      <c r="D69" s="5"/>
      <c r="E69" s="5"/>
      <c r="F69" s="5"/>
      <c r="G69" s="5"/>
      <c r="H69" s="5"/>
      <c r="I69" s="5"/>
      <c r="J69" s="5">
        <f t="shared" ref="J69:J103" si="7">IF(F69&lt;&gt;"",1,0)</f>
        <v>0</v>
      </c>
      <c r="K69" s="7" t="str">
        <f t="shared" si="6"/>
        <v>terminal</v>
      </c>
      <c r="L69" s="7" t="str" cm="1">
        <f t="array" ref="L69">_xlfn.SWITCH(TRUE,$K69="PASS",TEXT($B$1,"0000"),AND($K69="STOP",E69=""),TEXT($D$1,"0000"),$K68="TERMINAL","0000",TRUE,TEXT(E69,"MMSS"))</f>
        <v>0000</v>
      </c>
      <c r="M69" s="7" t="str" cm="1">
        <f t="array" ref="M69">_xlfn.SWITCH(TRUE,$K69="PASS",TEXT($B$1,"0000"),AND($K69="STOP",F69=""),TEXT($D$1,"0000"),$K69="TERMINAL","0000",TRUE,TEXT(F69,"MMSS"))</f>
        <v>0000</v>
      </c>
      <c r="N69" t="str" cm="1">
        <f t="array" ref="N69">_xlfn.SWITCH(TRUE,AND(LEFT(L69,2)="00",K69="TERMINAL"),"00",E69="",TEXT(LEFT($D$1,2),"00"),LEFT(L69,2)="00",$D$2&amp;"",TRUE,LEFT(L69,2))</f>
        <v>00</v>
      </c>
      <c r="O69" t="str" cm="1">
        <f t="array" ref="O69">_xlfn.SWITCH(TRUE,AND(N69="00",RIGHT(L69,2)="00",K69="TERMINAL"),"00",OR(E69="",N69=LEFT($B$1,2)),TEXT(RIGHT($D$1,2),"00"),RIGHT(L69,2)="00",$D$2&amp;"",TRUE,RIGHT(L69,2))</f>
        <v>00</v>
      </c>
      <c r="P69" t="str" cm="1">
        <f t="array" ref="P69">_xlfn.SWITCH(TRUE,AND(LEFT(M69,2)="00",K69="TERMINAL"),"00",F69="",TEXT(LEFT($D$1,2),"00"),LEFT(M69,2)="00",$D$2&amp;"",TRUE,LEFT(M69,2))</f>
        <v>00</v>
      </c>
      <c r="Q69" t="str" cm="1">
        <f t="array" ref="Q69">_xlfn.SWITCH(TRUE,AND(RIGHT(M69,2)="00",K69="TERMINAL"),"00",F69="",TEXT(RIGHT($D$1,2),"00"),RIGHT(M69,2)="00",$D$2&amp;"",TRUE,RIGHT(M69,2))</f>
        <v>00</v>
      </c>
      <c r="R69" s="7" cm="1">
        <f t="array" aca="1" ref="R69" ca="1">IF(INDIRECT("$D"&amp;(ROW(R69)+$F$1-1))=0,R68,$D69)</f>
        <v>39</v>
      </c>
      <c r="S69" s="7" cm="1">
        <f t="array" aca="1" ref="S69" ca="1">IF(INDIRECT("$D"&amp;(ROW(R69)+$F$1-1))=0,S68,$D70)</f>
        <v>38</v>
      </c>
      <c r="T69" s="7" cm="1">
        <f t="array" aca="1" ref="T69" ca="1">IF(INDIRECT("$D"&amp;(ROW(R69)+$F$1-1))=0,T68,$D71)</f>
        <v>37</v>
      </c>
      <c r="U69" s="7" cm="1">
        <f t="array" aca="1" ref="U69" ca="1">IF(INDIRECT("$D"&amp;(ROW(R69)+$F$1-1))=0,U68,$D72)</f>
        <v>36</v>
      </c>
      <c r="V69" s="7" cm="1">
        <f t="array" aca="1" ref="V69" ca="1">IF(INDIRECT("$D"&amp;(ROW(R69)+$F$1-1))=0,V68,$D73)</f>
        <v>35</v>
      </c>
      <c r="W69" s="7" cm="1">
        <f t="array" aca="1" ref="W69" ca="1">IF(INDIRECT("$D"&amp;(ROW(R69)+$F$1-1))=0,W68,$D74)</f>
        <v>0</v>
      </c>
      <c r="X69" s="7" t="str" cm="1">
        <f t="array" aca="1" ref="X69" ca="1">IF(INDIRECT("$D"&amp;(ROW(R69)+$F$1-1))=0,X67,$H69&amp;$N69&amp;$O69)</f>
        <v>5160</v>
      </c>
      <c r="Y69" s="7" t="str" cm="1">
        <f t="array" aca="1" ref="Y69" ca="1">IF(INDIRECT("$D"&amp;(ROW(R69)+$F$1-1))=0,Y68,H70&amp;$N70&amp;$O70)</f>
        <v>5530</v>
      </c>
      <c r="Z69" s="7" t="str" cm="1">
        <f t="array" aca="1" ref="Z69" ca="1">IF(INDIRECT("$D"&amp;(ROW(R69)+$F$1-1))=0,Z68,H71&amp;$N71&amp;$O71)</f>
        <v>6030</v>
      </c>
      <c r="AA69" s="7" t="str" cm="1">
        <f t="array" aca="1" ref="AA69" ca="1">IF(INDIRECT("$D"&amp;(ROW(R69)+$F$1-1))=0,AA68,H72&amp;$N72&amp;$O72)</f>
        <v>0000</v>
      </c>
      <c r="AB69" s="7" t="str" cm="1">
        <f t="array" aca="1" ref="AB69" ca="1">IF(INDIRECT("$D"&amp;(ROW(R69)+$F$1-1))=0,AB68,H73&amp;$N73&amp;$O73)</f>
        <v>0560</v>
      </c>
      <c r="AC69" s="7" t="str" cm="1">
        <f t="array" aca="1" ref="AC69" ca="1">IF(INDIRECT("$D"&amp;(ROW(R69)+$F$1-1))=0,AC68,H74&amp;$N74&amp;$O74)</f>
        <v>0000</v>
      </c>
      <c r="AD69" s="7" t="str" cm="1">
        <f t="array" aca="1" ref="AD69" ca="1">IF(INDIRECT("$D"&amp;(ROW(R69)+$F$1-1))=0,AD68,I69&amp;$P69&amp;$Q69)</f>
        <v>5130</v>
      </c>
      <c r="AE69" s="7" t="str" cm="1">
        <f t="array" aca="1" ref="AE69" ca="1">IF(INDIRECT("$D"&amp;(ROW(R69)+$F$1-1))=0,AE68,I70&amp;$P70&amp;$Q70)</f>
        <v>5660</v>
      </c>
      <c r="AF69" s="7" t="str" cm="1">
        <f t="array" aca="1" ref="AF69" ca="1">IF(INDIRECT("$D"&amp;(ROW(R69)+$F$1-1))=0,AF68,I71&amp;$P71&amp;$Q71)</f>
        <v>0160</v>
      </c>
      <c r="AG69" s="7" t="str" cm="1">
        <f t="array" aca="1" ref="AG69" ca="1">IF(INDIRECT("$D"&amp;(ROW(R69)+$F$1-1))=0,AG68,I72&amp;$P72&amp;$Q72)</f>
        <v>0000</v>
      </c>
      <c r="AH69" s="7" t="str" cm="1">
        <f t="array" aca="1" ref="AH69" ca="1">IF(INDIRECT("$D"&amp;(ROW(R69)+$F$1-1))=0,AH68,I73&amp;$P73&amp;$Q73)</f>
        <v>0000</v>
      </c>
      <c r="AI69" s="7" t="str" cm="1">
        <f t="array" aca="1" ref="AI69" ca="1">IF(INDIRECT("$D"&amp;(ROW(R69)+$F$1-1))=0,AI68,I74&amp;$P74&amp;$Q74)</f>
        <v>0000</v>
      </c>
      <c r="AJ69" s="7" t="str" cm="1">
        <f t="array" ref="AJ69">TEXT($D69,"000")&amp;TEXT(IFERROR(INDEX($D$5:$D$103,_xlfn.AGGREGATE(15,6,ROW($E$5:$E$103)/(($E$5:$E$103&lt;&gt;"p")*($E$5:$E$103&lt;&gt;"t")*(ROW($E$5:$E$103)&gt;ROW($E69))),1)-ROW($E$5)+1),$D69),"000")</f>
        <v>000000</v>
      </c>
      <c r="AK69" s="22">
        <f t="shared" ref="AK69:AK110" si="8">IF(K69="PASS",-1,500)</f>
        <v>500</v>
      </c>
      <c r="AL69" s="22" cm="1">
        <f t="array" aca="1" ref="AL69" ca="1">IF(INDIRECT("$K"&amp;(ROW(R69)+$F$1-1))="TERMINAL",1000489,489)*SIGN(AK69)</f>
        <v>1000489</v>
      </c>
      <c r="AM69" s="7" cm="1">
        <f t="array" aca="1" ref="AM69" ca="1">IF(INDIRECT("$D"&amp;(ROW(R69)+$F$1-1))=0,AM68,$G69)</f>
        <v>8</v>
      </c>
      <c r="AN69" s="7" cm="1">
        <f t="array" aca="1" ref="AN69" ca="1">IF(INDIRECT("$D"&amp;(ROW(R69)+$F$1-1))=0,AN68,$G70)</f>
        <v>0</v>
      </c>
      <c r="AO69" s="7" cm="1">
        <f t="array" aca="1" ref="AO69" ca="1">IF(INDIRECT("$D"&amp;(ROW(R69)+$F$1-1))=0,AO68,$G71)</f>
        <v>0</v>
      </c>
      <c r="AP69" s="7" cm="1">
        <f t="array" aca="1" ref="AP69" ca="1">IF(INDIRECT("$D"&amp;(ROW(R69)+$F$1-1))=0,AP68,$G72)</f>
        <v>0</v>
      </c>
      <c r="AQ69" s="7" cm="1">
        <f t="array" aca="1" ref="AQ69" ca="1">IF(INDIRECT("$D"&amp;(ROW(R69)+$F$1-1))=0,AQ68,$G73)</f>
        <v>1</v>
      </c>
      <c r="AR69" s="7" cm="1">
        <f t="array" aca="1" ref="AR69" ca="1">IF(INDIRECT("$D"&amp;(ROW(R69)+$F$1-1))=0,AR68,$G74)</f>
        <v>0</v>
      </c>
      <c r="AS69" s="7" cm="1">
        <f t="array" aca="1" ref="AS69" ca="1">IF(INDIRECT("$D"&amp;(ROW(AS69)+$F$1-1))=0,AS68+4,1)</f>
        <v>185</v>
      </c>
      <c r="AT69" s="7" cm="1">
        <f t="array" aca="1" ref="AT69" ca="1">IF(INDIRECT("$D"&amp;(ROW(AT69)+$F$1-1))=0,AT68+4,2)</f>
        <v>186</v>
      </c>
      <c r="AU69" s="7" cm="1">
        <f t="array" aca="1" ref="AU69" ca="1">IF(INDIRECT("$D"&amp;(ROW(AU69)+$F$1-1))=0,AU68+4,3)</f>
        <v>187</v>
      </c>
      <c r="AV69" s="7" cm="1">
        <f t="array" aca="1" ref="AV69" ca="1">IF(INDIRECT("$D"&amp;(ROW(AV69)+$F$1-1))=0,AV68+4,4)</f>
        <v>188</v>
      </c>
      <c r="AW69" s="22" cm="1">
        <f t="array" aca="1" ref="AW69" ca="1">_xlfn.XLOOKUP(1,INDIRECT("J"&amp;ROW(K69)+$F$1):J$103,INDIRECT("D"&amp;ROW(K69)+$F$1):D$103,0,0,1)</f>
        <v>0</v>
      </c>
      <c r="AX69" s="22">
        <f t="shared" ref="AX69:AX110" ca="1" si="9">_xlfn.XLOOKUP(AW69,D$4:D$103,G$4:G$103,0,0,1)</f>
        <v>0</v>
      </c>
      <c r="AY69" s="22" cm="1">
        <f t="array" aca="1" ref="AY69" ca="1">_xlfn.XLOOKUP(AW69,D$4:D$110,H$4:H$110&amp;N$4:N$110&amp;O$4:O$110,0,0,1)</f>
        <v>0</v>
      </c>
      <c r="AZ69" s="22" cm="1">
        <f t="array" aca="1" ref="AZ69" ca="1">_xlfn.XLOOKUP(AW69,D$4:D$110,I$4:I$110&amp;P$4:P$110&amp;Q$4:Q$110,0,0,1)</f>
        <v>0</v>
      </c>
      <c r="BA69" s="14" cm="1">
        <f t="array" ref="BA69">_xlfn.XLOOKUP(1,J$4:J68,D$4:D68,0,0,-1)</f>
        <v>35</v>
      </c>
      <c r="BB69" s="14">
        <f t="shared" si="5"/>
        <v>1</v>
      </c>
      <c r="BC69" s="14" t="str" cm="1">
        <f t="array" ref="BC69">_xlfn.SWITCH(TRUE,_xlfn.XLOOKUP(BA69,D$4:D$110,TEXT(F$4:F$110,"HH"),0,0,1)="00",B67&amp;"",_xlfn.XLOOKUP(BA69,D$4:D$110,TEXT(F$4:F$110,"HH"),0,0,1)="T","00",TRUE,_xlfn.XLOOKUP(BA69,D$4:D$110,TEXT(F$4:F$110,"HH"),0,0,1))</f>
        <v>00</v>
      </c>
      <c r="BD69" s="14" t="str">
        <f t="shared" ref="BD69:BD110" si="10">BC69&amp;_xlfn.XLOOKUP(BA69,D$4:D$110,P$4:P$110,"00",0,1)&amp;_xlfn.XLOOKUP(BA69,D$4:D$110,Q$4:Q$110,"00",0,1)</f>
        <v>000000</v>
      </c>
    </row>
    <row r="70" spans="1:56">
      <c r="A70" s="2">
        <v>67</v>
      </c>
      <c r="B70" s="5"/>
      <c r="C70" s="5"/>
      <c r="D70" s="5"/>
      <c r="E70" s="5"/>
      <c r="F70" s="5"/>
      <c r="G70" s="5"/>
      <c r="H70" s="5"/>
      <c r="I70" s="5"/>
      <c r="J70" s="5">
        <f t="shared" si="7"/>
        <v>0</v>
      </c>
      <c r="K70" s="7" t="str">
        <f t="shared" si="6"/>
        <v>terminal</v>
      </c>
      <c r="L70" s="7" t="str" cm="1">
        <f t="array" ref="L70">_xlfn.SWITCH(TRUE,$K70="PASS",TEXT($B$1,"0000"),AND($K70="STOP",E70=""),TEXT($D$1,"0000"),$K69="TERMINAL","0000",TRUE,TEXT(E70,"MMSS"))</f>
        <v>0000</v>
      </c>
      <c r="M70" s="7" t="str" cm="1">
        <f t="array" ref="M70">_xlfn.SWITCH(TRUE,$K70="PASS",TEXT($B$1,"0000"),AND($K70="STOP",F70=""),TEXT($D$1,"0000"),$K70="TERMINAL","0000",TRUE,TEXT(F70,"MMSS"))</f>
        <v>0000</v>
      </c>
      <c r="N70" t="str" cm="1">
        <f t="array" ref="N70">_xlfn.SWITCH(TRUE,AND(LEFT(L70,2)="00",K70="TERMINAL"),"00",E70="",TEXT(LEFT($D$1,2),"00"),LEFT(L70,2)="00",$D$2&amp;"",TRUE,LEFT(L70,2))</f>
        <v>00</v>
      </c>
      <c r="O70" t="str" cm="1">
        <f t="array" ref="O70">_xlfn.SWITCH(TRUE,AND(N70="00",RIGHT(L70,2)="00",K70="TERMINAL"),"00",OR(E70="",N70=LEFT($B$1,2)),TEXT(RIGHT($D$1,2),"00"),RIGHT(L70,2)="00",$D$2&amp;"",TRUE,RIGHT(L70,2))</f>
        <v>00</v>
      </c>
      <c r="P70" t="str" cm="1">
        <f t="array" ref="P70">_xlfn.SWITCH(TRUE,AND(LEFT(M70,2)="00",K70="TERMINAL"),"00",F70="",TEXT(LEFT($D$1,2),"00"),LEFT(M70,2)="00",$D$2&amp;"",TRUE,LEFT(M70,2))</f>
        <v>00</v>
      </c>
      <c r="Q70" t="str" cm="1">
        <f t="array" ref="Q70">_xlfn.SWITCH(TRUE,AND(RIGHT(M70,2)="00",K70="TERMINAL"),"00",F70="",TEXT(RIGHT($D$1,2),"00"),RIGHT(M70,2)="00",$D$2&amp;"",TRUE,RIGHT(M70,2))</f>
        <v>00</v>
      </c>
      <c r="R70" s="7" cm="1">
        <f t="array" aca="1" ref="R70" ca="1">IF(INDIRECT("$D"&amp;(ROW(R70)+$F$1-1))=0,R69,$D70)</f>
        <v>39</v>
      </c>
      <c r="S70" s="7" cm="1">
        <f t="array" aca="1" ref="S70" ca="1">IF(INDIRECT("$D"&amp;(ROW(R70)+$F$1-1))=0,S69,$D71)</f>
        <v>38</v>
      </c>
      <c r="T70" s="7" cm="1">
        <f t="array" aca="1" ref="T70" ca="1">IF(INDIRECT("$D"&amp;(ROW(R70)+$F$1-1))=0,T69,$D72)</f>
        <v>37</v>
      </c>
      <c r="U70" s="7" cm="1">
        <f t="array" aca="1" ref="U70" ca="1">IF(INDIRECT("$D"&amp;(ROW(R70)+$F$1-1))=0,U69,$D73)</f>
        <v>36</v>
      </c>
      <c r="V70" s="7" cm="1">
        <f t="array" aca="1" ref="V70" ca="1">IF(INDIRECT("$D"&amp;(ROW(R70)+$F$1-1))=0,V69,$D74)</f>
        <v>35</v>
      </c>
      <c r="W70" s="7" cm="1">
        <f t="array" aca="1" ref="W70" ca="1">IF(INDIRECT("$D"&amp;(ROW(R70)+$F$1-1))=0,W69,$D75)</f>
        <v>0</v>
      </c>
      <c r="X70" s="7" t="str" cm="1">
        <f t="array" aca="1" ref="X70" ca="1">IF(INDIRECT("$D"&amp;(ROW(R70)+$F$1-1))=0,X68,$H70&amp;$N70&amp;$O70)</f>
        <v>4630</v>
      </c>
      <c r="Y70" s="7" t="str" cm="1">
        <f t="array" aca="1" ref="Y70" ca="1">IF(INDIRECT("$D"&amp;(ROW(R70)+$F$1-1))=0,Y69,H71&amp;$N71&amp;$O71)</f>
        <v>5530</v>
      </c>
      <c r="Z70" s="7" t="str" cm="1">
        <f t="array" aca="1" ref="Z70" ca="1">IF(INDIRECT("$D"&amp;(ROW(R70)+$F$1-1))=0,Z69,H72&amp;$N72&amp;$O72)</f>
        <v>6030</v>
      </c>
      <c r="AA70" s="7" t="str" cm="1">
        <f t="array" aca="1" ref="AA70" ca="1">IF(INDIRECT("$D"&amp;(ROW(R70)+$F$1-1))=0,AA69,H73&amp;$N73&amp;$O73)</f>
        <v>0000</v>
      </c>
      <c r="AB70" s="7" t="str" cm="1">
        <f t="array" aca="1" ref="AB70" ca="1">IF(INDIRECT("$D"&amp;(ROW(R70)+$F$1-1))=0,AB69,H74&amp;$N74&amp;$O74)</f>
        <v>0560</v>
      </c>
      <c r="AC70" s="7" t="str" cm="1">
        <f t="array" aca="1" ref="AC70" ca="1">IF(INDIRECT("$D"&amp;(ROW(R70)+$F$1-1))=0,AC69,H75&amp;$N75&amp;$O75)</f>
        <v>0000</v>
      </c>
      <c r="AD70" s="7" t="str" cm="1">
        <f t="array" aca="1" ref="AD70" ca="1">IF(INDIRECT("$D"&amp;(ROW(R70)+$F$1-1))=0,AD69,I70&amp;$P70&amp;$Q70)</f>
        <v>5130</v>
      </c>
      <c r="AE70" s="7" t="str" cm="1">
        <f t="array" aca="1" ref="AE70" ca="1">IF(INDIRECT("$D"&amp;(ROW(R70)+$F$1-1))=0,AE69,I71&amp;$P71&amp;$Q71)</f>
        <v>5660</v>
      </c>
      <c r="AF70" s="7" t="str" cm="1">
        <f t="array" aca="1" ref="AF70" ca="1">IF(INDIRECT("$D"&amp;(ROW(R70)+$F$1-1))=0,AF69,I72&amp;$P72&amp;$Q72)</f>
        <v>0160</v>
      </c>
      <c r="AG70" s="7" t="str" cm="1">
        <f t="array" aca="1" ref="AG70" ca="1">IF(INDIRECT("$D"&amp;(ROW(R70)+$F$1-1))=0,AG69,I73&amp;$P73&amp;$Q73)</f>
        <v>0000</v>
      </c>
      <c r="AH70" s="7" t="str" cm="1">
        <f t="array" aca="1" ref="AH70" ca="1">IF(INDIRECT("$D"&amp;(ROW(R70)+$F$1-1))=0,AH69,I74&amp;$P74&amp;$Q74)</f>
        <v>0000</v>
      </c>
      <c r="AI70" s="7" t="str" cm="1">
        <f t="array" aca="1" ref="AI70" ca="1">IF(INDIRECT("$D"&amp;(ROW(R70)+$F$1-1))=0,AI69,I75&amp;$P75&amp;$Q75)</f>
        <v>0000</v>
      </c>
      <c r="AJ70" s="7" t="str" cm="1">
        <f t="array" ref="AJ70">TEXT($D70,"000")&amp;TEXT(IFERROR(INDEX($D$5:$D$103,_xlfn.AGGREGATE(15,6,ROW($E$5:$E$103)/(($E$5:$E$103&lt;&gt;"p")*($E$5:$E$103&lt;&gt;"t")*(ROW($E$5:$E$103)&gt;ROW($E70))),1)-ROW($E$5)+1),$D70),"000")</f>
        <v>000000</v>
      </c>
      <c r="AK70" s="22">
        <f t="shared" si="8"/>
        <v>500</v>
      </c>
      <c r="AL70" s="22" cm="1">
        <f t="array" aca="1" ref="AL70" ca="1">IF(INDIRECT("$K"&amp;(ROW(R70)+$F$1-1))="TERMINAL",1000489,489)*SIGN(AK70)</f>
        <v>1000489</v>
      </c>
      <c r="AM70" s="7" cm="1">
        <f t="array" aca="1" ref="AM70" ca="1">IF(INDIRECT("$D"&amp;(ROW(R70)+$F$1-1))=0,AM69,$G70)</f>
        <v>8</v>
      </c>
      <c r="AN70" s="7" cm="1">
        <f t="array" aca="1" ref="AN70" ca="1">IF(INDIRECT("$D"&amp;(ROW(R70)+$F$1-1))=0,AN69,$G71)</f>
        <v>0</v>
      </c>
      <c r="AO70" s="7" cm="1">
        <f t="array" aca="1" ref="AO70" ca="1">IF(INDIRECT("$D"&amp;(ROW(R70)+$F$1-1))=0,AO69,$G72)</f>
        <v>0</v>
      </c>
      <c r="AP70" s="7" cm="1">
        <f t="array" aca="1" ref="AP70" ca="1">IF(INDIRECT("$D"&amp;(ROW(R70)+$F$1-1))=0,AP69,$G73)</f>
        <v>0</v>
      </c>
      <c r="AQ70" s="7" cm="1">
        <f t="array" aca="1" ref="AQ70" ca="1">IF(INDIRECT("$D"&amp;(ROW(R70)+$F$1-1))=0,AQ69,$G74)</f>
        <v>1</v>
      </c>
      <c r="AR70" s="7" cm="1">
        <f t="array" aca="1" ref="AR70" ca="1">IF(INDIRECT("$D"&amp;(ROW(R70)+$F$1-1))=0,AR69,$G75)</f>
        <v>0</v>
      </c>
      <c r="AS70" s="7" cm="1">
        <f t="array" aca="1" ref="AS70" ca="1">IF(INDIRECT("$D"&amp;(ROW(AS70)+$F$1-1))=0,AS69+4,1)</f>
        <v>189</v>
      </c>
      <c r="AT70" s="7" cm="1">
        <f t="array" aca="1" ref="AT70" ca="1">IF(INDIRECT("$D"&amp;(ROW(AT70)+$F$1-1))=0,AT69+4,2)</f>
        <v>190</v>
      </c>
      <c r="AU70" s="7" cm="1">
        <f t="array" aca="1" ref="AU70" ca="1">IF(INDIRECT("$D"&amp;(ROW(AU70)+$F$1-1))=0,AU69+4,3)</f>
        <v>191</v>
      </c>
      <c r="AV70" s="7" cm="1">
        <f t="array" aca="1" ref="AV70" ca="1">IF(INDIRECT("$D"&amp;(ROW(AV70)+$F$1-1))=0,AV69+4,4)</f>
        <v>192</v>
      </c>
      <c r="AW70" s="22" cm="1">
        <f t="array" aca="1" ref="AW70" ca="1">_xlfn.XLOOKUP(1,INDIRECT("J"&amp;ROW(K70)+$F$1):J$103,INDIRECT("D"&amp;ROW(K70)+$F$1):D$103,0,0,1)</f>
        <v>0</v>
      </c>
      <c r="AX70" s="22">
        <f t="shared" ca="1" si="9"/>
        <v>0</v>
      </c>
      <c r="AY70" s="22" cm="1">
        <f t="array" aca="1" ref="AY70" ca="1">_xlfn.XLOOKUP(AW70,D$4:D$110,H$4:H$110&amp;N$4:N$110&amp;O$4:O$110,0,0,1)</f>
        <v>0</v>
      </c>
      <c r="AZ70" s="22" cm="1">
        <f t="array" aca="1" ref="AZ70" ca="1">_xlfn.XLOOKUP(AW70,D$4:D$110,I$4:I$110&amp;P$4:P$110&amp;Q$4:Q$110,0,0,1)</f>
        <v>0</v>
      </c>
      <c r="BA70" s="14" cm="1">
        <f t="array" ref="BA70">_xlfn.XLOOKUP(1,J$4:J69,D$4:D69,0,0,-1)</f>
        <v>35</v>
      </c>
      <c r="BB70" s="14">
        <f t="shared" ref="BB70:BB110" si="11">_xlfn.XLOOKUP(BA70,D$4:D$103,G$4:G$103,0,0,1)</f>
        <v>1</v>
      </c>
      <c r="BC70" s="14" t="str" cm="1">
        <f t="array" ref="BC70">_xlfn.SWITCH(TRUE,_xlfn.XLOOKUP(BA70,D$4:D$110,TEXT(F$4:F$110,"HH"),0,0,1)="00",B68&amp;"",_xlfn.XLOOKUP(BA70,D$4:D$110,TEXT(F$4:F$110,"HH"),0,0,1)="T","00",TRUE,_xlfn.XLOOKUP(BA70,D$4:D$110,TEXT(F$4:F$110,"HH"),0,0,1))</f>
        <v>00</v>
      </c>
      <c r="BD70" s="14" t="str">
        <f t="shared" si="10"/>
        <v>000000</v>
      </c>
    </row>
    <row r="71" spans="1:56">
      <c r="A71" s="2">
        <v>68</v>
      </c>
      <c r="B71" s="5"/>
      <c r="C71" s="5"/>
      <c r="D71" s="5"/>
      <c r="E71" s="5"/>
      <c r="F71" s="5"/>
      <c r="G71" s="5"/>
      <c r="H71" s="5"/>
      <c r="I71" s="5"/>
      <c r="J71" s="5">
        <f t="shared" si="7"/>
        <v>0</v>
      </c>
      <c r="K71" s="7" t="str">
        <f t="shared" si="6"/>
        <v>terminal</v>
      </c>
      <c r="L71" s="7" t="str" cm="1">
        <f t="array" ref="L71">_xlfn.SWITCH(TRUE,$K71="PASS",TEXT($B$1,"0000"),AND($K71="STOP",E71=""),TEXT($D$1,"0000"),$K70="TERMINAL","0000",TRUE,TEXT(E71,"MMSS"))</f>
        <v>0000</v>
      </c>
      <c r="M71" s="7" t="str" cm="1">
        <f t="array" ref="M71">_xlfn.SWITCH(TRUE,$K71="PASS",TEXT($B$1,"0000"),AND($K71="STOP",F71=""),TEXT($D$1,"0000"),$K71="TERMINAL","0000",TRUE,TEXT(F71,"MMSS"))</f>
        <v>0000</v>
      </c>
      <c r="N71" t="str" cm="1">
        <f t="array" ref="N71">_xlfn.SWITCH(TRUE,AND(LEFT(L71,2)="00",K71="TERMINAL"),"00",E71="",TEXT(LEFT($D$1,2),"00"),LEFT(L71,2)="00",$D$2&amp;"",TRUE,LEFT(L71,2))</f>
        <v>00</v>
      </c>
      <c r="O71" t="str" cm="1">
        <f t="array" ref="O71">_xlfn.SWITCH(TRUE,AND(N71="00",RIGHT(L71,2)="00",K71="TERMINAL"),"00",OR(E71="",N71=LEFT($B$1,2)),TEXT(RIGHT($D$1,2),"00"),RIGHT(L71,2)="00",$D$2&amp;"",TRUE,RIGHT(L71,2))</f>
        <v>00</v>
      </c>
      <c r="P71" t="str" cm="1">
        <f t="array" ref="P71">_xlfn.SWITCH(TRUE,AND(LEFT(M71,2)="00",K71="TERMINAL"),"00",F71="",TEXT(LEFT($D$1,2),"00"),LEFT(M71,2)="00",$D$2&amp;"",TRUE,LEFT(M71,2))</f>
        <v>00</v>
      </c>
      <c r="Q71" t="str" cm="1">
        <f t="array" ref="Q71">_xlfn.SWITCH(TRUE,AND(RIGHT(M71,2)="00",K71="TERMINAL"),"00",F71="",TEXT(RIGHT($D$1,2),"00"),RIGHT(M71,2)="00",$D$2&amp;"",TRUE,RIGHT(M71,2))</f>
        <v>00</v>
      </c>
      <c r="R71" s="7" cm="1">
        <f t="array" aca="1" ref="R71" ca="1">IF(INDIRECT("$D"&amp;(ROW(R71)+$F$1-1))=0,R70,$D71)</f>
        <v>39</v>
      </c>
      <c r="S71" s="7" cm="1">
        <f t="array" aca="1" ref="S71" ca="1">IF(INDIRECT("$D"&amp;(ROW(R71)+$F$1-1))=0,S70,$D72)</f>
        <v>38</v>
      </c>
      <c r="T71" s="7" cm="1">
        <f t="array" aca="1" ref="T71" ca="1">IF(INDIRECT("$D"&amp;(ROW(R71)+$F$1-1))=0,T70,$D73)</f>
        <v>37</v>
      </c>
      <c r="U71" s="7" cm="1">
        <f t="array" aca="1" ref="U71" ca="1">IF(INDIRECT("$D"&amp;(ROW(R71)+$F$1-1))=0,U70,$D74)</f>
        <v>36</v>
      </c>
      <c r="V71" s="7" cm="1">
        <f t="array" aca="1" ref="V71" ca="1">IF(INDIRECT("$D"&amp;(ROW(R71)+$F$1-1))=0,V70,$D75)</f>
        <v>35</v>
      </c>
      <c r="W71" s="7" cm="1">
        <f t="array" aca="1" ref="W71" ca="1">IF(INDIRECT("$D"&amp;(ROW(R71)+$F$1-1))=0,W70,$D76)</f>
        <v>0</v>
      </c>
      <c r="X71" s="7" t="str" cm="1">
        <f t="array" aca="1" ref="X71" ca="1">IF(INDIRECT("$D"&amp;(ROW(R71)+$F$1-1))=0,X69,$H71&amp;$N71&amp;$O71)</f>
        <v>5160</v>
      </c>
      <c r="Y71" s="7" t="str" cm="1">
        <f t="array" aca="1" ref="Y71" ca="1">IF(INDIRECT("$D"&amp;(ROW(R71)+$F$1-1))=0,Y70,H72&amp;$N72&amp;$O72)</f>
        <v>5530</v>
      </c>
      <c r="Z71" s="7" t="str" cm="1">
        <f t="array" aca="1" ref="Z71" ca="1">IF(INDIRECT("$D"&amp;(ROW(R71)+$F$1-1))=0,Z70,H73&amp;$N73&amp;$O73)</f>
        <v>6030</v>
      </c>
      <c r="AA71" s="7" t="str" cm="1">
        <f t="array" aca="1" ref="AA71" ca="1">IF(INDIRECT("$D"&amp;(ROW(R71)+$F$1-1))=0,AA70,H74&amp;$N74&amp;$O74)</f>
        <v>0000</v>
      </c>
      <c r="AB71" s="7" t="str" cm="1">
        <f t="array" aca="1" ref="AB71" ca="1">IF(INDIRECT("$D"&amp;(ROW(R71)+$F$1-1))=0,AB70,H75&amp;$N75&amp;$O75)</f>
        <v>0560</v>
      </c>
      <c r="AC71" s="7" t="str" cm="1">
        <f t="array" aca="1" ref="AC71" ca="1">IF(INDIRECT("$D"&amp;(ROW(R71)+$F$1-1))=0,AC70,H76&amp;$N76&amp;$O76)</f>
        <v>0000</v>
      </c>
      <c r="AD71" s="7" t="str" cm="1">
        <f t="array" aca="1" ref="AD71" ca="1">IF(INDIRECT("$D"&amp;(ROW(R71)+$F$1-1))=0,AD70,I71&amp;$P71&amp;$Q71)</f>
        <v>5130</v>
      </c>
      <c r="AE71" s="7" t="str" cm="1">
        <f t="array" aca="1" ref="AE71" ca="1">IF(INDIRECT("$D"&amp;(ROW(R71)+$F$1-1))=0,AE70,I72&amp;$P72&amp;$Q72)</f>
        <v>5660</v>
      </c>
      <c r="AF71" s="7" t="str" cm="1">
        <f t="array" aca="1" ref="AF71" ca="1">IF(INDIRECT("$D"&amp;(ROW(R71)+$F$1-1))=0,AF70,I73&amp;$P73&amp;$Q73)</f>
        <v>0160</v>
      </c>
      <c r="AG71" s="7" t="str" cm="1">
        <f t="array" aca="1" ref="AG71" ca="1">IF(INDIRECT("$D"&amp;(ROW(R71)+$F$1-1))=0,AG70,I74&amp;$P74&amp;$Q74)</f>
        <v>0000</v>
      </c>
      <c r="AH71" s="7" t="str" cm="1">
        <f t="array" aca="1" ref="AH71" ca="1">IF(INDIRECT("$D"&amp;(ROW(R71)+$F$1-1))=0,AH70,I75&amp;$P75&amp;$Q75)</f>
        <v>0000</v>
      </c>
      <c r="AI71" s="7" t="str" cm="1">
        <f t="array" aca="1" ref="AI71" ca="1">IF(INDIRECT("$D"&amp;(ROW(R71)+$F$1-1))=0,AI70,I76&amp;$P76&amp;$Q76)</f>
        <v>0000</v>
      </c>
      <c r="AJ71" s="7" t="str" cm="1">
        <f t="array" ref="AJ71">TEXT($D71,"000")&amp;TEXT(IFERROR(INDEX($D$5:$D$103,_xlfn.AGGREGATE(15,6,ROW($E$5:$E$103)/(($E$5:$E$103&lt;&gt;"p")*($E$5:$E$103&lt;&gt;"t")*(ROW($E$5:$E$103)&gt;ROW($E71))),1)-ROW($E$5)+1),$D71),"000")</f>
        <v>000000</v>
      </c>
      <c r="AK71" s="22">
        <f t="shared" si="8"/>
        <v>500</v>
      </c>
      <c r="AL71" s="22" cm="1">
        <f t="array" aca="1" ref="AL71" ca="1">IF(INDIRECT("$K"&amp;(ROW(R71)+$F$1-1))="TERMINAL",1000489,489)*SIGN(AK71)</f>
        <v>1000489</v>
      </c>
      <c r="AM71" s="7" cm="1">
        <f t="array" aca="1" ref="AM71" ca="1">IF(INDIRECT("$D"&amp;(ROW(R71)+$F$1-1))=0,AM70,$G71)</f>
        <v>8</v>
      </c>
      <c r="AN71" s="7" cm="1">
        <f t="array" aca="1" ref="AN71" ca="1">IF(INDIRECT("$D"&amp;(ROW(R71)+$F$1-1))=0,AN70,$G72)</f>
        <v>0</v>
      </c>
      <c r="AO71" s="7" cm="1">
        <f t="array" aca="1" ref="AO71" ca="1">IF(INDIRECT("$D"&amp;(ROW(R71)+$F$1-1))=0,AO70,$G73)</f>
        <v>0</v>
      </c>
      <c r="AP71" s="7" cm="1">
        <f t="array" aca="1" ref="AP71" ca="1">IF(INDIRECT("$D"&amp;(ROW(R71)+$F$1-1))=0,AP70,$G74)</f>
        <v>0</v>
      </c>
      <c r="AQ71" s="7" cm="1">
        <f t="array" aca="1" ref="AQ71" ca="1">IF(INDIRECT("$D"&amp;(ROW(R71)+$F$1-1))=0,AQ70,$G75)</f>
        <v>1</v>
      </c>
      <c r="AR71" s="7" cm="1">
        <f t="array" aca="1" ref="AR71" ca="1">IF(INDIRECT("$D"&amp;(ROW(R71)+$F$1-1))=0,AR70,$G76)</f>
        <v>0</v>
      </c>
      <c r="AS71" s="7" cm="1">
        <f t="array" aca="1" ref="AS71" ca="1">IF(INDIRECT("$D"&amp;(ROW(AS71)+$F$1-1))=0,AS70+4,1)</f>
        <v>193</v>
      </c>
      <c r="AT71" s="7" cm="1">
        <f t="array" aca="1" ref="AT71" ca="1">IF(INDIRECT("$D"&amp;(ROW(AT71)+$F$1-1))=0,AT70+4,2)</f>
        <v>194</v>
      </c>
      <c r="AU71" s="7" cm="1">
        <f t="array" aca="1" ref="AU71" ca="1">IF(INDIRECT("$D"&amp;(ROW(AU71)+$F$1-1))=0,AU70+4,3)</f>
        <v>195</v>
      </c>
      <c r="AV71" s="7" cm="1">
        <f t="array" aca="1" ref="AV71" ca="1">IF(INDIRECT("$D"&amp;(ROW(AV71)+$F$1-1))=0,AV70+4,4)</f>
        <v>196</v>
      </c>
      <c r="AW71" s="22" cm="1">
        <f t="array" aca="1" ref="AW71" ca="1">_xlfn.XLOOKUP(1,INDIRECT("J"&amp;ROW(K71)+$F$1):J$103,INDIRECT("D"&amp;ROW(K71)+$F$1):D$103,0,0,1)</f>
        <v>0</v>
      </c>
      <c r="AX71" s="22">
        <f t="shared" ca="1" si="9"/>
        <v>0</v>
      </c>
      <c r="AY71" s="22" cm="1">
        <f t="array" aca="1" ref="AY71" ca="1">_xlfn.XLOOKUP(AW71,D$4:D$110,H$4:H$110&amp;N$4:N$110&amp;O$4:O$110,0,0,1)</f>
        <v>0</v>
      </c>
      <c r="AZ71" s="22" cm="1">
        <f t="array" aca="1" ref="AZ71" ca="1">_xlfn.XLOOKUP(AW71,D$4:D$110,I$4:I$110&amp;P$4:P$110&amp;Q$4:Q$110,0,0,1)</f>
        <v>0</v>
      </c>
      <c r="BA71" s="14" cm="1">
        <f t="array" ref="BA71">_xlfn.XLOOKUP(1,J$4:J70,D$4:D70,0,0,-1)</f>
        <v>35</v>
      </c>
      <c r="BB71" s="14">
        <f t="shared" si="11"/>
        <v>1</v>
      </c>
      <c r="BC71" s="14" t="str" cm="1">
        <f t="array" ref="BC71">_xlfn.SWITCH(TRUE,_xlfn.XLOOKUP(BA71,D$4:D$110,TEXT(F$4:F$110,"HH"),0,0,1)="00",B69&amp;"",_xlfn.XLOOKUP(BA71,D$4:D$110,TEXT(F$4:F$110,"HH"),0,0,1)="T","00",TRUE,_xlfn.XLOOKUP(BA71,D$4:D$110,TEXT(F$4:F$110,"HH"),0,0,1))</f>
        <v>00</v>
      </c>
      <c r="BD71" s="14" t="str">
        <f t="shared" si="10"/>
        <v>000000</v>
      </c>
    </row>
    <row r="72" spans="1:56">
      <c r="A72" s="2">
        <v>69</v>
      </c>
      <c r="B72" s="5"/>
      <c r="C72" s="5"/>
      <c r="D72" s="5"/>
      <c r="E72" s="5"/>
      <c r="F72" s="5"/>
      <c r="G72" s="5"/>
      <c r="H72" s="5"/>
      <c r="I72" s="5"/>
      <c r="J72" s="5">
        <f t="shared" si="7"/>
        <v>0</v>
      </c>
      <c r="K72" s="7" t="str">
        <f t="shared" si="6"/>
        <v>terminal</v>
      </c>
      <c r="L72" s="7" t="str" cm="1">
        <f t="array" ref="L72">_xlfn.SWITCH(TRUE,$K72="PASS",TEXT($B$1,"0000"),AND($K72="STOP",E72=""),TEXT($D$1,"0000"),$K71="TERMINAL","0000",TRUE,TEXT(E72,"MMSS"))</f>
        <v>0000</v>
      </c>
      <c r="M72" s="7" t="str" cm="1">
        <f t="array" ref="M72">_xlfn.SWITCH(TRUE,$K72="PASS",TEXT($B$1,"0000"),AND($K72="STOP",F72=""),TEXT($D$1,"0000"),$K72="TERMINAL","0000",TRUE,TEXT(F72,"MMSS"))</f>
        <v>0000</v>
      </c>
      <c r="N72" t="str" cm="1">
        <f t="array" ref="N72">_xlfn.SWITCH(TRUE,AND(LEFT(L72,2)="00",K72="TERMINAL"),"00",E72="",TEXT(LEFT($D$1,2),"00"),LEFT(L72,2)="00",$D$2&amp;"",TRUE,LEFT(L72,2))</f>
        <v>00</v>
      </c>
      <c r="O72" t="str" cm="1">
        <f t="array" ref="O72">_xlfn.SWITCH(TRUE,AND(N72="00",RIGHT(L72,2)="00",K72="TERMINAL"),"00",OR(E72="",N72=LEFT($B$1,2)),TEXT(RIGHT($D$1,2),"00"),RIGHT(L72,2)="00",$D$2&amp;"",TRUE,RIGHT(L72,2))</f>
        <v>00</v>
      </c>
      <c r="P72" t="str" cm="1">
        <f t="array" ref="P72">_xlfn.SWITCH(TRUE,AND(LEFT(M72,2)="00",K72="TERMINAL"),"00",F72="",TEXT(LEFT($D$1,2),"00"),LEFT(M72,2)="00",$D$2&amp;"",TRUE,LEFT(M72,2))</f>
        <v>00</v>
      </c>
      <c r="Q72" t="str" cm="1">
        <f t="array" ref="Q72">_xlfn.SWITCH(TRUE,AND(RIGHT(M72,2)="00",K72="TERMINAL"),"00",F72="",TEXT(RIGHT($D$1,2),"00"),RIGHT(M72,2)="00",$D$2&amp;"",TRUE,RIGHT(M72,2))</f>
        <v>00</v>
      </c>
      <c r="R72" s="7" cm="1">
        <f t="array" aca="1" ref="R72" ca="1">IF(INDIRECT("$D"&amp;(ROW(R72)+$F$1-1))=0,R71,$D72)</f>
        <v>39</v>
      </c>
      <c r="S72" s="7" cm="1">
        <f t="array" aca="1" ref="S72" ca="1">IF(INDIRECT("$D"&amp;(ROW(R72)+$F$1-1))=0,S71,$D73)</f>
        <v>38</v>
      </c>
      <c r="T72" s="7" cm="1">
        <f t="array" aca="1" ref="T72" ca="1">IF(INDIRECT("$D"&amp;(ROW(R72)+$F$1-1))=0,T71,$D74)</f>
        <v>37</v>
      </c>
      <c r="U72" s="7" cm="1">
        <f t="array" aca="1" ref="U72" ca="1">IF(INDIRECT("$D"&amp;(ROW(R72)+$F$1-1))=0,U71,$D75)</f>
        <v>36</v>
      </c>
      <c r="V72" s="7" cm="1">
        <f t="array" aca="1" ref="V72" ca="1">IF(INDIRECT("$D"&amp;(ROW(R72)+$F$1-1))=0,V71,$D76)</f>
        <v>35</v>
      </c>
      <c r="W72" s="7" cm="1">
        <f t="array" aca="1" ref="W72" ca="1">IF(INDIRECT("$D"&amp;(ROW(R72)+$F$1-1))=0,W71,$D77)</f>
        <v>0</v>
      </c>
      <c r="X72" s="7" t="str" cm="1">
        <f t="array" aca="1" ref="X72" ca="1">IF(INDIRECT("$D"&amp;(ROW(R72)+$F$1-1))=0,X70,$H72&amp;$N72&amp;$O72)</f>
        <v>4630</v>
      </c>
      <c r="Y72" s="7" t="str" cm="1">
        <f t="array" aca="1" ref="Y72" ca="1">IF(INDIRECT("$D"&amp;(ROW(R72)+$F$1-1))=0,Y71,H73&amp;$N73&amp;$O73)</f>
        <v>5530</v>
      </c>
      <c r="Z72" s="7" t="str" cm="1">
        <f t="array" aca="1" ref="Z72" ca="1">IF(INDIRECT("$D"&amp;(ROW(R72)+$F$1-1))=0,Z71,H74&amp;$N74&amp;$O74)</f>
        <v>6030</v>
      </c>
      <c r="AA72" s="7" t="str" cm="1">
        <f t="array" aca="1" ref="AA72" ca="1">IF(INDIRECT("$D"&amp;(ROW(R72)+$F$1-1))=0,AA71,H75&amp;$N75&amp;$O75)</f>
        <v>0000</v>
      </c>
      <c r="AB72" s="7" t="str" cm="1">
        <f t="array" aca="1" ref="AB72" ca="1">IF(INDIRECT("$D"&amp;(ROW(R72)+$F$1-1))=0,AB71,H76&amp;$N76&amp;$O76)</f>
        <v>0560</v>
      </c>
      <c r="AC72" s="7" t="str" cm="1">
        <f t="array" aca="1" ref="AC72" ca="1">IF(INDIRECT("$D"&amp;(ROW(R72)+$F$1-1))=0,AC71,H77&amp;$N77&amp;$O77)</f>
        <v>0000</v>
      </c>
      <c r="AD72" s="7" t="str" cm="1">
        <f t="array" aca="1" ref="AD72" ca="1">IF(INDIRECT("$D"&amp;(ROW(R72)+$F$1-1))=0,AD71,I72&amp;$P72&amp;$Q72)</f>
        <v>5130</v>
      </c>
      <c r="AE72" s="7" t="str" cm="1">
        <f t="array" aca="1" ref="AE72" ca="1">IF(INDIRECT("$D"&amp;(ROW(R72)+$F$1-1))=0,AE71,I73&amp;$P73&amp;$Q73)</f>
        <v>5660</v>
      </c>
      <c r="AF72" s="7" t="str" cm="1">
        <f t="array" aca="1" ref="AF72" ca="1">IF(INDIRECT("$D"&amp;(ROW(R72)+$F$1-1))=0,AF71,I74&amp;$P74&amp;$Q74)</f>
        <v>0160</v>
      </c>
      <c r="AG72" s="7" t="str" cm="1">
        <f t="array" aca="1" ref="AG72" ca="1">IF(INDIRECT("$D"&amp;(ROW(R72)+$F$1-1))=0,AG71,I75&amp;$P75&amp;$Q75)</f>
        <v>0000</v>
      </c>
      <c r="AH72" s="7" t="str" cm="1">
        <f t="array" aca="1" ref="AH72" ca="1">IF(INDIRECT("$D"&amp;(ROW(R72)+$F$1-1))=0,AH71,I76&amp;$P76&amp;$Q76)</f>
        <v>0000</v>
      </c>
      <c r="AI72" s="7" t="str" cm="1">
        <f t="array" aca="1" ref="AI72" ca="1">IF(INDIRECT("$D"&amp;(ROW(R72)+$F$1-1))=0,AI71,I77&amp;$P77&amp;$Q77)</f>
        <v>0000</v>
      </c>
      <c r="AJ72" s="7" t="str" cm="1">
        <f t="array" ref="AJ72">TEXT($D72,"000")&amp;TEXT(IFERROR(INDEX($D$5:$D$103,_xlfn.AGGREGATE(15,6,ROW($E$5:$E$103)/(($E$5:$E$103&lt;&gt;"p")*($E$5:$E$103&lt;&gt;"t")*(ROW($E$5:$E$103)&gt;ROW($E72))),1)-ROW($E$5)+1),$D72),"000")</f>
        <v>000000</v>
      </c>
      <c r="AK72" s="22">
        <f t="shared" si="8"/>
        <v>500</v>
      </c>
      <c r="AL72" s="22" cm="1">
        <f t="array" aca="1" ref="AL72" ca="1">IF(INDIRECT("$K"&amp;(ROW(R72)+$F$1-1))="TERMINAL",1000489,489)*SIGN(AK72)</f>
        <v>1000489</v>
      </c>
      <c r="AM72" s="7" cm="1">
        <f t="array" aca="1" ref="AM72" ca="1">IF(INDIRECT("$D"&amp;(ROW(R72)+$F$1-1))=0,AM71,$G72)</f>
        <v>8</v>
      </c>
      <c r="AN72" s="7" cm="1">
        <f t="array" aca="1" ref="AN72" ca="1">IF(INDIRECT("$D"&amp;(ROW(R72)+$F$1-1))=0,AN71,$G73)</f>
        <v>0</v>
      </c>
      <c r="AO72" s="7" cm="1">
        <f t="array" aca="1" ref="AO72" ca="1">IF(INDIRECT("$D"&amp;(ROW(R72)+$F$1-1))=0,AO71,$G74)</f>
        <v>0</v>
      </c>
      <c r="AP72" s="7" cm="1">
        <f t="array" aca="1" ref="AP72" ca="1">IF(INDIRECT("$D"&amp;(ROW(R72)+$F$1-1))=0,AP71,$G75)</f>
        <v>0</v>
      </c>
      <c r="AQ72" s="7" cm="1">
        <f t="array" aca="1" ref="AQ72" ca="1">IF(INDIRECT("$D"&amp;(ROW(R72)+$F$1-1))=0,AQ71,$G76)</f>
        <v>1</v>
      </c>
      <c r="AR72" s="7" cm="1">
        <f t="array" aca="1" ref="AR72" ca="1">IF(INDIRECT("$D"&amp;(ROW(R72)+$F$1-1))=0,AR71,$G77)</f>
        <v>0</v>
      </c>
      <c r="AS72" s="7" cm="1">
        <f t="array" aca="1" ref="AS72" ca="1">IF(INDIRECT("$D"&amp;(ROW(AS72)+$F$1-1))=0,AS71+4,1)</f>
        <v>197</v>
      </c>
      <c r="AT72" s="7" cm="1">
        <f t="array" aca="1" ref="AT72" ca="1">IF(INDIRECT("$D"&amp;(ROW(AT72)+$F$1-1))=0,AT71+4,2)</f>
        <v>198</v>
      </c>
      <c r="AU72" s="7" cm="1">
        <f t="array" aca="1" ref="AU72" ca="1">IF(INDIRECT("$D"&amp;(ROW(AU72)+$F$1-1))=0,AU71+4,3)</f>
        <v>199</v>
      </c>
      <c r="AV72" s="7" cm="1">
        <f t="array" aca="1" ref="AV72" ca="1">IF(INDIRECT("$D"&amp;(ROW(AV72)+$F$1-1))=0,AV71+4,4)</f>
        <v>200</v>
      </c>
      <c r="AW72" s="22" cm="1">
        <f t="array" aca="1" ref="AW72" ca="1">_xlfn.XLOOKUP(1,INDIRECT("J"&amp;ROW(K72)+$F$1):J$103,INDIRECT("D"&amp;ROW(K72)+$F$1):D$103,0,0,1)</f>
        <v>0</v>
      </c>
      <c r="AX72" s="22">
        <f t="shared" ca="1" si="9"/>
        <v>0</v>
      </c>
      <c r="AY72" s="22" cm="1">
        <f t="array" aca="1" ref="AY72" ca="1">_xlfn.XLOOKUP(AW72,D$4:D$110,H$4:H$110&amp;N$4:N$110&amp;O$4:O$110,0,0,1)</f>
        <v>0</v>
      </c>
      <c r="AZ72" s="22" cm="1">
        <f t="array" aca="1" ref="AZ72" ca="1">_xlfn.XLOOKUP(AW72,D$4:D$110,I$4:I$110&amp;P$4:P$110&amp;Q$4:Q$110,0,0,1)</f>
        <v>0</v>
      </c>
      <c r="BA72" s="14" cm="1">
        <f t="array" ref="BA72">_xlfn.XLOOKUP(1,J$4:J71,D$4:D71,0,0,-1)</f>
        <v>35</v>
      </c>
      <c r="BB72" s="14">
        <f t="shared" si="11"/>
        <v>1</v>
      </c>
      <c r="BC72" s="14" t="str" cm="1">
        <f t="array" ref="BC72">_xlfn.SWITCH(TRUE,_xlfn.XLOOKUP(BA72,D$4:D$110,TEXT(F$4:F$110,"HH"),0,0,1)="00",B70&amp;"",_xlfn.XLOOKUP(BA72,D$4:D$110,TEXT(F$4:F$110,"HH"),0,0,1)="T","00",TRUE,_xlfn.XLOOKUP(BA72,D$4:D$110,TEXT(F$4:F$110,"HH"),0,0,1))</f>
        <v>00</v>
      </c>
      <c r="BD72" s="14" t="str">
        <f t="shared" si="10"/>
        <v>000000</v>
      </c>
    </row>
    <row r="73" spans="1:56">
      <c r="A73" s="2">
        <v>70</v>
      </c>
      <c r="B73" s="5"/>
      <c r="C73" s="5"/>
      <c r="D73" s="5"/>
      <c r="E73" s="5"/>
      <c r="F73" s="5"/>
      <c r="G73" s="5"/>
      <c r="H73" s="5"/>
      <c r="I73" s="5"/>
      <c r="J73" s="5">
        <f t="shared" si="7"/>
        <v>0</v>
      </c>
      <c r="K73" s="7" t="str">
        <f t="shared" si="6"/>
        <v>terminal</v>
      </c>
      <c r="L73" s="7" t="str" cm="1">
        <f t="array" ref="L73">_xlfn.SWITCH(TRUE,$K73="PASS",TEXT($B$1,"0000"),AND($K73="STOP",E73=""),TEXT($D$1,"0000"),$K72="TERMINAL","0000",TRUE,TEXT(E73,"MMSS"))</f>
        <v>0000</v>
      </c>
      <c r="M73" s="7" t="str" cm="1">
        <f t="array" ref="M73">_xlfn.SWITCH(TRUE,$K73="PASS",TEXT($B$1,"0000"),AND($K73="STOP",F73=""),TEXT($D$1,"0000"),$K73="TERMINAL","0000",TRUE,TEXT(F73,"MMSS"))</f>
        <v>0000</v>
      </c>
      <c r="N73" t="str" cm="1">
        <f t="array" ref="N73">_xlfn.SWITCH(TRUE,AND(LEFT(L73,2)="00",K73="TERMINAL"),"00",E73="",TEXT(LEFT($D$1,2),"00"),LEFT(L73,2)="00",$D$2&amp;"",TRUE,LEFT(L73,2))</f>
        <v>00</v>
      </c>
      <c r="O73" t="str" cm="1">
        <f t="array" ref="O73">_xlfn.SWITCH(TRUE,AND(N73="00",RIGHT(L73,2)="00",K73="TERMINAL"),"00",OR(E73="",N73=LEFT($B$1,2)),TEXT(RIGHT($D$1,2),"00"),RIGHT(L73,2)="00",$D$2&amp;"",TRUE,RIGHT(L73,2))</f>
        <v>00</v>
      </c>
      <c r="P73" t="str" cm="1">
        <f t="array" ref="P73">_xlfn.SWITCH(TRUE,AND(LEFT(M73,2)="00",K73="TERMINAL"),"00",F73="",TEXT(LEFT($D$1,2),"00"),LEFT(M73,2)="00",$D$2&amp;"",TRUE,LEFT(M73,2))</f>
        <v>00</v>
      </c>
      <c r="Q73" t="str" cm="1">
        <f t="array" ref="Q73">_xlfn.SWITCH(TRUE,AND(RIGHT(M73,2)="00",K73="TERMINAL"),"00",F73="",TEXT(RIGHT($D$1,2),"00"),RIGHT(M73,2)="00",$D$2&amp;"",TRUE,RIGHT(M73,2))</f>
        <v>00</v>
      </c>
      <c r="R73" s="7" cm="1">
        <f t="array" aca="1" ref="R73" ca="1">IF(INDIRECT("$D"&amp;(ROW(R73)+$F$1-1))=0,R72,$D73)</f>
        <v>39</v>
      </c>
      <c r="S73" s="7" cm="1">
        <f t="array" aca="1" ref="S73" ca="1">IF(INDIRECT("$D"&amp;(ROW(R73)+$F$1-1))=0,S72,$D74)</f>
        <v>38</v>
      </c>
      <c r="T73" s="7" cm="1">
        <f t="array" aca="1" ref="T73" ca="1">IF(INDIRECT("$D"&amp;(ROW(R73)+$F$1-1))=0,T72,$D75)</f>
        <v>37</v>
      </c>
      <c r="U73" s="7" cm="1">
        <f t="array" aca="1" ref="U73" ca="1">IF(INDIRECT("$D"&amp;(ROW(R73)+$F$1-1))=0,U72,$D76)</f>
        <v>36</v>
      </c>
      <c r="V73" s="7" cm="1">
        <f t="array" aca="1" ref="V73" ca="1">IF(INDIRECT("$D"&amp;(ROW(R73)+$F$1-1))=0,V72,$D77)</f>
        <v>35</v>
      </c>
      <c r="W73" s="7" cm="1">
        <f t="array" aca="1" ref="W73" ca="1">IF(INDIRECT("$D"&amp;(ROW(R73)+$F$1-1))=0,W72,$D78)</f>
        <v>0</v>
      </c>
      <c r="X73" s="7" t="str" cm="1">
        <f t="array" aca="1" ref="X73" ca="1">IF(INDIRECT("$D"&amp;(ROW(R73)+$F$1-1))=0,X71,$H73&amp;$N73&amp;$O73)</f>
        <v>5160</v>
      </c>
      <c r="Y73" s="7" t="str" cm="1">
        <f t="array" aca="1" ref="Y73" ca="1">IF(INDIRECT("$D"&amp;(ROW(R73)+$F$1-1))=0,Y72,H74&amp;$N74&amp;$O74)</f>
        <v>5530</v>
      </c>
      <c r="Z73" s="7" t="str" cm="1">
        <f t="array" aca="1" ref="Z73" ca="1">IF(INDIRECT("$D"&amp;(ROW(R73)+$F$1-1))=0,Z72,H75&amp;$N75&amp;$O75)</f>
        <v>6030</v>
      </c>
      <c r="AA73" s="7" t="str" cm="1">
        <f t="array" aca="1" ref="AA73" ca="1">IF(INDIRECT("$D"&amp;(ROW(R73)+$F$1-1))=0,AA72,H76&amp;$N76&amp;$O76)</f>
        <v>0000</v>
      </c>
      <c r="AB73" s="7" t="str" cm="1">
        <f t="array" aca="1" ref="AB73" ca="1">IF(INDIRECT("$D"&amp;(ROW(R73)+$F$1-1))=0,AB72,H77&amp;$N77&amp;$O77)</f>
        <v>0560</v>
      </c>
      <c r="AC73" s="7" t="str" cm="1">
        <f t="array" aca="1" ref="AC73" ca="1">IF(INDIRECT("$D"&amp;(ROW(R73)+$F$1-1))=0,AC72,H78&amp;$N78&amp;$O78)</f>
        <v>0000</v>
      </c>
      <c r="AD73" s="7" t="str" cm="1">
        <f t="array" aca="1" ref="AD73" ca="1">IF(INDIRECT("$D"&amp;(ROW(R73)+$F$1-1))=0,AD72,I73&amp;$P73&amp;$Q73)</f>
        <v>5130</v>
      </c>
      <c r="AE73" s="7" t="str" cm="1">
        <f t="array" aca="1" ref="AE73" ca="1">IF(INDIRECT("$D"&amp;(ROW(R73)+$F$1-1))=0,AE72,I74&amp;$P74&amp;$Q74)</f>
        <v>5660</v>
      </c>
      <c r="AF73" s="7" t="str" cm="1">
        <f t="array" aca="1" ref="AF73" ca="1">IF(INDIRECT("$D"&amp;(ROW(R73)+$F$1-1))=0,AF72,I75&amp;$P75&amp;$Q75)</f>
        <v>0160</v>
      </c>
      <c r="AG73" s="7" t="str" cm="1">
        <f t="array" aca="1" ref="AG73" ca="1">IF(INDIRECT("$D"&amp;(ROW(R73)+$F$1-1))=0,AG72,I76&amp;$P76&amp;$Q76)</f>
        <v>0000</v>
      </c>
      <c r="AH73" s="7" t="str" cm="1">
        <f t="array" aca="1" ref="AH73" ca="1">IF(INDIRECT("$D"&amp;(ROW(R73)+$F$1-1))=0,AH72,I77&amp;$P77&amp;$Q77)</f>
        <v>0000</v>
      </c>
      <c r="AI73" s="7" t="str" cm="1">
        <f t="array" aca="1" ref="AI73" ca="1">IF(INDIRECT("$D"&amp;(ROW(R73)+$F$1-1))=0,AI72,I78&amp;$P78&amp;$Q78)</f>
        <v>0000</v>
      </c>
      <c r="AJ73" s="7" t="str" cm="1">
        <f t="array" ref="AJ73">TEXT($D73,"000")&amp;TEXT(IFERROR(INDEX($D$5:$D$103,_xlfn.AGGREGATE(15,6,ROW($E$5:$E$103)/(($E$5:$E$103&lt;&gt;"p")*($E$5:$E$103&lt;&gt;"t")*(ROW($E$5:$E$103)&gt;ROW($E73))),1)-ROW($E$5)+1),$D73),"000")</f>
        <v>000000</v>
      </c>
      <c r="AK73" s="22">
        <f t="shared" si="8"/>
        <v>500</v>
      </c>
      <c r="AL73" s="22" cm="1">
        <f t="array" aca="1" ref="AL73" ca="1">IF(INDIRECT("$K"&amp;(ROW(R73)+$F$1-1))="TERMINAL",1000489,489)*SIGN(AK73)</f>
        <v>1000489</v>
      </c>
      <c r="AM73" s="7" cm="1">
        <f t="array" aca="1" ref="AM73" ca="1">IF(INDIRECT("$D"&amp;(ROW(R73)+$F$1-1))=0,AM72,$G73)</f>
        <v>8</v>
      </c>
      <c r="AN73" s="7" cm="1">
        <f t="array" aca="1" ref="AN73" ca="1">IF(INDIRECT("$D"&amp;(ROW(R73)+$F$1-1))=0,AN72,$G74)</f>
        <v>0</v>
      </c>
      <c r="AO73" s="7" cm="1">
        <f t="array" aca="1" ref="AO73" ca="1">IF(INDIRECT("$D"&amp;(ROW(R73)+$F$1-1))=0,AO72,$G75)</f>
        <v>0</v>
      </c>
      <c r="AP73" s="7" cm="1">
        <f t="array" aca="1" ref="AP73" ca="1">IF(INDIRECT("$D"&amp;(ROW(R73)+$F$1-1))=0,AP72,$G76)</f>
        <v>0</v>
      </c>
      <c r="AQ73" s="7" cm="1">
        <f t="array" aca="1" ref="AQ73" ca="1">IF(INDIRECT("$D"&amp;(ROW(R73)+$F$1-1))=0,AQ72,$G77)</f>
        <v>1</v>
      </c>
      <c r="AR73" s="7" cm="1">
        <f t="array" aca="1" ref="AR73" ca="1">IF(INDIRECT("$D"&amp;(ROW(R73)+$F$1-1))=0,AR72,$G78)</f>
        <v>0</v>
      </c>
      <c r="AS73" s="7" cm="1">
        <f t="array" aca="1" ref="AS73" ca="1">IF(INDIRECT("$D"&amp;(ROW(AS73)+$F$1-1))=0,AS72+4,1)</f>
        <v>201</v>
      </c>
      <c r="AT73" s="7" cm="1">
        <f t="array" aca="1" ref="AT73" ca="1">IF(INDIRECT("$D"&amp;(ROW(AT73)+$F$1-1))=0,AT72+4,2)</f>
        <v>202</v>
      </c>
      <c r="AU73" s="7" cm="1">
        <f t="array" aca="1" ref="AU73" ca="1">IF(INDIRECT("$D"&amp;(ROW(AU73)+$F$1-1))=0,AU72+4,3)</f>
        <v>203</v>
      </c>
      <c r="AV73" s="7" cm="1">
        <f t="array" aca="1" ref="AV73" ca="1">IF(INDIRECT("$D"&amp;(ROW(AV73)+$F$1-1))=0,AV72+4,4)</f>
        <v>204</v>
      </c>
      <c r="AW73" s="22" cm="1">
        <f t="array" aca="1" ref="AW73" ca="1">_xlfn.XLOOKUP(1,INDIRECT("J"&amp;ROW(K73)+$F$1):J$103,INDIRECT("D"&amp;ROW(K73)+$F$1):D$103,0,0,1)</f>
        <v>0</v>
      </c>
      <c r="AX73" s="22">
        <f t="shared" ca="1" si="9"/>
        <v>0</v>
      </c>
      <c r="AY73" s="22" cm="1">
        <f t="array" aca="1" ref="AY73" ca="1">_xlfn.XLOOKUP(AW73,D$4:D$110,H$4:H$110&amp;N$4:N$110&amp;O$4:O$110,0,0,1)</f>
        <v>0</v>
      </c>
      <c r="AZ73" s="22" cm="1">
        <f t="array" aca="1" ref="AZ73" ca="1">_xlfn.XLOOKUP(AW73,D$4:D$110,I$4:I$110&amp;P$4:P$110&amp;Q$4:Q$110,0,0,1)</f>
        <v>0</v>
      </c>
      <c r="BA73" s="14" cm="1">
        <f t="array" ref="BA73">_xlfn.XLOOKUP(1,J$4:J72,D$4:D72,0,0,-1)</f>
        <v>35</v>
      </c>
      <c r="BB73" s="14">
        <f t="shared" si="11"/>
        <v>1</v>
      </c>
      <c r="BC73" s="14" t="str" cm="1">
        <f t="array" ref="BC73">_xlfn.SWITCH(TRUE,_xlfn.XLOOKUP(BA73,D$4:D$110,TEXT(F$4:F$110,"HH"),0,0,1)="00",B71&amp;"",_xlfn.XLOOKUP(BA73,D$4:D$110,TEXT(F$4:F$110,"HH"),0,0,1)="T","00",TRUE,_xlfn.XLOOKUP(BA73,D$4:D$110,TEXT(F$4:F$110,"HH"),0,0,1))</f>
        <v>00</v>
      </c>
      <c r="BD73" s="14" t="str">
        <f t="shared" si="10"/>
        <v>000000</v>
      </c>
    </row>
    <row r="74" spans="1:56">
      <c r="A74" s="2">
        <v>71</v>
      </c>
      <c r="B74" s="5"/>
      <c r="C74" s="5"/>
      <c r="D74" s="5"/>
      <c r="E74" s="5"/>
      <c r="F74" s="5"/>
      <c r="G74" s="5"/>
      <c r="H74" s="5"/>
      <c r="I74" s="5"/>
      <c r="J74" s="5">
        <f t="shared" si="7"/>
        <v>0</v>
      </c>
      <c r="K74" s="7" t="str">
        <f t="shared" si="6"/>
        <v>terminal</v>
      </c>
      <c r="L74" s="7" t="str" cm="1">
        <f t="array" ref="L74">_xlfn.SWITCH(TRUE,$K74="PASS",TEXT($B$1,"0000"),AND($K74="STOP",E74=""),TEXT($D$1,"0000"),$K73="TERMINAL","0000",TRUE,TEXT(E74,"MMSS"))</f>
        <v>0000</v>
      </c>
      <c r="M74" s="7" t="str" cm="1">
        <f t="array" ref="M74">_xlfn.SWITCH(TRUE,$K74="PASS",TEXT($B$1,"0000"),AND($K74="STOP",F74=""),TEXT($D$1,"0000"),$K74="TERMINAL","0000",TRUE,TEXT(F74,"MMSS"))</f>
        <v>0000</v>
      </c>
      <c r="N74" t="str" cm="1">
        <f t="array" ref="N74">_xlfn.SWITCH(TRUE,AND(LEFT(L74,2)="00",K74="TERMINAL"),"00",E74="",TEXT(LEFT($D$1,2),"00"),LEFT(L74,2)="00",$D$2&amp;"",TRUE,LEFT(L74,2))</f>
        <v>00</v>
      </c>
      <c r="O74" t="str" cm="1">
        <f t="array" ref="O74">_xlfn.SWITCH(TRUE,AND(N74="00",RIGHT(L74,2)="00",K74="TERMINAL"),"00",OR(E74="",N74=LEFT($B$1,2)),TEXT(RIGHT($D$1,2),"00"),RIGHT(L74,2)="00",$D$2&amp;"",TRUE,RIGHT(L74,2))</f>
        <v>00</v>
      </c>
      <c r="P74" t="str" cm="1">
        <f t="array" ref="P74">_xlfn.SWITCH(TRUE,AND(LEFT(M74,2)="00",K74="TERMINAL"),"00",F74="",TEXT(LEFT($D$1,2),"00"),LEFT(M74,2)="00",$D$2&amp;"",TRUE,LEFT(M74,2))</f>
        <v>00</v>
      </c>
      <c r="Q74" t="str" cm="1">
        <f t="array" ref="Q74">_xlfn.SWITCH(TRUE,AND(RIGHT(M74,2)="00",K74="TERMINAL"),"00",F74="",TEXT(RIGHT($D$1,2),"00"),RIGHT(M74,2)="00",$D$2&amp;"",TRUE,RIGHT(M74,2))</f>
        <v>00</v>
      </c>
      <c r="R74" s="7" cm="1">
        <f t="array" aca="1" ref="R74" ca="1">IF(INDIRECT("$D"&amp;(ROW(R74)+$F$1-1))=0,R73,$D74)</f>
        <v>39</v>
      </c>
      <c r="S74" s="7" cm="1">
        <f t="array" aca="1" ref="S74" ca="1">IF(INDIRECT("$D"&amp;(ROW(R74)+$F$1-1))=0,S73,$D75)</f>
        <v>38</v>
      </c>
      <c r="T74" s="7" cm="1">
        <f t="array" aca="1" ref="T74" ca="1">IF(INDIRECT("$D"&amp;(ROW(R74)+$F$1-1))=0,T73,$D76)</f>
        <v>37</v>
      </c>
      <c r="U74" s="7" cm="1">
        <f t="array" aca="1" ref="U74" ca="1">IF(INDIRECT("$D"&amp;(ROW(R74)+$F$1-1))=0,U73,$D77)</f>
        <v>36</v>
      </c>
      <c r="V74" s="7" cm="1">
        <f t="array" aca="1" ref="V74" ca="1">IF(INDIRECT("$D"&amp;(ROW(R74)+$F$1-1))=0,V73,$D78)</f>
        <v>35</v>
      </c>
      <c r="W74" s="7" cm="1">
        <f t="array" aca="1" ref="W74" ca="1">IF(INDIRECT("$D"&amp;(ROW(R74)+$F$1-1))=0,W73,$D79)</f>
        <v>0</v>
      </c>
      <c r="X74" s="7" t="str" cm="1">
        <f t="array" aca="1" ref="X74" ca="1">IF(INDIRECT("$D"&amp;(ROW(R74)+$F$1-1))=0,X72,$H74&amp;$N74&amp;$O74)</f>
        <v>4630</v>
      </c>
      <c r="Y74" s="7" t="str" cm="1">
        <f t="array" aca="1" ref="Y74" ca="1">IF(INDIRECT("$D"&amp;(ROW(R74)+$F$1-1))=0,Y73,H75&amp;$N75&amp;$O75)</f>
        <v>5530</v>
      </c>
      <c r="Z74" s="7" t="str" cm="1">
        <f t="array" aca="1" ref="Z74" ca="1">IF(INDIRECT("$D"&amp;(ROW(R74)+$F$1-1))=0,Z73,H76&amp;$N76&amp;$O76)</f>
        <v>6030</v>
      </c>
      <c r="AA74" s="7" t="str" cm="1">
        <f t="array" aca="1" ref="AA74" ca="1">IF(INDIRECT("$D"&amp;(ROW(R74)+$F$1-1))=0,AA73,H77&amp;$N77&amp;$O77)</f>
        <v>0000</v>
      </c>
      <c r="AB74" s="7" t="str" cm="1">
        <f t="array" aca="1" ref="AB74" ca="1">IF(INDIRECT("$D"&amp;(ROW(R74)+$F$1-1))=0,AB73,H78&amp;$N78&amp;$O78)</f>
        <v>0560</v>
      </c>
      <c r="AC74" s="7" t="str" cm="1">
        <f t="array" aca="1" ref="AC74" ca="1">IF(INDIRECT("$D"&amp;(ROW(R74)+$F$1-1))=0,AC73,H79&amp;$N79&amp;$O79)</f>
        <v>0000</v>
      </c>
      <c r="AD74" s="7" t="str" cm="1">
        <f t="array" aca="1" ref="AD74" ca="1">IF(INDIRECT("$D"&amp;(ROW(R74)+$F$1-1))=0,AD73,I74&amp;$P74&amp;$Q74)</f>
        <v>5130</v>
      </c>
      <c r="AE74" s="7" t="str" cm="1">
        <f t="array" aca="1" ref="AE74" ca="1">IF(INDIRECT("$D"&amp;(ROW(R74)+$F$1-1))=0,AE73,I75&amp;$P75&amp;$Q75)</f>
        <v>5660</v>
      </c>
      <c r="AF74" s="7" t="str" cm="1">
        <f t="array" aca="1" ref="AF74" ca="1">IF(INDIRECT("$D"&amp;(ROW(R74)+$F$1-1))=0,AF73,I76&amp;$P76&amp;$Q76)</f>
        <v>0160</v>
      </c>
      <c r="AG74" s="7" t="str" cm="1">
        <f t="array" aca="1" ref="AG74" ca="1">IF(INDIRECT("$D"&amp;(ROW(R74)+$F$1-1))=0,AG73,I77&amp;$P77&amp;$Q77)</f>
        <v>0000</v>
      </c>
      <c r="AH74" s="7" t="str" cm="1">
        <f t="array" aca="1" ref="AH74" ca="1">IF(INDIRECT("$D"&amp;(ROW(R74)+$F$1-1))=0,AH73,I78&amp;$P78&amp;$Q78)</f>
        <v>0000</v>
      </c>
      <c r="AI74" s="7" t="str" cm="1">
        <f t="array" aca="1" ref="AI74" ca="1">IF(INDIRECT("$D"&amp;(ROW(R74)+$F$1-1))=0,AI73,I79&amp;$P79&amp;$Q79)</f>
        <v>0000</v>
      </c>
      <c r="AJ74" s="7" t="str" cm="1">
        <f t="array" ref="AJ74">TEXT($D74,"000")&amp;TEXT(IFERROR(INDEX($D$5:$D$103,_xlfn.AGGREGATE(15,6,ROW($E$5:$E$103)/(($E$5:$E$103&lt;&gt;"p")*($E$5:$E$103&lt;&gt;"t")*(ROW($E$5:$E$103)&gt;ROW($E74))),1)-ROW($E$5)+1),$D74),"000")</f>
        <v>000000</v>
      </c>
      <c r="AK74" s="22">
        <f t="shared" si="8"/>
        <v>500</v>
      </c>
      <c r="AL74" s="22" cm="1">
        <f t="array" aca="1" ref="AL74" ca="1">IF(INDIRECT("$K"&amp;(ROW(R74)+$F$1-1))="TERMINAL",1000489,489)*SIGN(AK74)</f>
        <v>1000489</v>
      </c>
      <c r="AM74" s="7" cm="1">
        <f t="array" aca="1" ref="AM74" ca="1">IF(INDIRECT("$D"&amp;(ROW(R74)+$F$1-1))=0,AM73,$G74)</f>
        <v>8</v>
      </c>
      <c r="AN74" s="7" cm="1">
        <f t="array" aca="1" ref="AN74" ca="1">IF(INDIRECT("$D"&amp;(ROW(R74)+$F$1-1))=0,AN73,$G75)</f>
        <v>0</v>
      </c>
      <c r="AO74" s="7" cm="1">
        <f t="array" aca="1" ref="AO74" ca="1">IF(INDIRECT("$D"&amp;(ROW(R74)+$F$1-1))=0,AO73,$G76)</f>
        <v>0</v>
      </c>
      <c r="AP74" s="7" cm="1">
        <f t="array" aca="1" ref="AP74" ca="1">IF(INDIRECT("$D"&amp;(ROW(R74)+$F$1-1))=0,AP73,$G77)</f>
        <v>0</v>
      </c>
      <c r="AQ74" s="7" cm="1">
        <f t="array" aca="1" ref="AQ74" ca="1">IF(INDIRECT("$D"&amp;(ROW(R74)+$F$1-1))=0,AQ73,$G78)</f>
        <v>1</v>
      </c>
      <c r="AR74" s="7" cm="1">
        <f t="array" aca="1" ref="AR74" ca="1">IF(INDIRECT("$D"&amp;(ROW(R74)+$F$1-1))=0,AR73,$G79)</f>
        <v>0</v>
      </c>
      <c r="AS74" s="7" cm="1">
        <f t="array" aca="1" ref="AS74" ca="1">IF(INDIRECT("$D"&amp;(ROW(AS74)+$F$1-1))=0,AS73+4,1)</f>
        <v>205</v>
      </c>
      <c r="AT74" s="7" cm="1">
        <f t="array" aca="1" ref="AT74" ca="1">IF(INDIRECT("$D"&amp;(ROW(AT74)+$F$1-1))=0,AT73+4,2)</f>
        <v>206</v>
      </c>
      <c r="AU74" s="7" cm="1">
        <f t="array" aca="1" ref="AU74" ca="1">IF(INDIRECT("$D"&amp;(ROW(AU74)+$F$1-1))=0,AU73+4,3)</f>
        <v>207</v>
      </c>
      <c r="AV74" s="7" cm="1">
        <f t="array" aca="1" ref="AV74" ca="1">IF(INDIRECT("$D"&amp;(ROW(AV74)+$F$1-1))=0,AV73+4,4)</f>
        <v>208</v>
      </c>
      <c r="AW74" s="22" cm="1">
        <f t="array" aca="1" ref="AW74" ca="1">_xlfn.XLOOKUP(1,INDIRECT("J"&amp;ROW(K74)+$F$1):J$103,INDIRECT("D"&amp;ROW(K74)+$F$1):D$103,0,0,1)</f>
        <v>0</v>
      </c>
      <c r="AX74" s="22">
        <f t="shared" ca="1" si="9"/>
        <v>0</v>
      </c>
      <c r="AY74" s="22" cm="1">
        <f t="array" aca="1" ref="AY74" ca="1">_xlfn.XLOOKUP(AW74,D$4:D$110,H$4:H$110&amp;N$4:N$110&amp;O$4:O$110,0,0,1)</f>
        <v>0</v>
      </c>
      <c r="AZ74" s="22" cm="1">
        <f t="array" aca="1" ref="AZ74" ca="1">_xlfn.XLOOKUP(AW74,D$4:D$110,I$4:I$110&amp;P$4:P$110&amp;Q$4:Q$110,0,0,1)</f>
        <v>0</v>
      </c>
      <c r="BA74" s="14" cm="1">
        <f t="array" ref="BA74">_xlfn.XLOOKUP(1,J$4:J73,D$4:D73,0,0,-1)</f>
        <v>35</v>
      </c>
      <c r="BB74" s="14">
        <f t="shared" si="11"/>
        <v>1</v>
      </c>
      <c r="BC74" s="14" t="str" cm="1">
        <f t="array" ref="BC74">_xlfn.SWITCH(TRUE,_xlfn.XLOOKUP(BA74,D$4:D$110,TEXT(F$4:F$110,"HH"),0,0,1)="00",B72&amp;"",_xlfn.XLOOKUP(BA74,D$4:D$110,TEXT(F$4:F$110,"HH"),0,0,1)="T","00",TRUE,_xlfn.XLOOKUP(BA74,D$4:D$110,TEXT(F$4:F$110,"HH"),0,0,1))</f>
        <v>00</v>
      </c>
      <c r="BD74" s="14" t="str">
        <f t="shared" si="10"/>
        <v>000000</v>
      </c>
    </row>
    <row r="75" spans="1:56">
      <c r="A75" s="2">
        <v>72</v>
      </c>
      <c r="B75" s="5"/>
      <c r="C75" s="5"/>
      <c r="D75" s="5"/>
      <c r="E75" s="5"/>
      <c r="F75" s="5"/>
      <c r="G75" s="5"/>
      <c r="H75" s="5"/>
      <c r="I75" s="5"/>
      <c r="J75" s="5">
        <f t="shared" si="7"/>
        <v>0</v>
      </c>
      <c r="K75" s="7" t="str">
        <f t="shared" si="6"/>
        <v>terminal</v>
      </c>
      <c r="L75" s="7" t="str" cm="1">
        <f t="array" ref="L75">_xlfn.SWITCH(TRUE,$K75="PASS",TEXT($B$1,"0000"),AND($K75="STOP",E75=""),TEXT($D$1,"0000"),$K74="TERMINAL","0000",TRUE,TEXT(E75,"MMSS"))</f>
        <v>0000</v>
      </c>
      <c r="M75" s="7" t="str" cm="1">
        <f t="array" ref="M75">_xlfn.SWITCH(TRUE,$K75="PASS",TEXT($B$1,"0000"),AND($K75="STOP",F75=""),TEXT($D$1,"0000"),$K75="TERMINAL","0000",TRUE,TEXT(F75,"MMSS"))</f>
        <v>0000</v>
      </c>
      <c r="N75" t="str" cm="1">
        <f t="array" ref="N75">_xlfn.SWITCH(TRUE,AND(LEFT(L75,2)="00",K75="TERMINAL"),"00",E75="",TEXT(LEFT($D$1,2),"00"),LEFT(L75,2)="00",$D$2&amp;"",TRUE,LEFT(L75,2))</f>
        <v>00</v>
      </c>
      <c r="O75" t="str" cm="1">
        <f t="array" ref="O75">_xlfn.SWITCH(TRUE,AND(N75="00",RIGHT(L75,2)="00",K75="TERMINAL"),"00",OR(E75="",N75=LEFT($B$1,2)),TEXT(RIGHT($D$1,2),"00"),RIGHT(L75,2)="00",$D$2&amp;"",TRUE,RIGHT(L75,2))</f>
        <v>00</v>
      </c>
      <c r="P75" t="str" cm="1">
        <f t="array" ref="P75">_xlfn.SWITCH(TRUE,AND(LEFT(M75,2)="00",K75="TERMINAL"),"00",F75="",TEXT(LEFT($D$1,2),"00"),LEFT(M75,2)="00",$D$2&amp;"",TRUE,LEFT(M75,2))</f>
        <v>00</v>
      </c>
      <c r="Q75" t="str" cm="1">
        <f t="array" ref="Q75">_xlfn.SWITCH(TRUE,AND(RIGHT(M75,2)="00",K75="TERMINAL"),"00",F75="",TEXT(RIGHT($D$1,2),"00"),RIGHT(M75,2)="00",$D$2&amp;"",TRUE,RIGHT(M75,2))</f>
        <v>00</v>
      </c>
      <c r="R75" s="7" cm="1">
        <f t="array" aca="1" ref="R75" ca="1">IF(INDIRECT("$D"&amp;(ROW(R75)+$F$1-1))=0,R74,$D75)</f>
        <v>39</v>
      </c>
      <c r="S75" s="7" cm="1">
        <f t="array" aca="1" ref="S75" ca="1">IF(INDIRECT("$D"&amp;(ROW(R75)+$F$1-1))=0,S74,$D76)</f>
        <v>38</v>
      </c>
      <c r="T75" s="7" cm="1">
        <f t="array" aca="1" ref="T75" ca="1">IF(INDIRECT("$D"&amp;(ROW(R75)+$F$1-1))=0,T74,$D77)</f>
        <v>37</v>
      </c>
      <c r="U75" s="7" cm="1">
        <f t="array" aca="1" ref="U75" ca="1">IF(INDIRECT("$D"&amp;(ROW(R75)+$F$1-1))=0,U74,$D78)</f>
        <v>36</v>
      </c>
      <c r="V75" s="7" cm="1">
        <f t="array" aca="1" ref="V75" ca="1">IF(INDIRECT("$D"&amp;(ROW(R75)+$F$1-1))=0,V74,$D79)</f>
        <v>35</v>
      </c>
      <c r="W75" s="7" cm="1">
        <f t="array" aca="1" ref="W75" ca="1">IF(INDIRECT("$D"&amp;(ROW(R75)+$F$1-1))=0,W74,$D80)</f>
        <v>0</v>
      </c>
      <c r="X75" s="7" t="str" cm="1">
        <f t="array" aca="1" ref="X75" ca="1">IF(INDIRECT("$D"&amp;(ROW(R75)+$F$1-1))=0,X73,$H75&amp;$N75&amp;$O75)</f>
        <v>5160</v>
      </c>
      <c r="Y75" s="7" t="str" cm="1">
        <f t="array" aca="1" ref="Y75" ca="1">IF(INDIRECT("$D"&amp;(ROW(R75)+$F$1-1))=0,Y74,H76&amp;$N76&amp;$O76)</f>
        <v>5530</v>
      </c>
      <c r="Z75" s="7" t="str" cm="1">
        <f t="array" aca="1" ref="Z75" ca="1">IF(INDIRECT("$D"&amp;(ROW(R75)+$F$1-1))=0,Z74,H77&amp;$N77&amp;$O77)</f>
        <v>6030</v>
      </c>
      <c r="AA75" s="7" t="str" cm="1">
        <f t="array" aca="1" ref="AA75" ca="1">IF(INDIRECT("$D"&amp;(ROW(R75)+$F$1-1))=0,AA74,H78&amp;$N78&amp;$O78)</f>
        <v>0000</v>
      </c>
      <c r="AB75" s="7" t="str" cm="1">
        <f t="array" aca="1" ref="AB75" ca="1">IF(INDIRECT("$D"&amp;(ROW(R75)+$F$1-1))=0,AB74,H79&amp;$N79&amp;$O79)</f>
        <v>0560</v>
      </c>
      <c r="AC75" s="7" t="str" cm="1">
        <f t="array" aca="1" ref="AC75" ca="1">IF(INDIRECT("$D"&amp;(ROW(R75)+$F$1-1))=0,AC74,H80&amp;$N80&amp;$O80)</f>
        <v>0000</v>
      </c>
      <c r="AD75" s="7" t="str" cm="1">
        <f t="array" aca="1" ref="AD75" ca="1">IF(INDIRECT("$D"&amp;(ROW(R75)+$F$1-1))=0,AD74,I75&amp;$P75&amp;$Q75)</f>
        <v>5130</v>
      </c>
      <c r="AE75" s="7" t="str" cm="1">
        <f t="array" aca="1" ref="AE75" ca="1">IF(INDIRECT("$D"&amp;(ROW(R75)+$F$1-1))=0,AE74,I76&amp;$P76&amp;$Q76)</f>
        <v>5660</v>
      </c>
      <c r="AF75" s="7" t="str" cm="1">
        <f t="array" aca="1" ref="AF75" ca="1">IF(INDIRECT("$D"&amp;(ROW(R75)+$F$1-1))=0,AF74,I77&amp;$P77&amp;$Q77)</f>
        <v>0160</v>
      </c>
      <c r="AG75" s="7" t="str" cm="1">
        <f t="array" aca="1" ref="AG75" ca="1">IF(INDIRECT("$D"&amp;(ROW(R75)+$F$1-1))=0,AG74,I78&amp;$P78&amp;$Q78)</f>
        <v>0000</v>
      </c>
      <c r="AH75" s="7" t="str" cm="1">
        <f t="array" aca="1" ref="AH75" ca="1">IF(INDIRECT("$D"&amp;(ROW(R75)+$F$1-1))=0,AH74,I79&amp;$P79&amp;$Q79)</f>
        <v>0000</v>
      </c>
      <c r="AI75" s="7" t="str" cm="1">
        <f t="array" aca="1" ref="AI75" ca="1">IF(INDIRECT("$D"&amp;(ROW(R75)+$F$1-1))=0,AI74,I80&amp;$P80&amp;$Q80)</f>
        <v>0000</v>
      </c>
      <c r="AJ75" s="7" t="str" cm="1">
        <f t="array" ref="AJ75">TEXT($D75,"000")&amp;TEXT(IFERROR(INDEX($D$5:$D$103,_xlfn.AGGREGATE(15,6,ROW($E$5:$E$103)/(($E$5:$E$103&lt;&gt;"p")*($E$5:$E$103&lt;&gt;"t")*(ROW($E$5:$E$103)&gt;ROW($E75))),1)-ROW($E$5)+1),$D75),"000")</f>
        <v>000000</v>
      </c>
      <c r="AK75" s="22">
        <f t="shared" si="8"/>
        <v>500</v>
      </c>
      <c r="AL75" s="22" cm="1">
        <f t="array" aca="1" ref="AL75" ca="1">IF(INDIRECT("$K"&amp;(ROW(R75)+$F$1-1))="TERMINAL",1000489,489)*SIGN(AK75)</f>
        <v>1000489</v>
      </c>
      <c r="AM75" s="7" cm="1">
        <f t="array" aca="1" ref="AM75" ca="1">IF(INDIRECT("$D"&amp;(ROW(R75)+$F$1-1))=0,AM74,$G75)</f>
        <v>8</v>
      </c>
      <c r="AN75" s="7" cm="1">
        <f t="array" aca="1" ref="AN75" ca="1">IF(INDIRECT("$D"&amp;(ROW(R75)+$F$1-1))=0,AN74,$G76)</f>
        <v>0</v>
      </c>
      <c r="AO75" s="7" cm="1">
        <f t="array" aca="1" ref="AO75" ca="1">IF(INDIRECT("$D"&amp;(ROW(R75)+$F$1-1))=0,AO74,$G77)</f>
        <v>0</v>
      </c>
      <c r="AP75" s="7" cm="1">
        <f t="array" aca="1" ref="AP75" ca="1">IF(INDIRECT("$D"&amp;(ROW(R75)+$F$1-1))=0,AP74,$G78)</f>
        <v>0</v>
      </c>
      <c r="AQ75" s="7" cm="1">
        <f t="array" aca="1" ref="AQ75" ca="1">IF(INDIRECT("$D"&amp;(ROW(R75)+$F$1-1))=0,AQ74,$G79)</f>
        <v>1</v>
      </c>
      <c r="AR75" s="7" cm="1">
        <f t="array" aca="1" ref="AR75" ca="1">IF(INDIRECT("$D"&amp;(ROW(R75)+$F$1-1))=0,AR74,$G80)</f>
        <v>0</v>
      </c>
      <c r="AS75" s="7" cm="1">
        <f t="array" aca="1" ref="AS75" ca="1">IF(INDIRECT("$D"&amp;(ROW(AS75)+$F$1-1))=0,AS74+4,1)</f>
        <v>209</v>
      </c>
      <c r="AT75" s="7" cm="1">
        <f t="array" aca="1" ref="AT75" ca="1">IF(INDIRECT("$D"&amp;(ROW(AT75)+$F$1-1))=0,AT74+4,2)</f>
        <v>210</v>
      </c>
      <c r="AU75" s="7" cm="1">
        <f t="array" aca="1" ref="AU75" ca="1">IF(INDIRECT("$D"&amp;(ROW(AU75)+$F$1-1))=0,AU74+4,3)</f>
        <v>211</v>
      </c>
      <c r="AV75" s="7" cm="1">
        <f t="array" aca="1" ref="AV75" ca="1">IF(INDIRECT("$D"&amp;(ROW(AV75)+$F$1-1))=0,AV74+4,4)</f>
        <v>212</v>
      </c>
      <c r="AW75" s="22" cm="1">
        <f t="array" aca="1" ref="AW75" ca="1">_xlfn.XLOOKUP(1,INDIRECT("J"&amp;ROW(K75)+$F$1):J$103,INDIRECT("D"&amp;ROW(K75)+$F$1):D$103,0,0,1)</f>
        <v>0</v>
      </c>
      <c r="AX75" s="22">
        <f t="shared" ca="1" si="9"/>
        <v>0</v>
      </c>
      <c r="AY75" s="22" cm="1">
        <f t="array" aca="1" ref="AY75" ca="1">_xlfn.XLOOKUP(AW75,D$4:D$110,H$4:H$110&amp;N$4:N$110&amp;O$4:O$110,0,0,1)</f>
        <v>0</v>
      </c>
      <c r="AZ75" s="22" cm="1">
        <f t="array" aca="1" ref="AZ75" ca="1">_xlfn.XLOOKUP(AW75,D$4:D$110,I$4:I$110&amp;P$4:P$110&amp;Q$4:Q$110,0,0,1)</f>
        <v>0</v>
      </c>
      <c r="BA75" s="14" cm="1">
        <f t="array" ref="BA75">_xlfn.XLOOKUP(1,J$4:J74,D$4:D74,0,0,-1)</f>
        <v>35</v>
      </c>
      <c r="BB75" s="14">
        <f t="shared" si="11"/>
        <v>1</v>
      </c>
      <c r="BC75" s="14" t="str" cm="1">
        <f t="array" ref="BC75">_xlfn.SWITCH(TRUE,_xlfn.XLOOKUP(BA75,D$4:D$110,TEXT(F$4:F$110,"HH"),0,0,1)="00",B73&amp;"",_xlfn.XLOOKUP(BA75,D$4:D$110,TEXT(F$4:F$110,"HH"),0,0,1)="T","00",TRUE,_xlfn.XLOOKUP(BA75,D$4:D$110,TEXT(F$4:F$110,"HH"),0,0,1))</f>
        <v>00</v>
      </c>
      <c r="BD75" s="14" t="str">
        <f t="shared" si="10"/>
        <v>000000</v>
      </c>
    </row>
    <row r="76" spans="1:56">
      <c r="A76" s="2">
        <v>73</v>
      </c>
      <c r="B76" s="5"/>
      <c r="C76" s="5"/>
      <c r="D76" s="5"/>
      <c r="E76" s="5"/>
      <c r="F76" s="5"/>
      <c r="G76" s="5"/>
      <c r="H76" s="5"/>
      <c r="I76" s="5"/>
      <c r="J76" s="5">
        <f t="shared" si="7"/>
        <v>0</v>
      </c>
      <c r="K76" s="7" t="str">
        <f t="shared" si="6"/>
        <v>terminal</v>
      </c>
      <c r="L76" s="7" t="str" cm="1">
        <f t="array" ref="L76">_xlfn.SWITCH(TRUE,$K76="PASS",TEXT($B$1,"0000"),AND($K76="STOP",E76=""),TEXT($D$1,"0000"),$K75="TERMINAL","0000",TRUE,TEXT(E76,"MMSS"))</f>
        <v>0000</v>
      </c>
      <c r="M76" s="7" t="str" cm="1">
        <f t="array" ref="M76">_xlfn.SWITCH(TRUE,$K76="PASS",TEXT($B$1,"0000"),AND($K76="STOP",F76=""),TEXT($D$1,"0000"),$K76="TERMINAL","0000",TRUE,TEXT(F76,"MMSS"))</f>
        <v>0000</v>
      </c>
      <c r="N76" t="str" cm="1">
        <f t="array" ref="N76">_xlfn.SWITCH(TRUE,AND(LEFT(L76,2)="00",K76="TERMINAL"),"00",E76="",TEXT(LEFT($D$1,2),"00"),LEFT(L76,2)="00",$D$2&amp;"",TRUE,LEFT(L76,2))</f>
        <v>00</v>
      </c>
      <c r="O76" t="str" cm="1">
        <f t="array" ref="O76">_xlfn.SWITCH(TRUE,AND(N76="00",RIGHT(L76,2)="00",K76="TERMINAL"),"00",OR(E76="",N76=LEFT($B$1,2)),TEXT(RIGHT($D$1,2),"00"),RIGHT(L76,2)="00",$D$2&amp;"",TRUE,RIGHT(L76,2))</f>
        <v>00</v>
      </c>
      <c r="P76" t="str" cm="1">
        <f t="array" ref="P76">_xlfn.SWITCH(TRUE,AND(LEFT(M76,2)="00",K76="TERMINAL"),"00",F76="",TEXT(LEFT($D$1,2),"00"),LEFT(M76,2)="00",$D$2&amp;"",TRUE,LEFT(M76,2))</f>
        <v>00</v>
      </c>
      <c r="Q76" t="str" cm="1">
        <f t="array" ref="Q76">_xlfn.SWITCH(TRUE,AND(RIGHT(M76,2)="00",K76="TERMINAL"),"00",F76="",TEXT(RIGHT($D$1,2),"00"),RIGHT(M76,2)="00",$D$2&amp;"",TRUE,RIGHT(M76,2))</f>
        <v>00</v>
      </c>
      <c r="R76" s="7" cm="1">
        <f t="array" aca="1" ref="R76" ca="1">IF(INDIRECT("$D"&amp;(ROW(R76)+$F$1-1))=0,R75,$D76)</f>
        <v>39</v>
      </c>
      <c r="S76" s="7" cm="1">
        <f t="array" aca="1" ref="S76" ca="1">IF(INDIRECT("$D"&amp;(ROW(R76)+$F$1-1))=0,S75,$D77)</f>
        <v>38</v>
      </c>
      <c r="T76" s="7" cm="1">
        <f t="array" aca="1" ref="T76" ca="1">IF(INDIRECT("$D"&amp;(ROW(R76)+$F$1-1))=0,T75,$D78)</f>
        <v>37</v>
      </c>
      <c r="U76" s="7" cm="1">
        <f t="array" aca="1" ref="U76" ca="1">IF(INDIRECT("$D"&amp;(ROW(R76)+$F$1-1))=0,U75,$D79)</f>
        <v>36</v>
      </c>
      <c r="V76" s="7" cm="1">
        <f t="array" aca="1" ref="V76" ca="1">IF(INDIRECT("$D"&amp;(ROW(R76)+$F$1-1))=0,V75,$D80)</f>
        <v>35</v>
      </c>
      <c r="W76" s="7" cm="1">
        <f t="array" aca="1" ref="W76" ca="1">IF(INDIRECT("$D"&amp;(ROW(R76)+$F$1-1))=0,W75,$D81)</f>
        <v>0</v>
      </c>
      <c r="X76" s="7" t="str" cm="1">
        <f t="array" aca="1" ref="X76" ca="1">IF(INDIRECT("$D"&amp;(ROW(R76)+$F$1-1))=0,X74,$H76&amp;$N76&amp;$O76)</f>
        <v>4630</v>
      </c>
      <c r="Y76" s="7" t="str" cm="1">
        <f t="array" aca="1" ref="Y76" ca="1">IF(INDIRECT("$D"&amp;(ROW(R76)+$F$1-1))=0,Y75,H77&amp;$N77&amp;$O77)</f>
        <v>5530</v>
      </c>
      <c r="Z76" s="7" t="str" cm="1">
        <f t="array" aca="1" ref="Z76" ca="1">IF(INDIRECT("$D"&amp;(ROW(R76)+$F$1-1))=0,Z75,H78&amp;$N78&amp;$O78)</f>
        <v>6030</v>
      </c>
      <c r="AA76" s="7" t="str" cm="1">
        <f t="array" aca="1" ref="AA76" ca="1">IF(INDIRECT("$D"&amp;(ROW(R76)+$F$1-1))=0,AA75,H79&amp;$N79&amp;$O79)</f>
        <v>0000</v>
      </c>
      <c r="AB76" s="7" t="str" cm="1">
        <f t="array" aca="1" ref="AB76" ca="1">IF(INDIRECT("$D"&amp;(ROW(R76)+$F$1-1))=0,AB75,H80&amp;$N80&amp;$O80)</f>
        <v>0560</v>
      </c>
      <c r="AC76" s="7" t="str" cm="1">
        <f t="array" aca="1" ref="AC76" ca="1">IF(INDIRECT("$D"&amp;(ROW(R76)+$F$1-1))=0,AC75,H81&amp;$N81&amp;$O81)</f>
        <v>0000</v>
      </c>
      <c r="AD76" s="7" t="str" cm="1">
        <f t="array" aca="1" ref="AD76" ca="1">IF(INDIRECT("$D"&amp;(ROW(R76)+$F$1-1))=0,AD75,I76&amp;$P76&amp;$Q76)</f>
        <v>5130</v>
      </c>
      <c r="AE76" s="7" t="str" cm="1">
        <f t="array" aca="1" ref="AE76" ca="1">IF(INDIRECT("$D"&amp;(ROW(R76)+$F$1-1))=0,AE75,I77&amp;$P77&amp;$Q77)</f>
        <v>5660</v>
      </c>
      <c r="AF76" s="7" t="str" cm="1">
        <f t="array" aca="1" ref="AF76" ca="1">IF(INDIRECT("$D"&amp;(ROW(R76)+$F$1-1))=0,AF75,I78&amp;$P78&amp;$Q78)</f>
        <v>0160</v>
      </c>
      <c r="AG76" s="7" t="str" cm="1">
        <f t="array" aca="1" ref="AG76" ca="1">IF(INDIRECT("$D"&amp;(ROW(R76)+$F$1-1))=0,AG75,I79&amp;$P79&amp;$Q79)</f>
        <v>0000</v>
      </c>
      <c r="AH76" s="7" t="str" cm="1">
        <f t="array" aca="1" ref="AH76" ca="1">IF(INDIRECT("$D"&amp;(ROW(R76)+$F$1-1))=0,AH75,I80&amp;$P80&amp;$Q80)</f>
        <v>0000</v>
      </c>
      <c r="AI76" s="7" t="str" cm="1">
        <f t="array" aca="1" ref="AI76" ca="1">IF(INDIRECT("$D"&amp;(ROW(R76)+$F$1-1))=0,AI75,I81&amp;$P81&amp;$Q81)</f>
        <v>0000</v>
      </c>
      <c r="AJ76" s="7" t="str" cm="1">
        <f t="array" ref="AJ76">TEXT($D76,"000")&amp;TEXT(IFERROR(INDEX($D$5:$D$103,_xlfn.AGGREGATE(15,6,ROW($E$5:$E$103)/(($E$5:$E$103&lt;&gt;"p")*($E$5:$E$103&lt;&gt;"t")*(ROW($E$5:$E$103)&gt;ROW($E76))),1)-ROW($E$5)+1),$D76),"000")</f>
        <v>000000</v>
      </c>
      <c r="AK76" s="22">
        <f t="shared" si="8"/>
        <v>500</v>
      </c>
      <c r="AL76" s="22" cm="1">
        <f t="array" aca="1" ref="AL76" ca="1">IF(INDIRECT("$K"&amp;(ROW(R76)+$F$1-1))="TERMINAL",1000489,489)*SIGN(AK76)</f>
        <v>1000489</v>
      </c>
      <c r="AM76" s="7" cm="1">
        <f t="array" aca="1" ref="AM76" ca="1">IF(INDIRECT("$D"&amp;(ROW(R76)+$F$1-1))=0,AM75,$G76)</f>
        <v>8</v>
      </c>
      <c r="AN76" s="7" cm="1">
        <f t="array" aca="1" ref="AN76" ca="1">IF(INDIRECT("$D"&amp;(ROW(R76)+$F$1-1))=0,AN75,$G77)</f>
        <v>0</v>
      </c>
      <c r="AO76" s="7" cm="1">
        <f t="array" aca="1" ref="AO76" ca="1">IF(INDIRECT("$D"&amp;(ROW(R76)+$F$1-1))=0,AO75,$G78)</f>
        <v>0</v>
      </c>
      <c r="AP76" s="7" cm="1">
        <f t="array" aca="1" ref="AP76" ca="1">IF(INDIRECT("$D"&amp;(ROW(R76)+$F$1-1))=0,AP75,$G79)</f>
        <v>0</v>
      </c>
      <c r="AQ76" s="7" cm="1">
        <f t="array" aca="1" ref="AQ76" ca="1">IF(INDIRECT("$D"&amp;(ROW(R76)+$F$1-1))=0,AQ75,$G80)</f>
        <v>1</v>
      </c>
      <c r="AR76" s="7" cm="1">
        <f t="array" aca="1" ref="AR76" ca="1">IF(INDIRECT("$D"&amp;(ROW(R76)+$F$1-1))=0,AR75,$G81)</f>
        <v>0</v>
      </c>
      <c r="AS76" s="7" cm="1">
        <f t="array" aca="1" ref="AS76" ca="1">IF(INDIRECT("$D"&amp;(ROW(AS76)+$F$1-1))=0,AS75+4,1)</f>
        <v>213</v>
      </c>
      <c r="AT76" s="7" cm="1">
        <f t="array" aca="1" ref="AT76" ca="1">IF(INDIRECT("$D"&amp;(ROW(AT76)+$F$1-1))=0,AT75+4,2)</f>
        <v>214</v>
      </c>
      <c r="AU76" s="7" cm="1">
        <f t="array" aca="1" ref="AU76" ca="1">IF(INDIRECT("$D"&amp;(ROW(AU76)+$F$1-1))=0,AU75+4,3)</f>
        <v>215</v>
      </c>
      <c r="AV76" s="7" cm="1">
        <f t="array" aca="1" ref="AV76" ca="1">IF(INDIRECT("$D"&amp;(ROW(AV76)+$F$1-1))=0,AV75+4,4)</f>
        <v>216</v>
      </c>
      <c r="AW76" s="22" cm="1">
        <f t="array" aca="1" ref="AW76" ca="1">_xlfn.XLOOKUP(1,INDIRECT("J"&amp;ROW(K76)+$F$1):J$103,INDIRECT("D"&amp;ROW(K76)+$F$1):D$103,0,0,1)</f>
        <v>0</v>
      </c>
      <c r="AX76" s="22">
        <f t="shared" ca="1" si="9"/>
        <v>0</v>
      </c>
      <c r="AY76" s="22" cm="1">
        <f t="array" aca="1" ref="AY76" ca="1">_xlfn.XLOOKUP(AW76,D$4:D$110,H$4:H$110&amp;N$4:N$110&amp;O$4:O$110,0,0,1)</f>
        <v>0</v>
      </c>
      <c r="AZ76" s="22" cm="1">
        <f t="array" aca="1" ref="AZ76" ca="1">_xlfn.XLOOKUP(AW76,D$4:D$110,I$4:I$110&amp;P$4:P$110&amp;Q$4:Q$110,0,0,1)</f>
        <v>0</v>
      </c>
      <c r="BA76" s="14" cm="1">
        <f t="array" ref="BA76">_xlfn.XLOOKUP(1,J$4:J75,D$4:D75,0,0,-1)</f>
        <v>35</v>
      </c>
      <c r="BB76" s="14">
        <f t="shared" si="11"/>
        <v>1</v>
      </c>
      <c r="BC76" s="14" t="str" cm="1">
        <f t="array" ref="BC76">_xlfn.SWITCH(TRUE,_xlfn.XLOOKUP(BA76,D$4:D$110,TEXT(F$4:F$110,"HH"),0,0,1)="00",B74&amp;"",_xlfn.XLOOKUP(BA76,D$4:D$110,TEXT(F$4:F$110,"HH"),0,0,1)="T","00",TRUE,_xlfn.XLOOKUP(BA76,D$4:D$110,TEXT(F$4:F$110,"HH"),0,0,1))</f>
        <v>00</v>
      </c>
      <c r="BD76" s="14" t="str">
        <f t="shared" si="10"/>
        <v>000000</v>
      </c>
    </row>
    <row r="77" spans="1:56">
      <c r="A77" s="2">
        <v>74</v>
      </c>
      <c r="B77" s="5"/>
      <c r="C77" s="5"/>
      <c r="D77" s="5"/>
      <c r="E77" s="5"/>
      <c r="F77" s="5"/>
      <c r="G77" s="5"/>
      <c r="H77" s="5"/>
      <c r="I77" s="5"/>
      <c r="J77" s="5">
        <f t="shared" si="7"/>
        <v>0</v>
      </c>
      <c r="K77" s="7" t="str">
        <f t="shared" si="6"/>
        <v>terminal</v>
      </c>
      <c r="L77" s="7" t="str" cm="1">
        <f t="array" ref="L77">_xlfn.SWITCH(TRUE,$K77="PASS",TEXT($B$1,"0000"),AND($K77="STOP",E77=""),TEXT($D$1,"0000"),$K76="TERMINAL","0000",TRUE,TEXT(E77,"MMSS"))</f>
        <v>0000</v>
      </c>
      <c r="M77" s="7" t="str" cm="1">
        <f t="array" ref="M77">_xlfn.SWITCH(TRUE,$K77="PASS",TEXT($B$1,"0000"),AND($K77="STOP",F77=""),TEXT($D$1,"0000"),$K77="TERMINAL","0000",TRUE,TEXT(F77,"MMSS"))</f>
        <v>0000</v>
      </c>
      <c r="N77" t="str" cm="1">
        <f t="array" ref="N77">_xlfn.SWITCH(TRUE,AND(LEFT(L77,2)="00",K77="TERMINAL"),"00",E77="",TEXT(LEFT($D$1,2),"00"),LEFT(L77,2)="00",$D$2&amp;"",TRUE,LEFT(L77,2))</f>
        <v>00</v>
      </c>
      <c r="O77" t="str" cm="1">
        <f t="array" ref="O77">_xlfn.SWITCH(TRUE,AND(N77="00",RIGHT(L77,2)="00",K77="TERMINAL"),"00",OR(E77="",N77=LEFT($B$1,2)),TEXT(RIGHT($D$1,2),"00"),RIGHT(L77,2)="00",$D$2&amp;"",TRUE,RIGHT(L77,2))</f>
        <v>00</v>
      </c>
      <c r="P77" t="str" cm="1">
        <f t="array" ref="P77">_xlfn.SWITCH(TRUE,AND(LEFT(M77,2)="00",K77="TERMINAL"),"00",F77="",TEXT(LEFT($D$1,2),"00"),LEFT(M77,2)="00",$D$2&amp;"",TRUE,LEFT(M77,2))</f>
        <v>00</v>
      </c>
      <c r="Q77" t="str" cm="1">
        <f t="array" ref="Q77">_xlfn.SWITCH(TRUE,AND(RIGHT(M77,2)="00",K77="TERMINAL"),"00",F77="",TEXT(RIGHT($D$1,2),"00"),RIGHT(M77,2)="00",$D$2&amp;"",TRUE,RIGHT(M77,2))</f>
        <v>00</v>
      </c>
      <c r="R77" s="7" cm="1">
        <f t="array" aca="1" ref="R77" ca="1">IF(INDIRECT("$D"&amp;(ROW(R77)+$F$1-1))=0,R76,$D77)</f>
        <v>39</v>
      </c>
      <c r="S77" s="7" cm="1">
        <f t="array" aca="1" ref="S77" ca="1">IF(INDIRECT("$D"&amp;(ROW(R77)+$F$1-1))=0,S76,$D78)</f>
        <v>38</v>
      </c>
      <c r="T77" s="7" cm="1">
        <f t="array" aca="1" ref="T77" ca="1">IF(INDIRECT("$D"&amp;(ROW(R77)+$F$1-1))=0,T76,$D79)</f>
        <v>37</v>
      </c>
      <c r="U77" s="7" cm="1">
        <f t="array" aca="1" ref="U77" ca="1">IF(INDIRECT("$D"&amp;(ROW(R77)+$F$1-1))=0,U76,$D80)</f>
        <v>36</v>
      </c>
      <c r="V77" s="7" cm="1">
        <f t="array" aca="1" ref="V77" ca="1">IF(INDIRECT("$D"&amp;(ROW(R77)+$F$1-1))=0,V76,$D81)</f>
        <v>35</v>
      </c>
      <c r="W77" s="7" cm="1">
        <f t="array" aca="1" ref="W77" ca="1">IF(INDIRECT("$D"&amp;(ROW(R77)+$F$1-1))=0,W76,$D82)</f>
        <v>0</v>
      </c>
      <c r="X77" s="7" t="str" cm="1">
        <f t="array" aca="1" ref="X77" ca="1">IF(INDIRECT("$D"&amp;(ROW(R77)+$F$1-1))=0,X75,$H77&amp;$N77&amp;$O77)</f>
        <v>5160</v>
      </c>
      <c r="Y77" s="7" t="str" cm="1">
        <f t="array" aca="1" ref="Y77" ca="1">IF(INDIRECT("$D"&amp;(ROW(R77)+$F$1-1))=0,Y76,H78&amp;$N78&amp;$O78)</f>
        <v>5530</v>
      </c>
      <c r="Z77" s="7" t="str" cm="1">
        <f t="array" aca="1" ref="Z77" ca="1">IF(INDIRECT("$D"&amp;(ROW(R77)+$F$1-1))=0,Z76,H79&amp;$N79&amp;$O79)</f>
        <v>6030</v>
      </c>
      <c r="AA77" s="7" t="str" cm="1">
        <f t="array" aca="1" ref="AA77" ca="1">IF(INDIRECT("$D"&amp;(ROW(R77)+$F$1-1))=0,AA76,H80&amp;$N80&amp;$O80)</f>
        <v>0000</v>
      </c>
      <c r="AB77" s="7" t="str" cm="1">
        <f t="array" aca="1" ref="AB77" ca="1">IF(INDIRECT("$D"&amp;(ROW(R77)+$F$1-1))=0,AB76,H81&amp;$N81&amp;$O81)</f>
        <v>0560</v>
      </c>
      <c r="AC77" s="7" t="str" cm="1">
        <f t="array" aca="1" ref="AC77" ca="1">IF(INDIRECT("$D"&amp;(ROW(R77)+$F$1-1))=0,AC76,H82&amp;$N82&amp;$O82)</f>
        <v>0000</v>
      </c>
      <c r="AD77" s="7" t="str" cm="1">
        <f t="array" aca="1" ref="AD77" ca="1">IF(INDIRECT("$D"&amp;(ROW(R77)+$F$1-1))=0,AD76,I77&amp;$P77&amp;$Q77)</f>
        <v>5130</v>
      </c>
      <c r="AE77" s="7" t="str" cm="1">
        <f t="array" aca="1" ref="AE77" ca="1">IF(INDIRECT("$D"&amp;(ROW(R77)+$F$1-1))=0,AE76,I78&amp;$P78&amp;$Q78)</f>
        <v>5660</v>
      </c>
      <c r="AF77" s="7" t="str" cm="1">
        <f t="array" aca="1" ref="AF77" ca="1">IF(INDIRECT("$D"&amp;(ROW(R77)+$F$1-1))=0,AF76,I79&amp;$P79&amp;$Q79)</f>
        <v>0160</v>
      </c>
      <c r="AG77" s="7" t="str" cm="1">
        <f t="array" aca="1" ref="AG77" ca="1">IF(INDIRECT("$D"&amp;(ROW(R77)+$F$1-1))=0,AG76,I80&amp;$P80&amp;$Q80)</f>
        <v>0000</v>
      </c>
      <c r="AH77" s="7" t="str" cm="1">
        <f t="array" aca="1" ref="AH77" ca="1">IF(INDIRECT("$D"&amp;(ROW(R77)+$F$1-1))=0,AH76,I81&amp;$P81&amp;$Q81)</f>
        <v>0000</v>
      </c>
      <c r="AI77" s="7" t="str" cm="1">
        <f t="array" aca="1" ref="AI77" ca="1">IF(INDIRECT("$D"&amp;(ROW(R77)+$F$1-1))=0,AI76,I82&amp;$P82&amp;$Q82)</f>
        <v>0000</v>
      </c>
      <c r="AJ77" s="7" t="str" cm="1">
        <f t="array" ref="AJ77">TEXT($D77,"000")&amp;TEXT(IFERROR(INDEX($D$5:$D$103,_xlfn.AGGREGATE(15,6,ROW($E$5:$E$103)/(($E$5:$E$103&lt;&gt;"p")*($E$5:$E$103&lt;&gt;"t")*(ROW($E$5:$E$103)&gt;ROW($E77))),1)-ROW($E$5)+1),$D77),"000")</f>
        <v>000000</v>
      </c>
      <c r="AK77" s="22">
        <f t="shared" si="8"/>
        <v>500</v>
      </c>
      <c r="AL77" s="22" cm="1">
        <f t="array" aca="1" ref="AL77" ca="1">IF(INDIRECT("$K"&amp;(ROW(R77)+$F$1-1))="TERMINAL",1000489,489)*SIGN(AK77)</f>
        <v>1000489</v>
      </c>
      <c r="AM77" s="7" cm="1">
        <f t="array" aca="1" ref="AM77" ca="1">IF(INDIRECT("$D"&amp;(ROW(R77)+$F$1-1))=0,AM76,$G77)</f>
        <v>8</v>
      </c>
      <c r="AN77" s="7" cm="1">
        <f t="array" aca="1" ref="AN77" ca="1">IF(INDIRECT("$D"&amp;(ROW(R77)+$F$1-1))=0,AN76,$G78)</f>
        <v>0</v>
      </c>
      <c r="AO77" s="7" cm="1">
        <f t="array" aca="1" ref="AO77" ca="1">IF(INDIRECT("$D"&amp;(ROW(R77)+$F$1-1))=0,AO76,$G79)</f>
        <v>0</v>
      </c>
      <c r="AP77" s="7" cm="1">
        <f t="array" aca="1" ref="AP77" ca="1">IF(INDIRECT("$D"&amp;(ROW(R77)+$F$1-1))=0,AP76,$G80)</f>
        <v>0</v>
      </c>
      <c r="AQ77" s="7" cm="1">
        <f t="array" aca="1" ref="AQ77" ca="1">IF(INDIRECT("$D"&amp;(ROW(R77)+$F$1-1))=0,AQ76,$G81)</f>
        <v>1</v>
      </c>
      <c r="AR77" s="7" cm="1">
        <f t="array" aca="1" ref="AR77" ca="1">IF(INDIRECT("$D"&amp;(ROW(R77)+$F$1-1))=0,AR76,$G82)</f>
        <v>0</v>
      </c>
      <c r="AS77" s="7" cm="1">
        <f t="array" aca="1" ref="AS77" ca="1">IF(INDIRECT("$D"&amp;(ROW(AS77)+$F$1-1))=0,AS76+4,1)</f>
        <v>217</v>
      </c>
      <c r="AT77" s="7" cm="1">
        <f t="array" aca="1" ref="AT77" ca="1">IF(INDIRECT("$D"&amp;(ROW(AT77)+$F$1-1))=0,AT76+4,2)</f>
        <v>218</v>
      </c>
      <c r="AU77" s="7" cm="1">
        <f t="array" aca="1" ref="AU77" ca="1">IF(INDIRECT("$D"&amp;(ROW(AU77)+$F$1-1))=0,AU76+4,3)</f>
        <v>219</v>
      </c>
      <c r="AV77" s="7" cm="1">
        <f t="array" aca="1" ref="AV77" ca="1">IF(INDIRECT("$D"&amp;(ROW(AV77)+$F$1-1))=0,AV76+4,4)</f>
        <v>220</v>
      </c>
      <c r="AW77" s="22" cm="1">
        <f t="array" aca="1" ref="AW77" ca="1">_xlfn.XLOOKUP(1,INDIRECT("J"&amp;ROW(K77)+$F$1):J$103,INDIRECT("D"&amp;ROW(K77)+$F$1):D$103,0,0,1)</f>
        <v>0</v>
      </c>
      <c r="AX77" s="22">
        <f t="shared" ca="1" si="9"/>
        <v>0</v>
      </c>
      <c r="AY77" s="22" cm="1">
        <f t="array" aca="1" ref="AY77" ca="1">_xlfn.XLOOKUP(AW77,D$4:D$110,H$4:H$110&amp;N$4:N$110&amp;O$4:O$110,0,0,1)</f>
        <v>0</v>
      </c>
      <c r="AZ77" s="22" cm="1">
        <f t="array" aca="1" ref="AZ77" ca="1">_xlfn.XLOOKUP(AW77,D$4:D$110,I$4:I$110&amp;P$4:P$110&amp;Q$4:Q$110,0,0,1)</f>
        <v>0</v>
      </c>
      <c r="BA77" s="14" cm="1">
        <f t="array" ref="BA77">_xlfn.XLOOKUP(1,J$4:J76,D$4:D76,0,0,-1)</f>
        <v>35</v>
      </c>
      <c r="BB77" s="14">
        <f t="shared" si="11"/>
        <v>1</v>
      </c>
      <c r="BC77" s="14" t="str" cm="1">
        <f t="array" ref="BC77">_xlfn.SWITCH(TRUE,_xlfn.XLOOKUP(BA77,D$4:D$110,TEXT(F$4:F$110,"HH"),0,0,1)="00",B75&amp;"",_xlfn.XLOOKUP(BA77,D$4:D$110,TEXT(F$4:F$110,"HH"),0,0,1)="T","00",TRUE,_xlfn.XLOOKUP(BA77,D$4:D$110,TEXT(F$4:F$110,"HH"),0,0,1))</f>
        <v>00</v>
      </c>
      <c r="BD77" s="14" t="str">
        <f t="shared" si="10"/>
        <v>000000</v>
      </c>
    </row>
    <row r="78" spans="1:56">
      <c r="A78" s="2">
        <v>75</v>
      </c>
      <c r="B78" s="5"/>
      <c r="C78" s="5"/>
      <c r="D78" s="5"/>
      <c r="E78" s="5"/>
      <c r="F78" s="5"/>
      <c r="G78" s="5"/>
      <c r="H78" s="5"/>
      <c r="I78" s="5"/>
      <c r="J78" s="5">
        <f t="shared" si="7"/>
        <v>0</v>
      </c>
      <c r="K78" s="7" t="str">
        <f t="shared" si="6"/>
        <v>terminal</v>
      </c>
      <c r="L78" s="7" t="str" cm="1">
        <f t="array" ref="L78">_xlfn.SWITCH(TRUE,$K78="PASS",TEXT($B$1,"0000"),AND($K78="STOP",E78=""),TEXT($D$1,"0000"),$K77="TERMINAL","0000",TRUE,TEXT(E78,"MMSS"))</f>
        <v>0000</v>
      </c>
      <c r="M78" s="7" t="str" cm="1">
        <f t="array" ref="M78">_xlfn.SWITCH(TRUE,$K78="PASS",TEXT($B$1,"0000"),AND($K78="STOP",F78=""),TEXT($D$1,"0000"),$K78="TERMINAL","0000",TRUE,TEXT(F78,"MMSS"))</f>
        <v>0000</v>
      </c>
      <c r="N78" t="str" cm="1">
        <f t="array" ref="N78">_xlfn.SWITCH(TRUE,AND(LEFT(L78,2)="00",K78="TERMINAL"),"00",E78="",TEXT(LEFT($D$1,2),"00"),LEFT(L78,2)="00",$D$2&amp;"",TRUE,LEFT(L78,2))</f>
        <v>00</v>
      </c>
      <c r="O78" t="str" cm="1">
        <f t="array" ref="O78">_xlfn.SWITCH(TRUE,AND(N78="00",RIGHT(L78,2)="00",K78="TERMINAL"),"00",OR(E78="",N78=LEFT($B$1,2)),TEXT(RIGHT($D$1,2),"00"),RIGHT(L78,2)="00",$D$2&amp;"",TRUE,RIGHT(L78,2))</f>
        <v>00</v>
      </c>
      <c r="P78" t="str" cm="1">
        <f t="array" ref="P78">_xlfn.SWITCH(TRUE,AND(LEFT(M78,2)="00",K78="TERMINAL"),"00",F78="",TEXT(LEFT($D$1,2),"00"),LEFT(M78,2)="00",$D$2&amp;"",TRUE,LEFT(M78,2))</f>
        <v>00</v>
      </c>
      <c r="Q78" t="str" cm="1">
        <f t="array" ref="Q78">_xlfn.SWITCH(TRUE,AND(RIGHT(M78,2)="00",K78="TERMINAL"),"00",F78="",TEXT(RIGHT($D$1,2),"00"),RIGHT(M78,2)="00",$D$2&amp;"",TRUE,RIGHT(M78,2))</f>
        <v>00</v>
      </c>
      <c r="R78" s="7" cm="1">
        <f t="array" aca="1" ref="R78" ca="1">IF(INDIRECT("$D"&amp;(ROW(R78)+$F$1-1))=0,R77,$D78)</f>
        <v>39</v>
      </c>
      <c r="S78" s="7" cm="1">
        <f t="array" aca="1" ref="S78" ca="1">IF(INDIRECT("$D"&amp;(ROW(R78)+$F$1-1))=0,S77,$D79)</f>
        <v>38</v>
      </c>
      <c r="T78" s="7" cm="1">
        <f t="array" aca="1" ref="T78" ca="1">IF(INDIRECT("$D"&amp;(ROW(R78)+$F$1-1))=0,T77,$D80)</f>
        <v>37</v>
      </c>
      <c r="U78" s="7" cm="1">
        <f t="array" aca="1" ref="U78" ca="1">IF(INDIRECT("$D"&amp;(ROW(R78)+$F$1-1))=0,U77,$D81)</f>
        <v>36</v>
      </c>
      <c r="V78" s="7" cm="1">
        <f t="array" aca="1" ref="V78" ca="1">IF(INDIRECT("$D"&amp;(ROW(R78)+$F$1-1))=0,V77,$D82)</f>
        <v>35</v>
      </c>
      <c r="W78" s="7" cm="1">
        <f t="array" aca="1" ref="W78" ca="1">IF(INDIRECT("$D"&amp;(ROW(R78)+$F$1-1))=0,W77,$D83)</f>
        <v>0</v>
      </c>
      <c r="X78" s="7" t="str" cm="1">
        <f t="array" aca="1" ref="X78" ca="1">IF(INDIRECT("$D"&amp;(ROW(R78)+$F$1-1))=0,X76,$H78&amp;$N78&amp;$O78)</f>
        <v>4630</v>
      </c>
      <c r="Y78" s="7" t="str" cm="1">
        <f t="array" aca="1" ref="Y78" ca="1">IF(INDIRECT("$D"&amp;(ROW(R78)+$F$1-1))=0,Y77,H79&amp;$N79&amp;$O79)</f>
        <v>5530</v>
      </c>
      <c r="Z78" s="7" t="str" cm="1">
        <f t="array" aca="1" ref="Z78" ca="1">IF(INDIRECT("$D"&amp;(ROW(R78)+$F$1-1))=0,Z77,H80&amp;$N80&amp;$O80)</f>
        <v>6030</v>
      </c>
      <c r="AA78" s="7" t="str" cm="1">
        <f t="array" aca="1" ref="AA78" ca="1">IF(INDIRECT("$D"&amp;(ROW(R78)+$F$1-1))=0,AA77,H81&amp;$N81&amp;$O81)</f>
        <v>0000</v>
      </c>
      <c r="AB78" s="7" t="str" cm="1">
        <f t="array" aca="1" ref="AB78" ca="1">IF(INDIRECT("$D"&amp;(ROW(R78)+$F$1-1))=0,AB77,H82&amp;$N82&amp;$O82)</f>
        <v>0560</v>
      </c>
      <c r="AC78" s="7" t="str" cm="1">
        <f t="array" aca="1" ref="AC78" ca="1">IF(INDIRECT("$D"&amp;(ROW(R78)+$F$1-1))=0,AC77,H83&amp;$N83&amp;$O83)</f>
        <v>0000</v>
      </c>
      <c r="AD78" s="7" t="str" cm="1">
        <f t="array" aca="1" ref="AD78" ca="1">IF(INDIRECT("$D"&amp;(ROW(R78)+$F$1-1))=0,AD77,I78&amp;$P78&amp;$Q78)</f>
        <v>5130</v>
      </c>
      <c r="AE78" s="7" t="str" cm="1">
        <f t="array" aca="1" ref="AE78" ca="1">IF(INDIRECT("$D"&amp;(ROW(R78)+$F$1-1))=0,AE77,I79&amp;$P79&amp;$Q79)</f>
        <v>5660</v>
      </c>
      <c r="AF78" s="7" t="str" cm="1">
        <f t="array" aca="1" ref="AF78" ca="1">IF(INDIRECT("$D"&amp;(ROW(R78)+$F$1-1))=0,AF77,I80&amp;$P80&amp;$Q80)</f>
        <v>0160</v>
      </c>
      <c r="AG78" s="7" t="str" cm="1">
        <f t="array" aca="1" ref="AG78" ca="1">IF(INDIRECT("$D"&amp;(ROW(R78)+$F$1-1))=0,AG77,I81&amp;$P81&amp;$Q81)</f>
        <v>0000</v>
      </c>
      <c r="AH78" s="7" t="str" cm="1">
        <f t="array" aca="1" ref="AH78" ca="1">IF(INDIRECT("$D"&amp;(ROW(R78)+$F$1-1))=0,AH77,I82&amp;$P82&amp;$Q82)</f>
        <v>0000</v>
      </c>
      <c r="AI78" s="7" t="str" cm="1">
        <f t="array" aca="1" ref="AI78" ca="1">IF(INDIRECT("$D"&amp;(ROW(R78)+$F$1-1))=0,AI77,I83&amp;$P83&amp;$Q83)</f>
        <v>0000</v>
      </c>
      <c r="AJ78" s="7" t="str" cm="1">
        <f t="array" ref="AJ78">TEXT($D78,"000")&amp;TEXT(IFERROR(INDEX($D$5:$D$103,_xlfn.AGGREGATE(15,6,ROW($E$5:$E$103)/(($E$5:$E$103&lt;&gt;"p")*($E$5:$E$103&lt;&gt;"t")*(ROW($E$5:$E$103)&gt;ROW($E78))),1)-ROW($E$5)+1),$D78),"000")</f>
        <v>000000</v>
      </c>
      <c r="AK78" s="22">
        <f t="shared" si="8"/>
        <v>500</v>
      </c>
      <c r="AL78" s="22" cm="1">
        <f t="array" aca="1" ref="AL78" ca="1">IF(INDIRECT("$K"&amp;(ROW(R78)+$F$1-1))="TERMINAL",1000489,489)*SIGN(AK78)</f>
        <v>1000489</v>
      </c>
      <c r="AM78" s="7" cm="1">
        <f t="array" aca="1" ref="AM78" ca="1">IF(INDIRECT("$D"&amp;(ROW(R78)+$F$1-1))=0,AM77,$G78)</f>
        <v>8</v>
      </c>
      <c r="AN78" s="7" cm="1">
        <f t="array" aca="1" ref="AN78" ca="1">IF(INDIRECT("$D"&amp;(ROW(R78)+$F$1-1))=0,AN77,$G79)</f>
        <v>0</v>
      </c>
      <c r="AO78" s="7" cm="1">
        <f t="array" aca="1" ref="AO78" ca="1">IF(INDIRECT("$D"&amp;(ROW(R78)+$F$1-1))=0,AO77,$G80)</f>
        <v>0</v>
      </c>
      <c r="AP78" s="7" cm="1">
        <f t="array" aca="1" ref="AP78" ca="1">IF(INDIRECT("$D"&amp;(ROW(R78)+$F$1-1))=0,AP77,$G81)</f>
        <v>0</v>
      </c>
      <c r="AQ78" s="7" cm="1">
        <f t="array" aca="1" ref="AQ78" ca="1">IF(INDIRECT("$D"&amp;(ROW(R78)+$F$1-1))=0,AQ77,$G82)</f>
        <v>1</v>
      </c>
      <c r="AR78" s="7" cm="1">
        <f t="array" aca="1" ref="AR78" ca="1">IF(INDIRECT("$D"&amp;(ROW(R78)+$F$1-1))=0,AR77,$G83)</f>
        <v>0</v>
      </c>
      <c r="AS78" s="7" cm="1">
        <f t="array" aca="1" ref="AS78" ca="1">IF(INDIRECT("$D"&amp;(ROW(AS78)+$F$1-1))=0,AS77+4,1)</f>
        <v>221</v>
      </c>
      <c r="AT78" s="7" cm="1">
        <f t="array" aca="1" ref="AT78" ca="1">IF(INDIRECT("$D"&amp;(ROW(AT78)+$F$1-1))=0,AT77+4,2)</f>
        <v>222</v>
      </c>
      <c r="AU78" s="7" cm="1">
        <f t="array" aca="1" ref="AU78" ca="1">IF(INDIRECT("$D"&amp;(ROW(AU78)+$F$1-1))=0,AU77+4,3)</f>
        <v>223</v>
      </c>
      <c r="AV78" s="7" cm="1">
        <f t="array" aca="1" ref="AV78" ca="1">IF(INDIRECT("$D"&amp;(ROW(AV78)+$F$1-1))=0,AV77+4,4)</f>
        <v>224</v>
      </c>
      <c r="AW78" s="22" cm="1">
        <f t="array" aca="1" ref="AW78" ca="1">_xlfn.XLOOKUP(1,INDIRECT("J"&amp;ROW(K78)+$F$1):J$103,INDIRECT("D"&amp;ROW(K78)+$F$1):D$103,0,0,1)</f>
        <v>0</v>
      </c>
      <c r="AX78" s="22">
        <f t="shared" ca="1" si="9"/>
        <v>0</v>
      </c>
      <c r="AY78" s="22" cm="1">
        <f t="array" aca="1" ref="AY78" ca="1">_xlfn.XLOOKUP(AW78,D$4:D$110,H$4:H$110&amp;N$4:N$110&amp;O$4:O$110,0,0,1)</f>
        <v>0</v>
      </c>
      <c r="AZ78" s="22" cm="1">
        <f t="array" aca="1" ref="AZ78" ca="1">_xlfn.XLOOKUP(AW78,D$4:D$110,I$4:I$110&amp;P$4:P$110&amp;Q$4:Q$110,0,0,1)</f>
        <v>0</v>
      </c>
      <c r="BA78" s="14" cm="1">
        <f t="array" ref="BA78">_xlfn.XLOOKUP(1,J$4:J77,D$4:D77,0,0,-1)</f>
        <v>35</v>
      </c>
      <c r="BB78" s="14">
        <f t="shared" si="11"/>
        <v>1</v>
      </c>
      <c r="BC78" s="14" t="str" cm="1">
        <f t="array" ref="BC78">_xlfn.SWITCH(TRUE,_xlfn.XLOOKUP(BA78,D$4:D$110,TEXT(F$4:F$110,"HH"),0,0,1)="00",B76&amp;"",_xlfn.XLOOKUP(BA78,D$4:D$110,TEXT(F$4:F$110,"HH"),0,0,1)="T","00",TRUE,_xlfn.XLOOKUP(BA78,D$4:D$110,TEXT(F$4:F$110,"HH"),0,0,1))</f>
        <v>00</v>
      </c>
      <c r="BD78" s="14" t="str">
        <f t="shared" si="10"/>
        <v>000000</v>
      </c>
    </row>
    <row r="79" spans="1:56">
      <c r="A79" s="2">
        <v>76</v>
      </c>
      <c r="B79" s="5"/>
      <c r="C79" s="5"/>
      <c r="D79" s="5"/>
      <c r="E79" s="5"/>
      <c r="F79" s="5"/>
      <c r="G79" s="5"/>
      <c r="H79" s="5"/>
      <c r="I79" s="5"/>
      <c r="J79" s="5">
        <f t="shared" si="7"/>
        <v>0</v>
      </c>
      <c r="K79" s="7" t="str">
        <f t="shared" si="6"/>
        <v>terminal</v>
      </c>
      <c r="L79" s="7" t="str" cm="1">
        <f t="array" ref="L79">_xlfn.SWITCH(TRUE,$K79="PASS",TEXT($B$1,"0000"),AND($K79="STOP",E79=""),TEXT($D$1,"0000"),$K78="TERMINAL","0000",TRUE,TEXT(E79,"MMSS"))</f>
        <v>0000</v>
      </c>
      <c r="M79" s="7" t="str" cm="1">
        <f t="array" ref="M79">_xlfn.SWITCH(TRUE,$K79="PASS",TEXT($B$1,"0000"),AND($K79="STOP",F79=""),TEXT($D$1,"0000"),$K79="TERMINAL","0000",TRUE,TEXT(F79,"MMSS"))</f>
        <v>0000</v>
      </c>
      <c r="N79" t="str" cm="1">
        <f t="array" ref="N79">_xlfn.SWITCH(TRUE,AND(LEFT(L79,2)="00",K79="TERMINAL"),"00",E79="",TEXT(LEFT($D$1,2),"00"),LEFT(L79,2)="00",$D$2&amp;"",TRUE,LEFT(L79,2))</f>
        <v>00</v>
      </c>
      <c r="O79" t="str" cm="1">
        <f t="array" ref="O79">_xlfn.SWITCH(TRUE,AND(N79="00",RIGHT(L79,2)="00",K79="TERMINAL"),"00",OR(E79="",N79=LEFT($B$1,2)),TEXT(RIGHT($D$1,2),"00"),RIGHT(L79,2)="00",$D$2&amp;"",TRUE,RIGHT(L79,2))</f>
        <v>00</v>
      </c>
      <c r="P79" t="str" cm="1">
        <f t="array" ref="P79">_xlfn.SWITCH(TRUE,AND(LEFT(M79,2)="00",K79="TERMINAL"),"00",F79="",TEXT(LEFT($D$1,2),"00"),LEFT(M79,2)="00",$D$2&amp;"",TRUE,LEFT(M79,2))</f>
        <v>00</v>
      </c>
      <c r="Q79" t="str" cm="1">
        <f t="array" ref="Q79">_xlfn.SWITCH(TRUE,AND(RIGHT(M79,2)="00",K79="TERMINAL"),"00",F79="",TEXT(RIGHT($D$1,2),"00"),RIGHT(M79,2)="00",$D$2&amp;"",TRUE,RIGHT(M79,2))</f>
        <v>00</v>
      </c>
      <c r="R79" s="7" cm="1">
        <f t="array" aca="1" ref="R79" ca="1">IF(INDIRECT("$D"&amp;(ROW(R79)+$F$1-1))=0,R78,$D79)</f>
        <v>39</v>
      </c>
      <c r="S79" s="7" cm="1">
        <f t="array" aca="1" ref="S79" ca="1">IF(INDIRECT("$D"&amp;(ROW(R79)+$F$1-1))=0,S78,$D80)</f>
        <v>38</v>
      </c>
      <c r="T79" s="7" cm="1">
        <f t="array" aca="1" ref="T79" ca="1">IF(INDIRECT("$D"&amp;(ROW(R79)+$F$1-1))=0,T78,$D81)</f>
        <v>37</v>
      </c>
      <c r="U79" s="7" cm="1">
        <f t="array" aca="1" ref="U79" ca="1">IF(INDIRECT("$D"&amp;(ROW(R79)+$F$1-1))=0,U78,$D82)</f>
        <v>36</v>
      </c>
      <c r="V79" s="7" cm="1">
        <f t="array" aca="1" ref="V79" ca="1">IF(INDIRECT("$D"&amp;(ROW(R79)+$F$1-1))=0,V78,$D83)</f>
        <v>35</v>
      </c>
      <c r="W79" s="7" cm="1">
        <f t="array" aca="1" ref="W79" ca="1">IF(INDIRECT("$D"&amp;(ROW(R79)+$F$1-1))=0,W78,$D84)</f>
        <v>0</v>
      </c>
      <c r="X79" s="7" t="str" cm="1">
        <f t="array" aca="1" ref="X79" ca="1">IF(INDIRECT("$D"&amp;(ROW(R79)+$F$1-1))=0,X77,$H79&amp;$N79&amp;$O79)</f>
        <v>5160</v>
      </c>
      <c r="Y79" s="7" t="str" cm="1">
        <f t="array" aca="1" ref="Y79" ca="1">IF(INDIRECT("$D"&amp;(ROW(R79)+$F$1-1))=0,Y78,H80&amp;$N80&amp;$O80)</f>
        <v>5530</v>
      </c>
      <c r="Z79" s="7" t="str" cm="1">
        <f t="array" aca="1" ref="Z79" ca="1">IF(INDIRECT("$D"&amp;(ROW(R79)+$F$1-1))=0,Z78,H81&amp;$N81&amp;$O81)</f>
        <v>6030</v>
      </c>
      <c r="AA79" s="7" t="str" cm="1">
        <f t="array" aca="1" ref="AA79" ca="1">IF(INDIRECT("$D"&amp;(ROW(R79)+$F$1-1))=0,AA78,H82&amp;$N82&amp;$O82)</f>
        <v>0000</v>
      </c>
      <c r="AB79" s="7" t="str" cm="1">
        <f t="array" aca="1" ref="AB79" ca="1">IF(INDIRECT("$D"&amp;(ROW(R79)+$F$1-1))=0,AB78,H83&amp;$N83&amp;$O83)</f>
        <v>0560</v>
      </c>
      <c r="AC79" s="7" t="str" cm="1">
        <f t="array" aca="1" ref="AC79" ca="1">IF(INDIRECT("$D"&amp;(ROW(R79)+$F$1-1))=0,AC78,H84&amp;$N84&amp;$O84)</f>
        <v>0000</v>
      </c>
      <c r="AD79" s="7" t="str" cm="1">
        <f t="array" aca="1" ref="AD79" ca="1">IF(INDIRECT("$D"&amp;(ROW(R79)+$F$1-1))=0,AD78,I79&amp;$P79&amp;$Q79)</f>
        <v>5130</v>
      </c>
      <c r="AE79" s="7" t="str" cm="1">
        <f t="array" aca="1" ref="AE79" ca="1">IF(INDIRECT("$D"&amp;(ROW(R79)+$F$1-1))=0,AE78,I80&amp;$P80&amp;$Q80)</f>
        <v>5660</v>
      </c>
      <c r="AF79" s="7" t="str" cm="1">
        <f t="array" aca="1" ref="AF79" ca="1">IF(INDIRECT("$D"&amp;(ROW(R79)+$F$1-1))=0,AF78,I81&amp;$P81&amp;$Q81)</f>
        <v>0160</v>
      </c>
      <c r="AG79" s="7" t="str" cm="1">
        <f t="array" aca="1" ref="AG79" ca="1">IF(INDIRECT("$D"&amp;(ROW(R79)+$F$1-1))=0,AG78,I82&amp;$P82&amp;$Q82)</f>
        <v>0000</v>
      </c>
      <c r="AH79" s="7" t="str" cm="1">
        <f t="array" aca="1" ref="AH79" ca="1">IF(INDIRECT("$D"&amp;(ROW(R79)+$F$1-1))=0,AH78,I83&amp;$P83&amp;$Q83)</f>
        <v>0000</v>
      </c>
      <c r="AI79" s="7" t="str" cm="1">
        <f t="array" aca="1" ref="AI79" ca="1">IF(INDIRECT("$D"&amp;(ROW(R79)+$F$1-1))=0,AI78,I84&amp;$P84&amp;$Q84)</f>
        <v>0000</v>
      </c>
      <c r="AJ79" s="7" t="str" cm="1">
        <f t="array" ref="AJ79">TEXT($D79,"000")&amp;TEXT(IFERROR(INDEX($D$5:$D$103,_xlfn.AGGREGATE(15,6,ROW($E$5:$E$103)/(($E$5:$E$103&lt;&gt;"p")*($E$5:$E$103&lt;&gt;"t")*(ROW($E$5:$E$103)&gt;ROW($E79))),1)-ROW($E$5)+1),$D79),"000")</f>
        <v>000000</v>
      </c>
      <c r="AK79" s="22">
        <f t="shared" si="8"/>
        <v>500</v>
      </c>
      <c r="AL79" s="22" cm="1">
        <f t="array" aca="1" ref="AL79" ca="1">IF(INDIRECT("$K"&amp;(ROW(R79)+$F$1-1))="TERMINAL",1000489,489)*SIGN(AK79)</f>
        <v>1000489</v>
      </c>
      <c r="AM79" s="7" cm="1">
        <f t="array" aca="1" ref="AM79" ca="1">IF(INDIRECT("$D"&amp;(ROW(R79)+$F$1-1))=0,AM78,$G79)</f>
        <v>8</v>
      </c>
      <c r="AN79" s="7" cm="1">
        <f t="array" aca="1" ref="AN79" ca="1">IF(INDIRECT("$D"&amp;(ROW(R79)+$F$1-1))=0,AN78,$G80)</f>
        <v>0</v>
      </c>
      <c r="AO79" s="7" cm="1">
        <f t="array" aca="1" ref="AO79" ca="1">IF(INDIRECT("$D"&amp;(ROW(R79)+$F$1-1))=0,AO78,$G81)</f>
        <v>0</v>
      </c>
      <c r="AP79" s="7" cm="1">
        <f t="array" aca="1" ref="AP79" ca="1">IF(INDIRECT("$D"&amp;(ROW(R79)+$F$1-1))=0,AP78,$G82)</f>
        <v>0</v>
      </c>
      <c r="AQ79" s="7" cm="1">
        <f t="array" aca="1" ref="AQ79" ca="1">IF(INDIRECT("$D"&amp;(ROW(R79)+$F$1-1))=0,AQ78,$G83)</f>
        <v>1</v>
      </c>
      <c r="AR79" s="7" cm="1">
        <f t="array" aca="1" ref="AR79" ca="1">IF(INDIRECT("$D"&amp;(ROW(R79)+$F$1-1))=0,AR78,$G84)</f>
        <v>0</v>
      </c>
      <c r="AS79" s="7" cm="1">
        <f t="array" aca="1" ref="AS79" ca="1">IF(INDIRECT("$D"&amp;(ROW(AS79)+$F$1-1))=0,AS78+4,1)</f>
        <v>225</v>
      </c>
      <c r="AT79" s="7" cm="1">
        <f t="array" aca="1" ref="AT79" ca="1">IF(INDIRECT("$D"&amp;(ROW(AT79)+$F$1-1))=0,AT78+4,2)</f>
        <v>226</v>
      </c>
      <c r="AU79" s="7" cm="1">
        <f t="array" aca="1" ref="AU79" ca="1">IF(INDIRECT("$D"&amp;(ROW(AU79)+$F$1-1))=0,AU78+4,3)</f>
        <v>227</v>
      </c>
      <c r="AV79" s="7" cm="1">
        <f t="array" aca="1" ref="AV79" ca="1">IF(INDIRECT("$D"&amp;(ROW(AV79)+$F$1-1))=0,AV78+4,4)</f>
        <v>228</v>
      </c>
      <c r="AW79" s="22" cm="1">
        <f t="array" aca="1" ref="AW79" ca="1">_xlfn.XLOOKUP(1,INDIRECT("J"&amp;ROW(K79)+$F$1):J$103,INDIRECT("D"&amp;ROW(K79)+$F$1):D$103,0,0,1)</f>
        <v>0</v>
      </c>
      <c r="AX79" s="22">
        <f t="shared" ca="1" si="9"/>
        <v>0</v>
      </c>
      <c r="AY79" s="22" cm="1">
        <f t="array" aca="1" ref="AY79" ca="1">_xlfn.XLOOKUP(AW79,D$4:D$110,H$4:H$110&amp;N$4:N$110&amp;O$4:O$110,0,0,1)</f>
        <v>0</v>
      </c>
      <c r="AZ79" s="22" cm="1">
        <f t="array" aca="1" ref="AZ79" ca="1">_xlfn.XLOOKUP(AW79,D$4:D$110,I$4:I$110&amp;P$4:P$110&amp;Q$4:Q$110,0,0,1)</f>
        <v>0</v>
      </c>
      <c r="BA79" s="14" cm="1">
        <f t="array" ref="BA79">_xlfn.XLOOKUP(1,J$4:J78,D$4:D78,0,0,-1)</f>
        <v>35</v>
      </c>
      <c r="BB79" s="14">
        <f t="shared" si="11"/>
        <v>1</v>
      </c>
      <c r="BC79" s="14" t="str" cm="1">
        <f t="array" ref="BC79">_xlfn.SWITCH(TRUE,_xlfn.XLOOKUP(BA79,D$4:D$110,TEXT(F$4:F$110,"HH"),0,0,1)="00",B77&amp;"",_xlfn.XLOOKUP(BA79,D$4:D$110,TEXT(F$4:F$110,"HH"),0,0,1)="T","00",TRUE,_xlfn.XLOOKUP(BA79,D$4:D$110,TEXT(F$4:F$110,"HH"),0,0,1))</f>
        <v>00</v>
      </c>
      <c r="BD79" s="14" t="str">
        <f t="shared" si="10"/>
        <v>000000</v>
      </c>
    </row>
    <row r="80" spans="1:56">
      <c r="A80" s="2">
        <v>77</v>
      </c>
      <c r="B80" s="5"/>
      <c r="C80" s="5"/>
      <c r="D80" s="5"/>
      <c r="E80" s="5"/>
      <c r="F80" s="5"/>
      <c r="G80" s="5"/>
      <c r="H80" s="5"/>
      <c r="I80" s="5"/>
      <c r="J80" s="5">
        <f t="shared" si="7"/>
        <v>0</v>
      </c>
      <c r="K80" s="7" t="str">
        <f t="shared" si="6"/>
        <v>terminal</v>
      </c>
      <c r="L80" s="7" t="str" cm="1">
        <f t="array" ref="L80">_xlfn.SWITCH(TRUE,$K80="PASS",TEXT($B$1,"0000"),AND($K80="STOP",E80=""),TEXT($D$1,"0000"),$K79="TERMINAL","0000",TRUE,TEXT(E80,"MMSS"))</f>
        <v>0000</v>
      </c>
      <c r="M80" s="7" t="str" cm="1">
        <f t="array" ref="M80">_xlfn.SWITCH(TRUE,$K80="PASS",TEXT($B$1,"0000"),AND($K80="STOP",F80=""),TEXT($D$1,"0000"),$K80="TERMINAL","0000",TRUE,TEXT(F80,"MMSS"))</f>
        <v>0000</v>
      </c>
      <c r="N80" t="str" cm="1">
        <f t="array" ref="N80">_xlfn.SWITCH(TRUE,AND(LEFT(L80,2)="00",K80="TERMINAL"),"00",E80="",TEXT(LEFT($D$1,2),"00"),LEFT(L80,2)="00",$D$2&amp;"",TRUE,LEFT(L80,2))</f>
        <v>00</v>
      </c>
      <c r="O80" t="str" cm="1">
        <f t="array" ref="O80">_xlfn.SWITCH(TRUE,AND(N80="00",RIGHT(L80,2)="00",K80="TERMINAL"),"00",OR(E80="",N80=LEFT($B$1,2)),TEXT(RIGHT($D$1,2),"00"),RIGHT(L80,2)="00",$D$2&amp;"",TRUE,RIGHT(L80,2))</f>
        <v>00</v>
      </c>
      <c r="P80" t="str" cm="1">
        <f t="array" ref="P80">_xlfn.SWITCH(TRUE,AND(LEFT(M80,2)="00",K80="TERMINAL"),"00",F80="",TEXT(LEFT($D$1,2),"00"),LEFT(M80,2)="00",$D$2&amp;"",TRUE,LEFT(M80,2))</f>
        <v>00</v>
      </c>
      <c r="Q80" t="str" cm="1">
        <f t="array" ref="Q80">_xlfn.SWITCH(TRUE,AND(RIGHT(M80,2)="00",K80="TERMINAL"),"00",F80="",TEXT(RIGHT($D$1,2),"00"),RIGHT(M80,2)="00",$D$2&amp;"",TRUE,RIGHT(M80,2))</f>
        <v>00</v>
      </c>
      <c r="R80" s="7" cm="1">
        <f t="array" aca="1" ref="R80" ca="1">IF(INDIRECT("$D"&amp;(ROW(R80)+$F$1-1))=0,R79,$D80)</f>
        <v>39</v>
      </c>
      <c r="S80" s="7" cm="1">
        <f t="array" aca="1" ref="S80" ca="1">IF(INDIRECT("$D"&amp;(ROW(R80)+$F$1-1))=0,S79,$D81)</f>
        <v>38</v>
      </c>
      <c r="T80" s="7" cm="1">
        <f t="array" aca="1" ref="T80" ca="1">IF(INDIRECT("$D"&amp;(ROW(R80)+$F$1-1))=0,T79,$D82)</f>
        <v>37</v>
      </c>
      <c r="U80" s="7" cm="1">
        <f t="array" aca="1" ref="U80" ca="1">IF(INDIRECT("$D"&amp;(ROW(R80)+$F$1-1))=0,U79,$D83)</f>
        <v>36</v>
      </c>
      <c r="V80" s="7" cm="1">
        <f t="array" aca="1" ref="V80" ca="1">IF(INDIRECT("$D"&amp;(ROW(R80)+$F$1-1))=0,V79,$D84)</f>
        <v>35</v>
      </c>
      <c r="W80" s="7" cm="1">
        <f t="array" aca="1" ref="W80" ca="1">IF(INDIRECT("$D"&amp;(ROW(R80)+$F$1-1))=0,W79,$D85)</f>
        <v>0</v>
      </c>
      <c r="X80" s="7" t="str" cm="1">
        <f t="array" aca="1" ref="X80" ca="1">IF(INDIRECT("$D"&amp;(ROW(R80)+$F$1-1))=0,X78,$H80&amp;$N80&amp;$O80)</f>
        <v>4630</v>
      </c>
      <c r="Y80" s="7" t="str" cm="1">
        <f t="array" aca="1" ref="Y80" ca="1">IF(INDIRECT("$D"&amp;(ROW(R80)+$F$1-1))=0,Y79,H81&amp;$N81&amp;$O81)</f>
        <v>5530</v>
      </c>
      <c r="Z80" s="7" t="str" cm="1">
        <f t="array" aca="1" ref="Z80" ca="1">IF(INDIRECT("$D"&amp;(ROW(R80)+$F$1-1))=0,Z79,H82&amp;$N82&amp;$O82)</f>
        <v>6030</v>
      </c>
      <c r="AA80" s="7" t="str" cm="1">
        <f t="array" aca="1" ref="AA80" ca="1">IF(INDIRECT("$D"&amp;(ROW(R80)+$F$1-1))=0,AA79,H83&amp;$N83&amp;$O83)</f>
        <v>0000</v>
      </c>
      <c r="AB80" s="7" t="str" cm="1">
        <f t="array" aca="1" ref="AB80" ca="1">IF(INDIRECT("$D"&amp;(ROW(R80)+$F$1-1))=0,AB79,H84&amp;$N84&amp;$O84)</f>
        <v>0560</v>
      </c>
      <c r="AC80" s="7" t="str" cm="1">
        <f t="array" aca="1" ref="AC80" ca="1">IF(INDIRECT("$D"&amp;(ROW(R80)+$F$1-1))=0,AC79,H85&amp;$N85&amp;$O85)</f>
        <v>0000</v>
      </c>
      <c r="AD80" s="7" t="str" cm="1">
        <f t="array" aca="1" ref="AD80" ca="1">IF(INDIRECT("$D"&amp;(ROW(R80)+$F$1-1))=0,AD79,I80&amp;$P80&amp;$Q80)</f>
        <v>5130</v>
      </c>
      <c r="AE80" s="7" t="str" cm="1">
        <f t="array" aca="1" ref="AE80" ca="1">IF(INDIRECT("$D"&amp;(ROW(R80)+$F$1-1))=0,AE79,I81&amp;$P81&amp;$Q81)</f>
        <v>5660</v>
      </c>
      <c r="AF80" s="7" t="str" cm="1">
        <f t="array" aca="1" ref="AF80" ca="1">IF(INDIRECT("$D"&amp;(ROW(R80)+$F$1-1))=0,AF79,I82&amp;$P82&amp;$Q82)</f>
        <v>0160</v>
      </c>
      <c r="AG80" s="7" t="str" cm="1">
        <f t="array" aca="1" ref="AG80" ca="1">IF(INDIRECT("$D"&amp;(ROW(R80)+$F$1-1))=0,AG79,I83&amp;$P83&amp;$Q83)</f>
        <v>0000</v>
      </c>
      <c r="AH80" s="7" t="str" cm="1">
        <f t="array" aca="1" ref="AH80" ca="1">IF(INDIRECT("$D"&amp;(ROW(R80)+$F$1-1))=0,AH79,I84&amp;$P84&amp;$Q84)</f>
        <v>0000</v>
      </c>
      <c r="AI80" s="7" t="str" cm="1">
        <f t="array" aca="1" ref="AI80" ca="1">IF(INDIRECT("$D"&amp;(ROW(R80)+$F$1-1))=0,AI79,I85&amp;$P85&amp;$Q85)</f>
        <v>0000</v>
      </c>
      <c r="AJ80" s="7" t="str" cm="1">
        <f t="array" ref="AJ80">TEXT($D80,"000")&amp;TEXT(IFERROR(INDEX($D$5:$D$103,_xlfn.AGGREGATE(15,6,ROW($E$5:$E$103)/(($E$5:$E$103&lt;&gt;"p")*($E$5:$E$103&lt;&gt;"t")*(ROW($E$5:$E$103)&gt;ROW($E80))),1)-ROW($E$5)+1),$D80),"000")</f>
        <v>000000</v>
      </c>
      <c r="AK80" s="22">
        <f t="shared" si="8"/>
        <v>500</v>
      </c>
      <c r="AL80" s="22" cm="1">
        <f t="array" aca="1" ref="AL80" ca="1">IF(INDIRECT("$K"&amp;(ROW(R80)+$F$1-1))="TERMINAL",1000489,489)*SIGN(AK80)</f>
        <v>1000489</v>
      </c>
      <c r="AM80" s="7" cm="1">
        <f t="array" aca="1" ref="AM80" ca="1">IF(INDIRECT("$D"&amp;(ROW(R80)+$F$1-1))=0,AM79,$G80)</f>
        <v>8</v>
      </c>
      <c r="AN80" s="7" cm="1">
        <f t="array" aca="1" ref="AN80" ca="1">IF(INDIRECT("$D"&amp;(ROW(R80)+$F$1-1))=0,AN79,$G81)</f>
        <v>0</v>
      </c>
      <c r="AO80" s="7" cm="1">
        <f t="array" aca="1" ref="AO80" ca="1">IF(INDIRECT("$D"&amp;(ROW(R80)+$F$1-1))=0,AO79,$G82)</f>
        <v>0</v>
      </c>
      <c r="AP80" s="7" cm="1">
        <f t="array" aca="1" ref="AP80" ca="1">IF(INDIRECT("$D"&amp;(ROW(R80)+$F$1-1))=0,AP79,$G83)</f>
        <v>0</v>
      </c>
      <c r="AQ80" s="7" cm="1">
        <f t="array" aca="1" ref="AQ80" ca="1">IF(INDIRECT("$D"&amp;(ROW(R80)+$F$1-1))=0,AQ79,$G84)</f>
        <v>1</v>
      </c>
      <c r="AR80" s="7" cm="1">
        <f t="array" aca="1" ref="AR80" ca="1">IF(INDIRECT("$D"&amp;(ROW(R80)+$F$1-1))=0,AR79,$G85)</f>
        <v>0</v>
      </c>
      <c r="AS80" s="7" cm="1">
        <f t="array" aca="1" ref="AS80" ca="1">IF(INDIRECT("$D"&amp;(ROW(AS80)+$F$1-1))=0,AS79+4,1)</f>
        <v>229</v>
      </c>
      <c r="AT80" s="7" cm="1">
        <f t="array" aca="1" ref="AT80" ca="1">IF(INDIRECT("$D"&amp;(ROW(AT80)+$F$1-1))=0,AT79+4,2)</f>
        <v>230</v>
      </c>
      <c r="AU80" s="7" cm="1">
        <f t="array" aca="1" ref="AU80" ca="1">IF(INDIRECT("$D"&amp;(ROW(AU80)+$F$1-1))=0,AU79+4,3)</f>
        <v>231</v>
      </c>
      <c r="AV80" s="7" cm="1">
        <f t="array" aca="1" ref="AV80" ca="1">IF(INDIRECT("$D"&amp;(ROW(AV80)+$F$1-1))=0,AV79+4,4)</f>
        <v>232</v>
      </c>
      <c r="AW80" s="22" cm="1">
        <f t="array" aca="1" ref="AW80" ca="1">_xlfn.XLOOKUP(1,INDIRECT("J"&amp;ROW(K80)+$F$1):J$103,INDIRECT("D"&amp;ROW(K80)+$F$1):D$103,0,0,1)</f>
        <v>0</v>
      </c>
      <c r="AX80" s="22">
        <f t="shared" ca="1" si="9"/>
        <v>0</v>
      </c>
      <c r="AY80" s="22" cm="1">
        <f t="array" aca="1" ref="AY80" ca="1">_xlfn.XLOOKUP(AW80,D$4:D$110,H$4:H$110&amp;N$4:N$110&amp;O$4:O$110,0,0,1)</f>
        <v>0</v>
      </c>
      <c r="AZ80" s="22" cm="1">
        <f t="array" aca="1" ref="AZ80" ca="1">_xlfn.XLOOKUP(AW80,D$4:D$110,I$4:I$110&amp;P$4:P$110&amp;Q$4:Q$110,0,0,1)</f>
        <v>0</v>
      </c>
      <c r="BA80" s="14" cm="1">
        <f t="array" ref="BA80">_xlfn.XLOOKUP(1,J$4:J79,D$4:D79,0,0,-1)</f>
        <v>35</v>
      </c>
      <c r="BB80" s="14">
        <f t="shared" si="11"/>
        <v>1</v>
      </c>
      <c r="BC80" s="14" t="str" cm="1">
        <f t="array" ref="BC80">_xlfn.SWITCH(TRUE,_xlfn.XLOOKUP(BA80,D$4:D$110,TEXT(F$4:F$110,"HH"),0,0,1)="00",B78&amp;"",_xlfn.XLOOKUP(BA80,D$4:D$110,TEXT(F$4:F$110,"HH"),0,0,1)="T","00",TRUE,_xlfn.XLOOKUP(BA80,D$4:D$110,TEXT(F$4:F$110,"HH"),0,0,1))</f>
        <v>00</v>
      </c>
      <c r="BD80" s="14" t="str">
        <f t="shared" si="10"/>
        <v>000000</v>
      </c>
    </row>
    <row r="81" spans="1:56">
      <c r="A81" s="2">
        <v>78</v>
      </c>
      <c r="B81" s="5"/>
      <c r="C81" s="5"/>
      <c r="D81" s="5"/>
      <c r="E81" s="5"/>
      <c r="F81" s="5"/>
      <c r="G81" s="5"/>
      <c r="H81" s="5"/>
      <c r="I81" s="5"/>
      <c r="J81" s="5">
        <f t="shared" si="7"/>
        <v>0</v>
      </c>
      <c r="K81" s="7" t="str">
        <f t="shared" si="6"/>
        <v>terminal</v>
      </c>
      <c r="L81" s="7" t="str" cm="1">
        <f t="array" ref="L81">_xlfn.SWITCH(TRUE,$K81="PASS",TEXT($B$1,"0000"),AND($K81="STOP",E81=""),TEXT($D$1,"0000"),$K80="TERMINAL","0000",TRUE,TEXT(E81,"MMSS"))</f>
        <v>0000</v>
      </c>
      <c r="M81" s="7" t="str" cm="1">
        <f t="array" ref="M81">_xlfn.SWITCH(TRUE,$K81="PASS",TEXT($B$1,"0000"),AND($K81="STOP",F81=""),TEXT($D$1,"0000"),$K81="TERMINAL","0000",TRUE,TEXT(F81,"MMSS"))</f>
        <v>0000</v>
      </c>
      <c r="N81" t="str" cm="1">
        <f t="array" ref="N81">_xlfn.SWITCH(TRUE,AND(LEFT(L81,2)="00",K81="TERMINAL"),"00",E81="",TEXT(LEFT($D$1,2),"00"),LEFT(L81,2)="00",$D$2&amp;"",TRUE,LEFT(L81,2))</f>
        <v>00</v>
      </c>
      <c r="O81" t="str" cm="1">
        <f t="array" ref="O81">_xlfn.SWITCH(TRUE,AND(N81="00",RIGHT(L81,2)="00",K81="TERMINAL"),"00",OR(E81="",N81=LEFT($B$1,2)),TEXT(RIGHT($D$1,2),"00"),RIGHT(L81,2)="00",$D$2&amp;"",TRUE,RIGHT(L81,2))</f>
        <v>00</v>
      </c>
      <c r="P81" t="str" cm="1">
        <f t="array" ref="P81">_xlfn.SWITCH(TRUE,AND(LEFT(M81,2)="00",K81="TERMINAL"),"00",F81="",TEXT(LEFT($D$1,2),"00"),LEFT(M81,2)="00",$D$2&amp;"",TRUE,LEFT(M81,2))</f>
        <v>00</v>
      </c>
      <c r="Q81" t="str" cm="1">
        <f t="array" ref="Q81">_xlfn.SWITCH(TRUE,AND(RIGHT(M81,2)="00",K81="TERMINAL"),"00",F81="",TEXT(RIGHT($D$1,2),"00"),RIGHT(M81,2)="00",$D$2&amp;"",TRUE,RIGHT(M81,2))</f>
        <v>00</v>
      </c>
      <c r="R81" s="7" cm="1">
        <f t="array" aca="1" ref="R81" ca="1">IF(INDIRECT("$D"&amp;(ROW(R81)+$F$1-1))=0,R80,$D81)</f>
        <v>39</v>
      </c>
      <c r="S81" s="7" cm="1">
        <f t="array" aca="1" ref="S81" ca="1">IF(INDIRECT("$D"&amp;(ROW(R81)+$F$1-1))=0,S80,$D82)</f>
        <v>38</v>
      </c>
      <c r="T81" s="7" cm="1">
        <f t="array" aca="1" ref="T81" ca="1">IF(INDIRECT("$D"&amp;(ROW(R81)+$F$1-1))=0,T80,$D83)</f>
        <v>37</v>
      </c>
      <c r="U81" s="7" cm="1">
        <f t="array" aca="1" ref="U81" ca="1">IF(INDIRECT("$D"&amp;(ROW(R81)+$F$1-1))=0,U80,$D84)</f>
        <v>36</v>
      </c>
      <c r="V81" s="7" cm="1">
        <f t="array" aca="1" ref="V81" ca="1">IF(INDIRECT("$D"&amp;(ROW(R81)+$F$1-1))=0,V80,$D85)</f>
        <v>35</v>
      </c>
      <c r="W81" s="7" cm="1">
        <f t="array" aca="1" ref="W81" ca="1">IF(INDIRECT("$D"&amp;(ROW(R81)+$F$1-1))=0,W80,$D86)</f>
        <v>0</v>
      </c>
      <c r="X81" s="7" t="str" cm="1">
        <f t="array" aca="1" ref="X81" ca="1">IF(INDIRECT("$D"&amp;(ROW(R81)+$F$1-1))=0,X79,$H81&amp;$N81&amp;$O81)</f>
        <v>5160</v>
      </c>
      <c r="Y81" s="7" t="str" cm="1">
        <f t="array" aca="1" ref="Y81" ca="1">IF(INDIRECT("$D"&amp;(ROW(R81)+$F$1-1))=0,Y80,H82&amp;$N82&amp;$O82)</f>
        <v>5530</v>
      </c>
      <c r="Z81" s="7" t="str" cm="1">
        <f t="array" aca="1" ref="Z81" ca="1">IF(INDIRECT("$D"&amp;(ROW(R81)+$F$1-1))=0,Z80,H83&amp;$N83&amp;$O83)</f>
        <v>6030</v>
      </c>
      <c r="AA81" s="7" t="str" cm="1">
        <f t="array" aca="1" ref="AA81" ca="1">IF(INDIRECT("$D"&amp;(ROW(R81)+$F$1-1))=0,AA80,H84&amp;$N84&amp;$O84)</f>
        <v>0000</v>
      </c>
      <c r="AB81" s="7" t="str" cm="1">
        <f t="array" aca="1" ref="AB81" ca="1">IF(INDIRECT("$D"&amp;(ROW(R81)+$F$1-1))=0,AB80,H85&amp;$N85&amp;$O85)</f>
        <v>0560</v>
      </c>
      <c r="AC81" s="7" t="str" cm="1">
        <f t="array" aca="1" ref="AC81" ca="1">IF(INDIRECT("$D"&amp;(ROW(R81)+$F$1-1))=0,AC80,H86&amp;$N86&amp;$O86)</f>
        <v>0000</v>
      </c>
      <c r="AD81" s="7" t="str" cm="1">
        <f t="array" aca="1" ref="AD81" ca="1">IF(INDIRECT("$D"&amp;(ROW(R81)+$F$1-1))=0,AD80,I81&amp;$P81&amp;$Q81)</f>
        <v>5130</v>
      </c>
      <c r="AE81" s="7" t="str" cm="1">
        <f t="array" aca="1" ref="AE81" ca="1">IF(INDIRECT("$D"&amp;(ROW(R81)+$F$1-1))=0,AE80,I82&amp;$P82&amp;$Q82)</f>
        <v>5660</v>
      </c>
      <c r="AF81" s="7" t="str" cm="1">
        <f t="array" aca="1" ref="AF81" ca="1">IF(INDIRECT("$D"&amp;(ROW(R81)+$F$1-1))=0,AF80,I83&amp;$P83&amp;$Q83)</f>
        <v>0160</v>
      </c>
      <c r="AG81" s="7" t="str" cm="1">
        <f t="array" aca="1" ref="AG81" ca="1">IF(INDIRECT("$D"&amp;(ROW(R81)+$F$1-1))=0,AG80,I84&amp;$P84&amp;$Q84)</f>
        <v>0000</v>
      </c>
      <c r="AH81" s="7" t="str" cm="1">
        <f t="array" aca="1" ref="AH81" ca="1">IF(INDIRECT("$D"&amp;(ROW(R81)+$F$1-1))=0,AH80,I85&amp;$P85&amp;$Q85)</f>
        <v>0000</v>
      </c>
      <c r="AI81" s="7" t="str" cm="1">
        <f t="array" aca="1" ref="AI81" ca="1">IF(INDIRECT("$D"&amp;(ROW(R81)+$F$1-1))=0,AI80,I86&amp;$P86&amp;$Q86)</f>
        <v>0000</v>
      </c>
      <c r="AJ81" s="7" t="str" cm="1">
        <f t="array" ref="AJ81">TEXT($D81,"000")&amp;TEXT(IFERROR(INDEX($D$5:$D$103,_xlfn.AGGREGATE(15,6,ROW($E$5:$E$103)/(($E$5:$E$103&lt;&gt;"p")*($E$5:$E$103&lt;&gt;"t")*(ROW($E$5:$E$103)&gt;ROW($E81))),1)-ROW($E$5)+1),$D81),"000")</f>
        <v>000000</v>
      </c>
      <c r="AK81" s="22">
        <f t="shared" si="8"/>
        <v>500</v>
      </c>
      <c r="AL81" s="22" cm="1">
        <f t="array" aca="1" ref="AL81" ca="1">IF(INDIRECT("$K"&amp;(ROW(R81)+$F$1-1))="TERMINAL",1000489,489)*SIGN(AK81)</f>
        <v>1000489</v>
      </c>
      <c r="AM81" s="7" cm="1">
        <f t="array" aca="1" ref="AM81" ca="1">IF(INDIRECT("$D"&amp;(ROW(R81)+$F$1-1))=0,AM80,$G81)</f>
        <v>8</v>
      </c>
      <c r="AN81" s="7" cm="1">
        <f t="array" aca="1" ref="AN81" ca="1">IF(INDIRECT("$D"&amp;(ROW(R81)+$F$1-1))=0,AN80,$G82)</f>
        <v>0</v>
      </c>
      <c r="AO81" s="7" cm="1">
        <f t="array" aca="1" ref="AO81" ca="1">IF(INDIRECT("$D"&amp;(ROW(R81)+$F$1-1))=0,AO80,$G83)</f>
        <v>0</v>
      </c>
      <c r="AP81" s="7" cm="1">
        <f t="array" aca="1" ref="AP81" ca="1">IF(INDIRECT("$D"&amp;(ROW(R81)+$F$1-1))=0,AP80,$G84)</f>
        <v>0</v>
      </c>
      <c r="AQ81" s="7" cm="1">
        <f t="array" aca="1" ref="AQ81" ca="1">IF(INDIRECT("$D"&amp;(ROW(R81)+$F$1-1))=0,AQ80,$G85)</f>
        <v>1</v>
      </c>
      <c r="AR81" s="7" cm="1">
        <f t="array" aca="1" ref="AR81" ca="1">IF(INDIRECT("$D"&amp;(ROW(R81)+$F$1-1))=0,AR80,$G86)</f>
        <v>0</v>
      </c>
      <c r="AS81" s="7" cm="1">
        <f t="array" aca="1" ref="AS81" ca="1">IF(INDIRECT("$D"&amp;(ROW(AS81)+$F$1-1))=0,AS80+4,1)</f>
        <v>233</v>
      </c>
      <c r="AT81" s="7" cm="1">
        <f t="array" aca="1" ref="AT81" ca="1">IF(INDIRECT("$D"&amp;(ROW(AT81)+$F$1-1))=0,AT80+4,2)</f>
        <v>234</v>
      </c>
      <c r="AU81" s="7" cm="1">
        <f t="array" aca="1" ref="AU81" ca="1">IF(INDIRECT("$D"&amp;(ROW(AU81)+$F$1-1))=0,AU80+4,3)</f>
        <v>235</v>
      </c>
      <c r="AV81" s="7" cm="1">
        <f t="array" aca="1" ref="AV81" ca="1">IF(INDIRECT("$D"&amp;(ROW(AV81)+$F$1-1))=0,AV80+4,4)</f>
        <v>236</v>
      </c>
      <c r="AW81" s="22" cm="1">
        <f t="array" aca="1" ref="AW81" ca="1">_xlfn.XLOOKUP(1,INDIRECT("J"&amp;ROW(K81)+$F$1):J$103,INDIRECT("D"&amp;ROW(K81)+$F$1):D$103,0,0,1)</f>
        <v>0</v>
      </c>
      <c r="AX81" s="22">
        <f t="shared" ca="1" si="9"/>
        <v>0</v>
      </c>
      <c r="AY81" s="22" cm="1">
        <f t="array" aca="1" ref="AY81" ca="1">_xlfn.XLOOKUP(AW81,D$4:D$110,H$4:H$110&amp;N$4:N$110&amp;O$4:O$110,0,0,1)</f>
        <v>0</v>
      </c>
      <c r="AZ81" s="22" cm="1">
        <f t="array" aca="1" ref="AZ81" ca="1">_xlfn.XLOOKUP(AW81,D$4:D$110,I$4:I$110&amp;P$4:P$110&amp;Q$4:Q$110,0,0,1)</f>
        <v>0</v>
      </c>
      <c r="BA81" s="14" cm="1">
        <f t="array" ref="BA81">_xlfn.XLOOKUP(1,J$4:J80,D$4:D80,0,0,-1)</f>
        <v>35</v>
      </c>
      <c r="BB81" s="14">
        <f t="shared" si="11"/>
        <v>1</v>
      </c>
      <c r="BC81" s="14" t="str" cm="1">
        <f t="array" ref="BC81">_xlfn.SWITCH(TRUE,_xlfn.XLOOKUP(BA81,D$4:D$110,TEXT(F$4:F$110,"HH"),0,0,1)="00",B79&amp;"",_xlfn.XLOOKUP(BA81,D$4:D$110,TEXT(F$4:F$110,"HH"),0,0,1)="T","00",TRUE,_xlfn.XLOOKUP(BA81,D$4:D$110,TEXT(F$4:F$110,"HH"),0,0,1))</f>
        <v>00</v>
      </c>
      <c r="BD81" s="14" t="str">
        <f t="shared" si="10"/>
        <v>000000</v>
      </c>
    </row>
    <row r="82" spans="1:56">
      <c r="A82" s="2">
        <v>79</v>
      </c>
      <c r="B82" s="5"/>
      <c r="C82" s="5"/>
      <c r="D82" s="5"/>
      <c r="E82" s="5"/>
      <c r="F82" s="5"/>
      <c r="G82" s="5"/>
      <c r="H82" s="5"/>
      <c r="I82" s="5"/>
      <c r="J82" s="5">
        <f t="shared" si="7"/>
        <v>0</v>
      </c>
      <c r="K82" s="7" t="str">
        <f t="shared" si="6"/>
        <v>terminal</v>
      </c>
      <c r="L82" s="7" t="str" cm="1">
        <f t="array" ref="L82">_xlfn.SWITCH(TRUE,$K82="PASS",TEXT($B$1,"0000"),AND($K82="STOP",E82=""),TEXT($D$1,"0000"),$K81="TERMINAL","0000",TRUE,TEXT(E82,"MMSS"))</f>
        <v>0000</v>
      </c>
      <c r="M82" s="7" t="str" cm="1">
        <f t="array" ref="M82">_xlfn.SWITCH(TRUE,$K82="PASS",TEXT($B$1,"0000"),AND($K82="STOP",F82=""),TEXT($D$1,"0000"),$K82="TERMINAL","0000",TRUE,TEXT(F82,"MMSS"))</f>
        <v>0000</v>
      </c>
      <c r="N82" t="str" cm="1">
        <f t="array" ref="N82">_xlfn.SWITCH(TRUE,AND(LEFT(L82,2)="00",K82="TERMINAL"),"00",E82="",TEXT(LEFT($D$1,2),"00"),LEFT(L82,2)="00",$D$2&amp;"",TRUE,LEFT(L82,2))</f>
        <v>00</v>
      </c>
      <c r="O82" t="str" cm="1">
        <f t="array" ref="O82">_xlfn.SWITCH(TRUE,AND(N82="00",RIGHT(L82,2)="00",K82="TERMINAL"),"00",OR(E82="",N82=LEFT($B$1,2)),TEXT(RIGHT($D$1,2),"00"),RIGHT(L82,2)="00",$D$2&amp;"",TRUE,RIGHT(L82,2))</f>
        <v>00</v>
      </c>
      <c r="P82" t="str" cm="1">
        <f t="array" ref="P82">_xlfn.SWITCH(TRUE,AND(LEFT(M82,2)="00",K82="TERMINAL"),"00",F82="",TEXT(LEFT($D$1,2),"00"),LEFT(M82,2)="00",$D$2&amp;"",TRUE,LEFT(M82,2))</f>
        <v>00</v>
      </c>
      <c r="Q82" t="str" cm="1">
        <f t="array" ref="Q82">_xlfn.SWITCH(TRUE,AND(RIGHT(M82,2)="00",K82="TERMINAL"),"00",F82="",TEXT(RIGHT($D$1,2),"00"),RIGHT(M82,2)="00",$D$2&amp;"",TRUE,RIGHT(M82,2))</f>
        <v>00</v>
      </c>
      <c r="R82" s="7" cm="1">
        <f t="array" aca="1" ref="R82" ca="1">IF(INDIRECT("$D"&amp;(ROW(R82)+$F$1-1))=0,R81,$D82)</f>
        <v>39</v>
      </c>
      <c r="S82" s="7" cm="1">
        <f t="array" aca="1" ref="S82" ca="1">IF(INDIRECT("$D"&amp;(ROW(R82)+$F$1-1))=0,S81,$D83)</f>
        <v>38</v>
      </c>
      <c r="T82" s="7" cm="1">
        <f t="array" aca="1" ref="T82" ca="1">IF(INDIRECT("$D"&amp;(ROW(R82)+$F$1-1))=0,T81,$D84)</f>
        <v>37</v>
      </c>
      <c r="U82" s="7" cm="1">
        <f t="array" aca="1" ref="U82" ca="1">IF(INDIRECT("$D"&amp;(ROW(R82)+$F$1-1))=0,U81,$D85)</f>
        <v>36</v>
      </c>
      <c r="V82" s="7" cm="1">
        <f t="array" aca="1" ref="V82" ca="1">IF(INDIRECT("$D"&amp;(ROW(R82)+$F$1-1))=0,V81,$D86)</f>
        <v>35</v>
      </c>
      <c r="W82" s="7" cm="1">
        <f t="array" aca="1" ref="W82" ca="1">IF(INDIRECT("$D"&amp;(ROW(R82)+$F$1-1))=0,W81,$D87)</f>
        <v>0</v>
      </c>
      <c r="X82" s="7" t="str" cm="1">
        <f t="array" aca="1" ref="X82" ca="1">IF(INDIRECT("$D"&amp;(ROW(R82)+$F$1-1))=0,X80,$H82&amp;$N82&amp;$O82)</f>
        <v>4630</v>
      </c>
      <c r="Y82" s="7" t="str" cm="1">
        <f t="array" aca="1" ref="Y82" ca="1">IF(INDIRECT("$D"&amp;(ROW(R82)+$F$1-1))=0,Y81,H83&amp;$N83&amp;$O83)</f>
        <v>5530</v>
      </c>
      <c r="Z82" s="7" t="str" cm="1">
        <f t="array" aca="1" ref="Z82" ca="1">IF(INDIRECT("$D"&amp;(ROW(R82)+$F$1-1))=0,Z81,H84&amp;$N84&amp;$O84)</f>
        <v>6030</v>
      </c>
      <c r="AA82" s="7" t="str" cm="1">
        <f t="array" aca="1" ref="AA82" ca="1">IF(INDIRECT("$D"&amp;(ROW(R82)+$F$1-1))=0,AA81,H85&amp;$N85&amp;$O85)</f>
        <v>0000</v>
      </c>
      <c r="AB82" s="7" t="str" cm="1">
        <f t="array" aca="1" ref="AB82" ca="1">IF(INDIRECT("$D"&amp;(ROW(R82)+$F$1-1))=0,AB81,H86&amp;$N86&amp;$O86)</f>
        <v>0560</v>
      </c>
      <c r="AC82" s="7" t="str" cm="1">
        <f t="array" aca="1" ref="AC82" ca="1">IF(INDIRECT("$D"&amp;(ROW(R82)+$F$1-1))=0,AC81,H87&amp;$N87&amp;$O87)</f>
        <v>0000</v>
      </c>
      <c r="AD82" s="7" t="str" cm="1">
        <f t="array" aca="1" ref="AD82" ca="1">IF(INDIRECT("$D"&amp;(ROW(R82)+$F$1-1))=0,AD81,I82&amp;$P82&amp;$Q82)</f>
        <v>5130</v>
      </c>
      <c r="AE82" s="7" t="str" cm="1">
        <f t="array" aca="1" ref="AE82" ca="1">IF(INDIRECT("$D"&amp;(ROW(R82)+$F$1-1))=0,AE81,I83&amp;$P83&amp;$Q83)</f>
        <v>5660</v>
      </c>
      <c r="AF82" s="7" t="str" cm="1">
        <f t="array" aca="1" ref="AF82" ca="1">IF(INDIRECT("$D"&amp;(ROW(R82)+$F$1-1))=0,AF81,I84&amp;$P84&amp;$Q84)</f>
        <v>0160</v>
      </c>
      <c r="AG82" s="7" t="str" cm="1">
        <f t="array" aca="1" ref="AG82" ca="1">IF(INDIRECT("$D"&amp;(ROW(R82)+$F$1-1))=0,AG81,I85&amp;$P85&amp;$Q85)</f>
        <v>0000</v>
      </c>
      <c r="AH82" s="7" t="str" cm="1">
        <f t="array" aca="1" ref="AH82" ca="1">IF(INDIRECT("$D"&amp;(ROW(R82)+$F$1-1))=0,AH81,I86&amp;$P86&amp;$Q86)</f>
        <v>0000</v>
      </c>
      <c r="AI82" s="7" t="str" cm="1">
        <f t="array" aca="1" ref="AI82" ca="1">IF(INDIRECT("$D"&amp;(ROW(R82)+$F$1-1))=0,AI81,I87&amp;$P87&amp;$Q87)</f>
        <v>0000</v>
      </c>
      <c r="AJ82" s="7" t="str" cm="1">
        <f t="array" ref="AJ82">TEXT($D82,"000")&amp;TEXT(IFERROR(INDEX($D$5:$D$103,_xlfn.AGGREGATE(15,6,ROW($E$5:$E$103)/(($E$5:$E$103&lt;&gt;"p")*($E$5:$E$103&lt;&gt;"t")*(ROW($E$5:$E$103)&gt;ROW($E82))),1)-ROW($E$5)+1),$D82),"000")</f>
        <v>000000</v>
      </c>
      <c r="AK82" s="22">
        <f t="shared" si="8"/>
        <v>500</v>
      </c>
      <c r="AL82" s="22" cm="1">
        <f t="array" aca="1" ref="AL82" ca="1">IF(INDIRECT("$K"&amp;(ROW(R82)+$F$1-1))="TERMINAL",1000489,489)*SIGN(AK82)</f>
        <v>1000489</v>
      </c>
      <c r="AM82" s="7" cm="1">
        <f t="array" aca="1" ref="AM82" ca="1">IF(INDIRECT("$D"&amp;(ROW(R82)+$F$1-1))=0,AM81,$G82)</f>
        <v>8</v>
      </c>
      <c r="AN82" s="7" cm="1">
        <f t="array" aca="1" ref="AN82" ca="1">IF(INDIRECT("$D"&amp;(ROW(R82)+$F$1-1))=0,AN81,$G83)</f>
        <v>0</v>
      </c>
      <c r="AO82" s="7" cm="1">
        <f t="array" aca="1" ref="AO82" ca="1">IF(INDIRECT("$D"&amp;(ROW(R82)+$F$1-1))=0,AO81,$G84)</f>
        <v>0</v>
      </c>
      <c r="AP82" s="7" cm="1">
        <f t="array" aca="1" ref="AP82" ca="1">IF(INDIRECT("$D"&amp;(ROW(R82)+$F$1-1))=0,AP81,$G85)</f>
        <v>0</v>
      </c>
      <c r="AQ82" s="7" cm="1">
        <f t="array" aca="1" ref="AQ82" ca="1">IF(INDIRECT("$D"&amp;(ROW(R82)+$F$1-1))=0,AQ81,$G86)</f>
        <v>1</v>
      </c>
      <c r="AR82" s="7" cm="1">
        <f t="array" aca="1" ref="AR82" ca="1">IF(INDIRECT("$D"&amp;(ROW(R82)+$F$1-1))=0,AR81,$G87)</f>
        <v>0</v>
      </c>
      <c r="AS82" s="7" cm="1">
        <f t="array" aca="1" ref="AS82" ca="1">IF(INDIRECT("$D"&amp;(ROW(AS82)+$F$1-1))=0,AS81+4,1)</f>
        <v>237</v>
      </c>
      <c r="AT82" s="7" cm="1">
        <f t="array" aca="1" ref="AT82" ca="1">IF(INDIRECT("$D"&amp;(ROW(AT82)+$F$1-1))=0,AT81+4,2)</f>
        <v>238</v>
      </c>
      <c r="AU82" s="7" cm="1">
        <f t="array" aca="1" ref="AU82" ca="1">IF(INDIRECT("$D"&amp;(ROW(AU82)+$F$1-1))=0,AU81+4,3)</f>
        <v>239</v>
      </c>
      <c r="AV82" s="7" cm="1">
        <f t="array" aca="1" ref="AV82" ca="1">IF(INDIRECT("$D"&amp;(ROW(AV82)+$F$1-1))=0,AV81+4,4)</f>
        <v>240</v>
      </c>
      <c r="AW82" s="22" cm="1">
        <f t="array" aca="1" ref="AW82" ca="1">_xlfn.XLOOKUP(1,INDIRECT("J"&amp;ROW(K82)+$F$1):J$103,INDIRECT("D"&amp;ROW(K82)+$F$1):D$103,0,0,1)</f>
        <v>0</v>
      </c>
      <c r="AX82" s="22">
        <f t="shared" ca="1" si="9"/>
        <v>0</v>
      </c>
      <c r="AY82" s="22" cm="1">
        <f t="array" aca="1" ref="AY82" ca="1">_xlfn.XLOOKUP(AW82,D$4:D$110,H$4:H$110&amp;N$4:N$110&amp;O$4:O$110,0,0,1)</f>
        <v>0</v>
      </c>
      <c r="AZ82" s="22" cm="1">
        <f t="array" aca="1" ref="AZ82" ca="1">_xlfn.XLOOKUP(AW82,D$4:D$110,I$4:I$110&amp;P$4:P$110&amp;Q$4:Q$110,0,0,1)</f>
        <v>0</v>
      </c>
      <c r="BA82" s="14" cm="1">
        <f t="array" ref="BA82">_xlfn.XLOOKUP(1,J$4:J81,D$4:D81,0,0,-1)</f>
        <v>35</v>
      </c>
      <c r="BB82" s="14">
        <f t="shared" si="11"/>
        <v>1</v>
      </c>
      <c r="BC82" s="14" t="str" cm="1">
        <f t="array" ref="BC82">_xlfn.SWITCH(TRUE,_xlfn.XLOOKUP(BA82,D$4:D$110,TEXT(F$4:F$110,"HH"),0,0,1)="00",B80&amp;"",_xlfn.XLOOKUP(BA82,D$4:D$110,TEXT(F$4:F$110,"HH"),0,0,1)="T","00",TRUE,_xlfn.XLOOKUP(BA82,D$4:D$110,TEXT(F$4:F$110,"HH"),0,0,1))</f>
        <v>00</v>
      </c>
      <c r="BD82" s="14" t="str">
        <f t="shared" si="10"/>
        <v>000000</v>
      </c>
    </row>
    <row r="83" spans="1:56">
      <c r="A83" s="2">
        <v>80</v>
      </c>
      <c r="B83" s="5"/>
      <c r="C83" s="5"/>
      <c r="D83" s="5"/>
      <c r="E83" s="5"/>
      <c r="F83" s="5"/>
      <c r="G83" s="5"/>
      <c r="H83" s="5"/>
      <c r="I83" s="5"/>
      <c r="J83" s="5">
        <f t="shared" si="7"/>
        <v>0</v>
      </c>
      <c r="K83" s="7" t="str">
        <f t="shared" si="6"/>
        <v>terminal</v>
      </c>
      <c r="L83" s="7" t="str" cm="1">
        <f t="array" ref="L83">_xlfn.SWITCH(TRUE,$K83="PASS",TEXT($B$1,"0000"),AND($K83="STOP",E83=""),TEXT($D$1,"0000"),$K82="TERMINAL","0000",TRUE,TEXT(E83,"MMSS"))</f>
        <v>0000</v>
      </c>
      <c r="M83" s="7" t="str" cm="1">
        <f t="array" ref="M83">_xlfn.SWITCH(TRUE,$K83="PASS",TEXT($B$1,"0000"),AND($K83="STOP",F83=""),TEXT($D$1,"0000"),$K83="TERMINAL","0000",TRUE,TEXT(F83,"MMSS"))</f>
        <v>0000</v>
      </c>
      <c r="N83" t="str" cm="1">
        <f t="array" ref="N83">_xlfn.SWITCH(TRUE,AND(LEFT(L83,2)="00",K83="TERMINAL"),"00",E83="",TEXT(LEFT($D$1,2),"00"),LEFT(L83,2)="00",$D$2&amp;"",TRUE,LEFT(L83,2))</f>
        <v>00</v>
      </c>
      <c r="O83" t="str" cm="1">
        <f t="array" ref="O83">_xlfn.SWITCH(TRUE,AND(N83="00",RIGHT(L83,2)="00",K83="TERMINAL"),"00",OR(E83="",N83=LEFT($B$1,2)),TEXT(RIGHT($D$1,2),"00"),RIGHT(L83,2)="00",$D$2&amp;"",TRUE,RIGHT(L83,2))</f>
        <v>00</v>
      </c>
      <c r="P83" t="str" cm="1">
        <f t="array" ref="P83">_xlfn.SWITCH(TRUE,AND(LEFT(M83,2)="00",K83="TERMINAL"),"00",F83="",TEXT(LEFT($D$1,2),"00"),LEFT(M83,2)="00",$D$2&amp;"",TRUE,LEFT(M83,2))</f>
        <v>00</v>
      </c>
      <c r="Q83" t="str" cm="1">
        <f t="array" ref="Q83">_xlfn.SWITCH(TRUE,AND(RIGHT(M83,2)="00",K83="TERMINAL"),"00",F83="",TEXT(RIGHT($D$1,2),"00"),RIGHT(M83,2)="00",$D$2&amp;"",TRUE,RIGHT(M83,2))</f>
        <v>00</v>
      </c>
      <c r="R83" s="7" cm="1">
        <f t="array" aca="1" ref="R83" ca="1">IF(INDIRECT("$D"&amp;(ROW(R83)+$F$1-1))=0,R82,$D83)</f>
        <v>39</v>
      </c>
      <c r="S83" s="7" cm="1">
        <f t="array" aca="1" ref="S83" ca="1">IF(INDIRECT("$D"&amp;(ROW(R83)+$F$1-1))=0,S82,$D84)</f>
        <v>38</v>
      </c>
      <c r="T83" s="7" cm="1">
        <f t="array" aca="1" ref="T83" ca="1">IF(INDIRECT("$D"&amp;(ROW(R83)+$F$1-1))=0,T82,$D85)</f>
        <v>37</v>
      </c>
      <c r="U83" s="7" cm="1">
        <f t="array" aca="1" ref="U83" ca="1">IF(INDIRECT("$D"&amp;(ROW(R83)+$F$1-1))=0,U82,$D86)</f>
        <v>36</v>
      </c>
      <c r="V83" s="7" cm="1">
        <f t="array" aca="1" ref="V83" ca="1">IF(INDIRECT("$D"&amp;(ROW(R83)+$F$1-1))=0,V82,$D87)</f>
        <v>35</v>
      </c>
      <c r="W83" s="7" cm="1">
        <f t="array" aca="1" ref="W83" ca="1">IF(INDIRECT("$D"&amp;(ROW(R83)+$F$1-1))=0,W82,$D88)</f>
        <v>0</v>
      </c>
      <c r="X83" s="7" t="str" cm="1">
        <f t="array" aca="1" ref="X83" ca="1">IF(INDIRECT("$D"&amp;(ROW(R83)+$F$1-1))=0,X81,$H83&amp;$N83&amp;$O83)</f>
        <v>5160</v>
      </c>
      <c r="Y83" s="7" t="str" cm="1">
        <f t="array" aca="1" ref="Y83" ca="1">IF(INDIRECT("$D"&amp;(ROW(R83)+$F$1-1))=0,Y82,H84&amp;$N84&amp;$O84)</f>
        <v>5530</v>
      </c>
      <c r="Z83" s="7" t="str" cm="1">
        <f t="array" aca="1" ref="Z83" ca="1">IF(INDIRECT("$D"&amp;(ROW(R83)+$F$1-1))=0,Z82,H85&amp;$N85&amp;$O85)</f>
        <v>6030</v>
      </c>
      <c r="AA83" s="7" t="str" cm="1">
        <f t="array" aca="1" ref="AA83" ca="1">IF(INDIRECT("$D"&amp;(ROW(R83)+$F$1-1))=0,AA82,H86&amp;$N86&amp;$O86)</f>
        <v>0000</v>
      </c>
      <c r="AB83" s="7" t="str" cm="1">
        <f t="array" aca="1" ref="AB83" ca="1">IF(INDIRECT("$D"&amp;(ROW(R83)+$F$1-1))=0,AB82,H87&amp;$N87&amp;$O87)</f>
        <v>0560</v>
      </c>
      <c r="AC83" s="7" t="str" cm="1">
        <f t="array" aca="1" ref="AC83" ca="1">IF(INDIRECT("$D"&amp;(ROW(R83)+$F$1-1))=0,AC82,H88&amp;$N88&amp;$O88)</f>
        <v>0000</v>
      </c>
      <c r="AD83" s="7" t="str" cm="1">
        <f t="array" aca="1" ref="AD83" ca="1">IF(INDIRECT("$D"&amp;(ROW(R83)+$F$1-1))=0,AD82,I83&amp;$P83&amp;$Q83)</f>
        <v>5130</v>
      </c>
      <c r="AE83" s="7" t="str" cm="1">
        <f t="array" aca="1" ref="AE83" ca="1">IF(INDIRECT("$D"&amp;(ROW(R83)+$F$1-1))=0,AE82,I84&amp;$P84&amp;$Q84)</f>
        <v>5660</v>
      </c>
      <c r="AF83" s="7" t="str" cm="1">
        <f t="array" aca="1" ref="AF83" ca="1">IF(INDIRECT("$D"&amp;(ROW(R83)+$F$1-1))=0,AF82,I85&amp;$P85&amp;$Q85)</f>
        <v>0160</v>
      </c>
      <c r="AG83" s="7" t="str" cm="1">
        <f t="array" aca="1" ref="AG83" ca="1">IF(INDIRECT("$D"&amp;(ROW(R83)+$F$1-1))=0,AG82,I86&amp;$P86&amp;$Q86)</f>
        <v>0000</v>
      </c>
      <c r="AH83" s="7" t="str" cm="1">
        <f t="array" aca="1" ref="AH83" ca="1">IF(INDIRECT("$D"&amp;(ROW(R83)+$F$1-1))=0,AH82,I87&amp;$P87&amp;$Q87)</f>
        <v>0000</v>
      </c>
      <c r="AI83" s="7" t="str" cm="1">
        <f t="array" aca="1" ref="AI83" ca="1">IF(INDIRECT("$D"&amp;(ROW(R83)+$F$1-1))=0,AI82,I88&amp;$P88&amp;$Q88)</f>
        <v>0000</v>
      </c>
      <c r="AJ83" s="7" t="str" cm="1">
        <f t="array" ref="AJ83">TEXT($D83,"000")&amp;TEXT(IFERROR(INDEX($D$5:$D$103,_xlfn.AGGREGATE(15,6,ROW($E$5:$E$103)/(($E$5:$E$103&lt;&gt;"p")*($E$5:$E$103&lt;&gt;"t")*(ROW($E$5:$E$103)&gt;ROW($E83))),1)-ROW($E$5)+1),$D83),"000")</f>
        <v>000000</v>
      </c>
      <c r="AK83" s="22">
        <f t="shared" si="8"/>
        <v>500</v>
      </c>
      <c r="AL83" s="22" cm="1">
        <f t="array" aca="1" ref="AL83" ca="1">IF(INDIRECT("$K"&amp;(ROW(R83)+$F$1-1))="TERMINAL",1000489,489)*SIGN(AK83)</f>
        <v>1000489</v>
      </c>
      <c r="AM83" s="7" cm="1">
        <f t="array" aca="1" ref="AM83" ca="1">IF(INDIRECT("$D"&amp;(ROW(R83)+$F$1-1))=0,AM82,$G83)</f>
        <v>8</v>
      </c>
      <c r="AN83" s="7" cm="1">
        <f t="array" aca="1" ref="AN83" ca="1">IF(INDIRECT("$D"&amp;(ROW(R83)+$F$1-1))=0,AN82,$G84)</f>
        <v>0</v>
      </c>
      <c r="AO83" s="7" cm="1">
        <f t="array" aca="1" ref="AO83" ca="1">IF(INDIRECT("$D"&amp;(ROW(R83)+$F$1-1))=0,AO82,$G85)</f>
        <v>0</v>
      </c>
      <c r="AP83" s="7" cm="1">
        <f t="array" aca="1" ref="AP83" ca="1">IF(INDIRECT("$D"&amp;(ROW(R83)+$F$1-1))=0,AP82,$G86)</f>
        <v>0</v>
      </c>
      <c r="AQ83" s="7" cm="1">
        <f t="array" aca="1" ref="AQ83" ca="1">IF(INDIRECT("$D"&amp;(ROW(R83)+$F$1-1))=0,AQ82,$G87)</f>
        <v>1</v>
      </c>
      <c r="AR83" s="7" cm="1">
        <f t="array" aca="1" ref="AR83" ca="1">IF(INDIRECT("$D"&amp;(ROW(R83)+$F$1-1))=0,AR82,$G88)</f>
        <v>0</v>
      </c>
      <c r="AS83" s="7" cm="1">
        <f t="array" aca="1" ref="AS83" ca="1">IF(INDIRECT("$D"&amp;(ROW(AS83)+$F$1-1))=0,AS82+4,1)</f>
        <v>241</v>
      </c>
      <c r="AT83" s="7" cm="1">
        <f t="array" aca="1" ref="AT83" ca="1">IF(INDIRECT("$D"&amp;(ROW(AT83)+$F$1-1))=0,AT82+4,2)</f>
        <v>242</v>
      </c>
      <c r="AU83" s="7" cm="1">
        <f t="array" aca="1" ref="AU83" ca="1">IF(INDIRECT("$D"&amp;(ROW(AU83)+$F$1-1))=0,AU82+4,3)</f>
        <v>243</v>
      </c>
      <c r="AV83" s="7" cm="1">
        <f t="array" aca="1" ref="AV83" ca="1">IF(INDIRECT("$D"&amp;(ROW(AV83)+$F$1-1))=0,AV82+4,4)</f>
        <v>244</v>
      </c>
      <c r="AW83" s="22" cm="1">
        <f t="array" aca="1" ref="AW83" ca="1">_xlfn.XLOOKUP(1,INDIRECT("J"&amp;ROW(K83)+$F$1):J$103,INDIRECT("D"&amp;ROW(K83)+$F$1):D$103,0,0,1)</f>
        <v>0</v>
      </c>
      <c r="AX83" s="22">
        <f t="shared" ca="1" si="9"/>
        <v>0</v>
      </c>
      <c r="AY83" s="22" cm="1">
        <f t="array" aca="1" ref="AY83" ca="1">_xlfn.XLOOKUP(AW83,D$4:D$110,H$4:H$110&amp;N$4:N$110&amp;O$4:O$110,0,0,1)</f>
        <v>0</v>
      </c>
      <c r="AZ83" s="22" cm="1">
        <f t="array" aca="1" ref="AZ83" ca="1">_xlfn.XLOOKUP(AW83,D$4:D$110,I$4:I$110&amp;P$4:P$110&amp;Q$4:Q$110,0,0,1)</f>
        <v>0</v>
      </c>
      <c r="BA83" s="14" cm="1">
        <f t="array" ref="BA83">_xlfn.XLOOKUP(1,J$4:J82,D$4:D82,0,0,-1)</f>
        <v>35</v>
      </c>
      <c r="BB83" s="14">
        <f t="shared" si="11"/>
        <v>1</v>
      </c>
      <c r="BC83" s="14" t="str" cm="1">
        <f t="array" ref="BC83">_xlfn.SWITCH(TRUE,_xlfn.XLOOKUP(BA83,D$4:D$110,TEXT(F$4:F$110,"HH"),0,0,1)="00",B81&amp;"",_xlfn.XLOOKUP(BA83,D$4:D$110,TEXT(F$4:F$110,"HH"),0,0,1)="T","00",TRUE,_xlfn.XLOOKUP(BA83,D$4:D$110,TEXT(F$4:F$110,"HH"),0,0,1))</f>
        <v>00</v>
      </c>
      <c r="BD83" s="14" t="str">
        <f t="shared" si="10"/>
        <v>000000</v>
      </c>
    </row>
    <row r="84" spans="1:56">
      <c r="A84" s="2">
        <v>81</v>
      </c>
      <c r="B84" s="5"/>
      <c r="C84" s="5"/>
      <c r="D84" s="5"/>
      <c r="E84" s="5"/>
      <c r="F84" s="5"/>
      <c r="G84" s="5"/>
      <c r="H84" s="5"/>
      <c r="I84" s="5"/>
      <c r="J84" s="5">
        <f t="shared" si="7"/>
        <v>0</v>
      </c>
      <c r="K84" s="7" t="str">
        <f t="shared" si="6"/>
        <v>terminal</v>
      </c>
      <c r="L84" s="7" t="str" cm="1">
        <f t="array" ref="L84">_xlfn.SWITCH(TRUE,$K84="PASS",TEXT($B$1,"0000"),AND($K84="STOP",E84=""),TEXT($D$1,"0000"),$K83="TERMINAL","0000",TRUE,TEXT(E84,"MMSS"))</f>
        <v>0000</v>
      </c>
      <c r="M84" s="7" t="str" cm="1">
        <f t="array" ref="M84">_xlfn.SWITCH(TRUE,$K84="PASS",TEXT($B$1,"0000"),AND($K84="STOP",F84=""),TEXT($D$1,"0000"),$K84="TERMINAL","0000",TRUE,TEXT(F84,"MMSS"))</f>
        <v>0000</v>
      </c>
      <c r="N84" t="str" cm="1">
        <f t="array" ref="N84">_xlfn.SWITCH(TRUE,AND(LEFT(L84,2)="00",K84="TERMINAL"),"00",E84="",TEXT(LEFT($D$1,2),"00"),LEFT(L84,2)="00",$D$2&amp;"",TRUE,LEFT(L84,2))</f>
        <v>00</v>
      </c>
      <c r="O84" t="str" cm="1">
        <f t="array" ref="O84">_xlfn.SWITCH(TRUE,AND(N84="00",RIGHT(L84,2)="00",K84="TERMINAL"),"00",OR(E84="",N84=LEFT($B$1,2)),TEXT(RIGHT($D$1,2),"00"),RIGHT(L84,2)="00",$D$2&amp;"",TRUE,RIGHT(L84,2))</f>
        <v>00</v>
      </c>
      <c r="P84" t="str" cm="1">
        <f t="array" ref="P84">_xlfn.SWITCH(TRUE,AND(LEFT(M84,2)="00",K84="TERMINAL"),"00",F84="",TEXT(LEFT($D$1,2),"00"),LEFT(M84,2)="00",$D$2&amp;"",TRUE,LEFT(M84,2))</f>
        <v>00</v>
      </c>
      <c r="Q84" t="str" cm="1">
        <f t="array" ref="Q84">_xlfn.SWITCH(TRUE,AND(RIGHT(M84,2)="00",K84="TERMINAL"),"00",F84="",TEXT(RIGHT($D$1,2),"00"),RIGHT(M84,2)="00",$D$2&amp;"",TRUE,RIGHT(M84,2))</f>
        <v>00</v>
      </c>
      <c r="R84" s="7" cm="1">
        <f t="array" aca="1" ref="R84" ca="1">IF(INDIRECT("$D"&amp;(ROW(R84)+$F$1-1))=0,R83,$D84)</f>
        <v>39</v>
      </c>
      <c r="S84" s="7" cm="1">
        <f t="array" aca="1" ref="S84" ca="1">IF(INDIRECT("$D"&amp;(ROW(R84)+$F$1-1))=0,S83,$D85)</f>
        <v>38</v>
      </c>
      <c r="T84" s="7" cm="1">
        <f t="array" aca="1" ref="T84" ca="1">IF(INDIRECT("$D"&amp;(ROW(R84)+$F$1-1))=0,T83,$D86)</f>
        <v>37</v>
      </c>
      <c r="U84" s="7" cm="1">
        <f t="array" aca="1" ref="U84" ca="1">IF(INDIRECT("$D"&amp;(ROW(R84)+$F$1-1))=0,U83,$D87)</f>
        <v>36</v>
      </c>
      <c r="V84" s="7" cm="1">
        <f t="array" aca="1" ref="V84" ca="1">IF(INDIRECT("$D"&amp;(ROW(R84)+$F$1-1))=0,V83,$D88)</f>
        <v>35</v>
      </c>
      <c r="W84" s="7" cm="1">
        <f t="array" aca="1" ref="W84" ca="1">IF(INDIRECT("$D"&amp;(ROW(R84)+$F$1-1))=0,W83,$D89)</f>
        <v>0</v>
      </c>
      <c r="X84" s="7" t="str" cm="1">
        <f t="array" aca="1" ref="X84" ca="1">IF(INDIRECT("$D"&amp;(ROW(R84)+$F$1-1))=0,X82,$H84&amp;$N84&amp;$O84)</f>
        <v>4630</v>
      </c>
      <c r="Y84" s="7" t="str" cm="1">
        <f t="array" aca="1" ref="Y84" ca="1">IF(INDIRECT("$D"&amp;(ROW(R84)+$F$1-1))=0,Y83,H85&amp;$N85&amp;$O85)</f>
        <v>5530</v>
      </c>
      <c r="Z84" s="7" t="str" cm="1">
        <f t="array" aca="1" ref="Z84" ca="1">IF(INDIRECT("$D"&amp;(ROW(R84)+$F$1-1))=0,Z83,H86&amp;$N86&amp;$O86)</f>
        <v>6030</v>
      </c>
      <c r="AA84" s="7" t="str" cm="1">
        <f t="array" aca="1" ref="AA84" ca="1">IF(INDIRECT("$D"&amp;(ROW(R84)+$F$1-1))=0,AA83,H87&amp;$N87&amp;$O87)</f>
        <v>0000</v>
      </c>
      <c r="AB84" s="7" t="str" cm="1">
        <f t="array" aca="1" ref="AB84" ca="1">IF(INDIRECT("$D"&amp;(ROW(R84)+$F$1-1))=0,AB83,H88&amp;$N88&amp;$O88)</f>
        <v>0560</v>
      </c>
      <c r="AC84" s="7" t="str" cm="1">
        <f t="array" aca="1" ref="AC84" ca="1">IF(INDIRECT("$D"&amp;(ROW(R84)+$F$1-1))=0,AC83,H89&amp;$N89&amp;$O89)</f>
        <v>0000</v>
      </c>
      <c r="AD84" s="7" t="str" cm="1">
        <f t="array" aca="1" ref="AD84" ca="1">IF(INDIRECT("$D"&amp;(ROW(R84)+$F$1-1))=0,AD83,I84&amp;$P84&amp;$Q84)</f>
        <v>5130</v>
      </c>
      <c r="AE84" s="7" t="str" cm="1">
        <f t="array" aca="1" ref="AE84" ca="1">IF(INDIRECT("$D"&amp;(ROW(R84)+$F$1-1))=0,AE83,I85&amp;$P85&amp;$Q85)</f>
        <v>5660</v>
      </c>
      <c r="AF84" s="7" t="str" cm="1">
        <f t="array" aca="1" ref="AF84" ca="1">IF(INDIRECT("$D"&amp;(ROW(R84)+$F$1-1))=0,AF83,I86&amp;$P86&amp;$Q86)</f>
        <v>0160</v>
      </c>
      <c r="AG84" s="7" t="str" cm="1">
        <f t="array" aca="1" ref="AG84" ca="1">IF(INDIRECT("$D"&amp;(ROW(R84)+$F$1-1))=0,AG83,I87&amp;$P87&amp;$Q87)</f>
        <v>0000</v>
      </c>
      <c r="AH84" s="7" t="str" cm="1">
        <f t="array" aca="1" ref="AH84" ca="1">IF(INDIRECT("$D"&amp;(ROW(R84)+$F$1-1))=0,AH83,I88&amp;$P88&amp;$Q88)</f>
        <v>0000</v>
      </c>
      <c r="AI84" s="7" t="str" cm="1">
        <f t="array" aca="1" ref="AI84" ca="1">IF(INDIRECT("$D"&amp;(ROW(R84)+$F$1-1))=0,AI83,I89&amp;$P89&amp;$Q89)</f>
        <v>0000</v>
      </c>
      <c r="AJ84" s="7" t="str" cm="1">
        <f t="array" ref="AJ84">TEXT($D84,"000")&amp;TEXT(IFERROR(INDEX($D$5:$D$103,_xlfn.AGGREGATE(15,6,ROW($E$5:$E$103)/(($E$5:$E$103&lt;&gt;"p")*($E$5:$E$103&lt;&gt;"t")*(ROW($E$5:$E$103)&gt;ROW($E84))),1)-ROW($E$5)+1),$D84),"000")</f>
        <v>000000</v>
      </c>
      <c r="AK84" s="22">
        <f t="shared" si="8"/>
        <v>500</v>
      </c>
      <c r="AL84" s="22" cm="1">
        <f t="array" aca="1" ref="AL84" ca="1">IF(INDIRECT("$K"&amp;(ROW(R84)+$F$1-1))="TERMINAL",1000489,489)*SIGN(AK84)</f>
        <v>1000489</v>
      </c>
      <c r="AM84" s="7" cm="1">
        <f t="array" aca="1" ref="AM84" ca="1">IF(INDIRECT("$D"&amp;(ROW(R84)+$F$1-1))=0,AM83,$G84)</f>
        <v>8</v>
      </c>
      <c r="AN84" s="7" cm="1">
        <f t="array" aca="1" ref="AN84" ca="1">IF(INDIRECT("$D"&amp;(ROW(R84)+$F$1-1))=0,AN83,$G85)</f>
        <v>0</v>
      </c>
      <c r="AO84" s="7" cm="1">
        <f t="array" aca="1" ref="AO84" ca="1">IF(INDIRECT("$D"&amp;(ROW(R84)+$F$1-1))=0,AO83,$G86)</f>
        <v>0</v>
      </c>
      <c r="AP84" s="7" cm="1">
        <f t="array" aca="1" ref="AP84" ca="1">IF(INDIRECT("$D"&amp;(ROW(R84)+$F$1-1))=0,AP83,$G87)</f>
        <v>0</v>
      </c>
      <c r="AQ84" s="7" cm="1">
        <f t="array" aca="1" ref="AQ84" ca="1">IF(INDIRECT("$D"&amp;(ROW(R84)+$F$1-1))=0,AQ83,$G88)</f>
        <v>1</v>
      </c>
      <c r="AR84" s="7" cm="1">
        <f t="array" aca="1" ref="AR84" ca="1">IF(INDIRECT("$D"&amp;(ROW(R84)+$F$1-1))=0,AR83,$G89)</f>
        <v>0</v>
      </c>
      <c r="AS84" s="7" cm="1">
        <f t="array" aca="1" ref="AS84" ca="1">IF(INDIRECT("$D"&amp;(ROW(AS84)+$F$1-1))=0,AS83+4,1)</f>
        <v>245</v>
      </c>
      <c r="AT84" s="7" cm="1">
        <f t="array" aca="1" ref="AT84" ca="1">IF(INDIRECT("$D"&amp;(ROW(AT84)+$F$1-1))=0,AT83+4,2)</f>
        <v>246</v>
      </c>
      <c r="AU84" s="7" cm="1">
        <f t="array" aca="1" ref="AU84" ca="1">IF(INDIRECT("$D"&amp;(ROW(AU84)+$F$1-1))=0,AU83+4,3)</f>
        <v>247</v>
      </c>
      <c r="AV84" s="7" cm="1">
        <f t="array" aca="1" ref="AV84" ca="1">IF(INDIRECT("$D"&amp;(ROW(AV84)+$F$1-1))=0,AV83+4,4)</f>
        <v>248</v>
      </c>
      <c r="AW84" s="22" cm="1">
        <f t="array" aca="1" ref="AW84" ca="1">_xlfn.XLOOKUP(1,INDIRECT("J"&amp;ROW(K84)+$F$1):J$103,INDIRECT("D"&amp;ROW(K84)+$F$1):D$103,0,0,1)</f>
        <v>0</v>
      </c>
      <c r="AX84" s="22">
        <f t="shared" ca="1" si="9"/>
        <v>0</v>
      </c>
      <c r="AY84" s="22" cm="1">
        <f t="array" aca="1" ref="AY84" ca="1">_xlfn.XLOOKUP(AW84,D$4:D$110,H$4:H$110&amp;N$4:N$110&amp;O$4:O$110,0,0,1)</f>
        <v>0</v>
      </c>
      <c r="AZ84" s="22" cm="1">
        <f t="array" aca="1" ref="AZ84" ca="1">_xlfn.XLOOKUP(AW84,D$4:D$110,I$4:I$110&amp;P$4:P$110&amp;Q$4:Q$110,0,0,1)</f>
        <v>0</v>
      </c>
      <c r="BA84" s="14" cm="1">
        <f t="array" ref="BA84">_xlfn.XLOOKUP(1,J$4:J83,D$4:D83,0,0,-1)</f>
        <v>35</v>
      </c>
      <c r="BB84" s="14">
        <f t="shared" si="11"/>
        <v>1</v>
      </c>
      <c r="BC84" s="14" t="str" cm="1">
        <f t="array" ref="BC84">_xlfn.SWITCH(TRUE,_xlfn.XLOOKUP(BA84,D$4:D$110,TEXT(F$4:F$110,"HH"),0,0,1)="00",B82&amp;"",_xlfn.XLOOKUP(BA84,D$4:D$110,TEXT(F$4:F$110,"HH"),0,0,1)="T","00",TRUE,_xlfn.XLOOKUP(BA84,D$4:D$110,TEXT(F$4:F$110,"HH"),0,0,1))</f>
        <v>00</v>
      </c>
      <c r="BD84" s="14" t="str">
        <f t="shared" si="10"/>
        <v>000000</v>
      </c>
    </row>
    <row r="85" spans="1:56">
      <c r="A85" s="2">
        <v>82</v>
      </c>
      <c r="B85" s="5"/>
      <c r="C85" s="5"/>
      <c r="D85" s="5"/>
      <c r="E85" s="5"/>
      <c r="F85" s="5"/>
      <c r="G85" s="5"/>
      <c r="H85" s="5"/>
      <c r="I85" s="5"/>
      <c r="J85" s="5">
        <f t="shared" si="7"/>
        <v>0</v>
      </c>
      <c r="K85" s="7" t="str">
        <f t="shared" si="6"/>
        <v>terminal</v>
      </c>
      <c r="L85" s="7" t="str" cm="1">
        <f t="array" ref="L85">_xlfn.SWITCH(TRUE,$K85="PASS",TEXT($B$1,"0000"),AND($K85="STOP",E85=""),TEXT($D$1,"0000"),$K84="TERMINAL","0000",TRUE,TEXT(E85,"MMSS"))</f>
        <v>0000</v>
      </c>
      <c r="M85" s="7" t="str" cm="1">
        <f t="array" ref="M85">_xlfn.SWITCH(TRUE,$K85="PASS",TEXT($B$1,"0000"),AND($K85="STOP",F85=""),TEXT($D$1,"0000"),$K85="TERMINAL","0000",TRUE,TEXT(F85,"MMSS"))</f>
        <v>0000</v>
      </c>
      <c r="N85" t="str" cm="1">
        <f t="array" ref="N85">_xlfn.SWITCH(TRUE,AND(LEFT(L85,2)="00",K85="TERMINAL"),"00",E85="",TEXT(LEFT($D$1,2),"00"),LEFT(L85,2)="00",$D$2&amp;"",TRUE,LEFT(L85,2))</f>
        <v>00</v>
      </c>
      <c r="O85" t="str" cm="1">
        <f t="array" ref="O85">_xlfn.SWITCH(TRUE,AND(N85="00",RIGHT(L85,2)="00",K85="TERMINAL"),"00",OR(E85="",N85=LEFT($B$1,2)),TEXT(RIGHT($D$1,2),"00"),RIGHT(L85,2)="00",$D$2&amp;"",TRUE,RIGHT(L85,2))</f>
        <v>00</v>
      </c>
      <c r="P85" t="str" cm="1">
        <f t="array" ref="P85">_xlfn.SWITCH(TRUE,AND(LEFT(M85,2)="00",K85="TERMINAL"),"00",F85="",TEXT(LEFT($D$1,2),"00"),LEFT(M85,2)="00",$D$2&amp;"",TRUE,LEFT(M85,2))</f>
        <v>00</v>
      </c>
      <c r="Q85" t="str" cm="1">
        <f t="array" ref="Q85">_xlfn.SWITCH(TRUE,AND(RIGHT(M85,2)="00",K85="TERMINAL"),"00",F85="",TEXT(RIGHT($D$1,2),"00"),RIGHT(M85,2)="00",$D$2&amp;"",TRUE,RIGHT(M85,2))</f>
        <v>00</v>
      </c>
      <c r="R85" s="7" cm="1">
        <f t="array" aca="1" ref="R85" ca="1">IF(INDIRECT("$D"&amp;(ROW(R85)+$F$1-1))=0,R84,$D85)</f>
        <v>39</v>
      </c>
      <c r="S85" s="7" cm="1">
        <f t="array" aca="1" ref="S85" ca="1">IF(INDIRECT("$D"&amp;(ROW(R85)+$F$1-1))=0,S84,$D86)</f>
        <v>38</v>
      </c>
      <c r="T85" s="7" cm="1">
        <f t="array" aca="1" ref="T85" ca="1">IF(INDIRECT("$D"&amp;(ROW(R85)+$F$1-1))=0,T84,$D87)</f>
        <v>37</v>
      </c>
      <c r="U85" s="7" cm="1">
        <f t="array" aca="1" ref="U85" ca="1">IF(INDIRECT("$D"&amp;(ROW(R85)+$F$1-1))=0,U84,$D88)</f>
        <v>36</v>
      </c>
      <c r="V85" s="7" cm="1">
        <f t="array" aca="1" ref="V85" ca="1">IF(INDIRECT("$D"&amp;(ROW(R85)+$F$1-1))=0,V84,$D89)</f>
        <v>35</v>
      </c>
      <c r="W85" s="7" cm="1">
        <f t="array" aca="1" ref="W85" ca="1">IF(INDIRECT("$D"&amp;(ROW(R85)+$F$1-1))=0,W84,$D90)</f>
        <v>0</v>
      </c>
      <c r="X85" s="7" t="str" cm="1">
        <f t="array" aca="1" ref="X85" ca="1">IF(INDIRECT("$D"&amp;(ROW(R85)+$F$1-1))=0,X83,$H85&amp;$N85&amp;$O85)</f>
        <v>5160</v>
      </c>
      <c r="Y85" s="7" t="str" cm="1">
        <f t="array" aca="1" ref="Y85" ca="1">IF(INDIRECT("$D"&amp;(ROW(R85)+$F$1-1))=0,Y84,H86&amp;$N86&amp;$O86)</f>
        <v>5530</v>
      </c>
      <c r="Z85" s="7" t="str" cm="1">
        <f t="array" aca="1" ref="Z85" ca="1">IF(INDIRECT("$D"&amp;(ROW(R85)+$F$1-1))=0,Z84,H87&amp;$N87&amp;$O87)</f>
        <v>6030</v>
      </c>
      <c r="AA85" s="7" t="str" cm="1">
        <f t="array" aca="1" ref="AA85" ca="1">IF(INDIRECT("$D"&amp;(ROW(R85)+$F$1-1))=0,AA84,H88&amp;$N88&amp;$O88)</f>
        <v>0000</v>
      </c>
      <c r="AB85" s="7" t="str" cm="1">
        <f t="array" aca="1" ref="AB85" ca="1">IF(INDIRECT("$D"&amp;(ROW(R85)+$F$1-1))=0,AB84,H89&amp;$N89&amp;$O89)</f>
        <v>0560</v>
      </c>
      <c r="AC85" s="7" t="str" cm="1">
        <f t="array" aca="1" ref="AC85" ca="1">IF(INDIRECT("$D"&amp;(ROW(R85)+$F$1-1))=0,AC84,H90&amp;$N90&amp;$O90)</f>
        <v>0000</v>
      </c>
      <c r="AD85" s="7" t="str" cm="1">
        <f t="array" aca="1" ref="AD85" ca="1">IF(INDIRECT("$D"&amp;(ROW(R85)+$F$1-1))=0,AD84,I85&amp;$P85&amp;$Q85)</f>
        <v>5130</v>
      </c>
      <c r="AE85" s="7" t="str" cm="1">
        <f t="array" aca="1" ref="AE85" ca="1">IF(INDIRECT("$D"&amp;(ROW(R85)+$F$1-1))=0,AE84,I86&amp;$P86&amp;$Q86)</f>
        <v>5660</v>
      </c>
      <c r="AF85" s="7" t="str" cm="1">
        <f t="array" aca="1" ref="AF85" ca="1">IF(INDIRECT("$D"&amp;(ROW(R85)+$F$1-1))=0,AF84,I87&amp;$P87&amp;$Q87)</f>
        <v>0160</v>
      </c>
      <c r="AG85" s="7" t="str" cm="1">
        <f t="array" aca="1" ref="AG85" ca="1">IF(INDIRECT("$D"&amp;(ROW(R85)+$F$1-1))=0,AG84,I88&amp;$P88&amp;$Q88)</f>
        <v>0000</v>
      </c>
      <c r="AH85" s="7" t="str" cm="1">
        <f t="array" aca="1" ref="AH85" ca="1">IF(INDIRECT("$D"&amp;(ROW(R85)+$F$1-1))=0,AH84,I89&amp;$P89&amp;$Q89)</f>
        <v>0000</v>
      </c>
      <c r="AI85" s="7" t="str" cm="1">
        <f t="array" aca="1" ref="AI85" ca="1">IF(INDIRECT("$D"&amp;(ROW(R85)+$F$1-1))=0,AI84,I90&amp;$P90&amp;$Q90)</f>
        <v>0000</v>
      </c>
      <c r="AJ85" s="7" t="str" cm="1">
        <f t="array" ref="AJ85">TEXT($D85,"000")&amp;TEXT(IFERROR(INDEX($D$5:$D$103,_xlfn.AGGREGATE(15,6,ROW($E$5:$E$103)/(($E$5:$E$103&lt;&gt;"p")*($E$5:$E$103&lt;&gt;"t")*(ROW($E$5:$E$103)&gt;ROW($E85))),1)-ROW($E$5)+1),$D85),"000")</f>
        <v>000000</v>
      </c>
      <c r="AK85" s="22">
        <f t="shared" si="8"/>
        <v>500</v>
      </c>
      <c r="AL85" s="22" cm="1">
        <f t="array" aca="1" ref="AL85" ca="1">IF(INDIRECT("$K"&amp;(ROW(R85)+$F$1-1))="TERMINAL",1000489,489)*SIGN(AK85)</f>
        <v>1000489</v>
      </c>
      <c r="AM85" s="7" cm="1">
        <f t="array" aca="1" ref="AM85" ca="1">IF(INDIRECT("$D"&amp;(ROW(R85)+$F$1-1))=0,AM84,$G85)</f>
        <v>8</v>
      </c>
      <c r="AN85" s="7" cm="1">
        <f t="array" aca="1" ref="AN85" ca="1">IF(INDIRECT("$D"&amp;(ROW(R85)+$F$1-1))=0,AN84,$G86)</f>
        <v>0</v>
      </c>
      <c r="AO85" s="7" cm="1">
        <f t="array" aca="1" ref="AO85" ca="1">IF(INDIRECT("$D"&amp;(ROW(R85)+$F$1-1))=0,AO84,$G87)</f>
        <v>0</v>
      </c>
      <c r="AP85" s="7" cm="1">
        <f t="array" aca="1" ref="AP85" ca="1">IF(INDIRECT("$D"&amp;(ROW(R85)+$F$1-1))=0,AP84,$G88)</f>
        <v>0</v>
      </c>
      <c r="AQ85" s="7" cm="1">
        <f t="array" aca="1" ref="AQ85" ca="1">IF(INDIRECT("$D"&amp;(ROW(R85)+$F$1-1))=0,AQ84,$G89)</f>
        <v>1</v>
      </c>
      <c r="AR85" s="7" cm="1">
        <f t="array" aca="1" ref="AR85" ca="1">IF(INDIRECT("$D"&amp;(ROW(R85)+$F$1-1))=0,AR84,$G90)</f>
        <v>0</v>
      </c>
      <c r="AS85" s="7" cm="1">
        <f t="array" aca="1" ref="AS85" ca="1">IF(INDIRECT("$D"&amp;(ROW(AS85)+$F$1-1))=0,AS84+4,1)</f>
        <v>249</v>
      </c>
      <c r="AT85" s="7" cm="1">
        <f t="array" aca="1" ref="AT85" ca="1">IF(INDIRECT("$D"&amp;(ROW(AT85)+$F$1-1))=0,AT84+4,2)</f>
        <v>250</v>
      </c>
      <c r="AU85" s="7" cm="1">
        <f t="array" aca="1" ref="AU85" ca="1">IF(INDIRECT("$D"&amp;(ROW(AU85)+$F$1-1))=0,AU84+4,3)</f>
        <v>251</v>
      </c>
      <c r="AV85" s="7" cm="1">
        <f t="array" aca="1" ref="AV85" ca="1">IF(INDIRECT("$D"&amp;(ROW(AV85)+$F$1-1))=0,AV84+4,4)</f>
        <v>252</v>
      </c>
      <c r="AW85" s="22" cm="1">
        <f t="array" aca="1" ref="AW85" ca="1">_xlfn.XLOOKUP(1,INDIRECT("J"&amp;ROW(K85)+$F$1):J$103,INDIRECT("D"&amp;ROW(K85)+$F$1):D$103,0,0,1)</f>
        <v>0</v>
      </c>
      <c r="AX85" s="22">
        <f t="shared" ca="1" si="9"/>
        <v>0</v>
      </c>
      <c r="AY85" s="22" cm="1">
        <f t="array" aca="1" ref="AY85" ca="1">_xlfn.XLOOKUP(AW85,D$4:D$110,H$4:H$110&amp;N$4:N$110&amp;O$4:O$110,0,0,1)</f>
        <v>0</v>
      </c>
      <c r="AZ85" s="22" cm="1">
        <f t="array" aca="1" ref="AZ85" ca="1">_xlfn.XLOOKUP(AW85,D$4:D$110,I$4:I$110&amp;P$4:P$110&amp;Q$4:Q$110,0,0,1)</f>
        <v>0</v>
      </c>
      <c r="BA85" s="14" cm="1">
        <f t="array" ref="BA85">_xlfn.XLOOKUP(1,J$4:J84,D$4:D84,0,0,-1)</f>
        <v>35</v>
      </c>
      <c r="BB85" s="14">
        <f t="shared" si="11"/>
        <v>1</v>
      </c>
      <c r="BC85" s="14" t="str" cm="1">
        <f t="array" ref="BC85">_xlfn.SWITCH(TRUE,_xlfn.XLOOKUP(BA85,D$4:D$110,TEXT(F$4:F$110,"HH"),0,0,1)="00",B83&amp;"",_xlfn.XLOOKUP(BA85,D$4:D$110,TEXT(F$4:F$110,"HH"),0,0,1)="T","00",TRUE,_xlfn.XLOOKUP(BA85,D$4:D$110,TEXT(F$4:F$110,"HH"),0,0,1))</f>
        <v>00</v>
      </c>
      <c r="BD85" s="14" t="str">
        <f t="shared" si="10"/>
        <v>000000</v>
      </c>
    </row>
    <row r="86" spans="1:56">
      <c r="A86" s="2">
        <v>83</v>
      </c>
      <c r="B86" s="5"/>
      <c r="C86" s="5"/>
      <c r="D86" s="5"/>
      <c r="E86" s="5"/>
      <c r="F86" s="5"/>
      <c r="G86" s="5"/>
      <c r="H86" s="5"/>
      <c r="I86" s="5"/>
      <c r="J86" s="5">
        <f t="shared" si="7"/>
        <v>0</v>
      </c>
      <c r="K86" s="7" t="str">
        <f t="shared" si="6"/>
        <v>terminal</v>
      </c>
      <c r="L86" s="7" t="str" cm="1">
        <f t="array" ref="L86">_xlfn.SWITCH(TRUE,$K86="PASS",TEXT($B$1,"0000"),AND($K86="STOP",E86=""),TEXT($D$1,"0000"),$K85="TERMINAL","0000",TRUE,TEXT(E86,"MMSS"))</f>
        <v>0000</v>
      </c>
      <c r="M86" s="7" t="str" cm="1">
        <f t="array" ref="M86">_xlfn.SWITCH(TRUE,$K86="PASS",TEXT($B$1,"0000"),AND($K86="STOP",F86=""),TEXT($D$1,"0000"),$K86="TERMINAL","0000",TRUE,TEXT(F86,"MMSS"))</f>
        <v>0000</v>
      </c>
      <c r="N86" t="str" cm="1">
        <f t="array" ref="N86">_xlfn.SWITCH(TRUE,AND(LEFT(L86,2)="00",K86="TERMINAL"),"00",E86="",TEXT(LEFT($D$1,2),"00"),LEFT(L86,2)="00",$D$2&amp;"",TRUE,LEFT(L86,2))</f>
        <v>00</v>
      </c>
      <c r="O86" t="str" cm="1">
        <f t="array" ref="O86">_xlfn.SWITCH(TRUE,AND(N86="00",RIGHT(L86,2)="00",K86="TERMINAL"),"00",OR(E86="",N86=LEFT($B$1,2)),TEXT(RIGHT($D$1,2),"00"),RIGHT(L86,2)="00",$D$2&amp;"",TRUE,RIGHT(L86,2))</f>
        <v>00</v>
      </c>
      <c r="P86" t="str" cm="1">
        <f t="array" ref="P86">_xlfn.SWITCH(TRUE,AND(LEFT(M86,2)="00",K86="TERMINAL"),"00",F86="",TEXT(LEFT($D$1,2),"00"),LEFT(M86,2)="00",$D$2&amp;"",TRUE,LEFT(M86,2))</f>
        <v>00</v>
      </c>
      <c r="Q86" t="str" cm="1">
        <f t="array" ref="Q86">_xlfn.SWITCH(TRUE,AND(RIGHT(M86,2)="00",K86="TERMINAL"),"00",F86="",TEXT(RIGHT($D$1,2),"00"),RIGHT(M86,2)="00",$D$2&amp;"",TRUE,RIGHT(M86,2))</f>
        <v>00</v>
      </c>
      <c r="R86" s="7" cm="1">
        <f t="array" aca="1" ref="R86" ca="1">IF(INDIRECT("$D"&amp;(ROW(R86)+$F$1-1))=0,R85,$D86)</f>
        <v>39</v>
      </c>
      <c r="S86" s="7" cm="1">
        <f t="array" aca="1" ref="S86" ca="1">IF(INDIRECT("$D"&amp;(ROW(R86)+$F$1-1))=0,S85,$D87)</f>
        <v>38</v>
      </c>
      <c r="T86" s="7" cm="1">
        <f t="array" aca="1" ref="T86" ca="1">IF(INDIRECT("$D"&amp;(ROW(R86)+$F$1-1))=0,T85,$D88)</f>
        <v>37</v>
      </c>
      <c r="U86" s="7" cm="1">
        <f t="array" aca="1" ref="U86" ca="1">IF(INDIRECT("$D"&amp;(ROW(R86)+$F$1-1))=0,U85,$D89)</f>
        <v>36</v>
      </c>
      <c r="V86" s="7" cm="1">
        <f t="array" aca="1" ref="V86" ca="1">IF(INDIRECT("$D"&amp;(ROW(R86)+$F$1-1))=0,V85,$D90)</f>
        <v>35</v>
      </c>
      <c r="W86" s="7" cm="1">
        <f t="array" aca="1" ref="W86" ca="1">IF(INDIRECT("$D"&amp;(ROW(R86)+$F$1-1))=0,W85,$D91)</f>
        <v>0</v>
      </c>
      <c r="X86" s="7" t="str" cm="1">
        <f t="array" aca="1" ref="X86" ca="1">IF(INDIRECT("$D"&amp;(ROW(R86)+$F$1-1))=0,X84,$H86&amp;$N86&amp;$O86)</f>
        <v>4630</v>
      </c>
      <c r="Y86" s="7" t="str" cm="1">
        <f t="array" aca="1" ref="Y86" ca="1">IF(INDIRECT("$D"&amp;(ROW(R86)+$F$1-1))=0,Y85,H87&amp;$N87&amp;$O87)</f>
        <v>5530</v>
      </c>
      <c r="Z86" s="7" t="str" cm="1">
        <f t="array" aca="1" ref="Z86" ca="1">IF(INDIRECT("$D"&amp;(ROW(R86)+$F$1-1))=0,Z85,H88&amp;$N88&amp;$O88)</f>
        <v>6030</v>
      </c>
      <c r="AA86" s="7" t="str" cm="1">
        <f t="array" aca="1" ref="AA86" ca="1">IF(INDIRECT("$D"&amp;(ROW(R86)+$F$1-1))=0,AA85,H89&amp;$N89&amp;$O89)</f>
        <v>0000</v>
      </c>
      <c r="AB86" s="7" t="str" cm="1">
        <f t="array" aca="1" ref="AB86" ca="1">IF(INDIRECT("$D"&amp;(ROW(R86)+$F$1-1))=0,AB85,H90&amp;$N90&amp;$O90)</f>
        <v>0560</v>
      </c>
      <c r="AC86" s="7" t="str" cm="1">
        <f t="array" aca="1" ref="AC86" ca="1">IF(INDIRECT("$D"&amp;(ROW(R86)+$F$1-1))=0,AC85,H91&amp;$N91&amp;$O91)</f>
        <v>0000</v>
      </c>
      <c r="AD86" s="7" t="str" cm="1">
        <f t="array" aca="1" ref="AD86" ca="1">IF(INDIRECT("$D"&amp;(ROW(R86)+$F$1-1))=0,AD85,I86&amp;$P86&amp;$Q86)</f>
        <v>5130</v>
      </c>
      <c r="AE86" s="7" t="str" cm="1">
        <f t="array" aca="1" ref="AE86" ca="1">IF(INDIRECT("$D"&amp;(ROW(R86)+$F$1-1))=0,AE85,I87&amp;$P87&amp;$Q87)</f>
        <v>5660</v>
      </c>
      <c r="AF86" s="7" t="str" cm="1">
        <f t="array" aca="1" ref="AF86" ca="1">IF(INDIRECT("$D"&amp;(ROW(R86)+$F$1-1))=0,AF85,I88&amp;$P88&amp;$Q88)</f>
        <v>0160</v>
      </c>
      <c r="AG86" s="7" t="str" cm="1">
        <f t="array" aca="1" ref="AG86" ca="1">IF(INDIRECT("$D"&amp;(ROW(R86)+$F$1-1))=0,AG85,I89&amp;$P89&amp;$Q89)</f>
        <v>0000</v>
      </c>
      <c r="AH86" s="7" t="str" cm="1">
        <f t="array" aca="1" ref="AH86" ca="1">IF(INDIRECT("$D"&amp;(ROW(R86)+$F$1-1))=0,AH85,I90&amp;$P90&amp;$Q90)</f>
        <v>0000</v>
      </c>
      <c r="AI86" s="7" t="str" cm="1">
        <f t="array" aca="1" ref="AI86" ca="1">IF(INDIRECT("$D"&amp;(ROW(R86)+$F$1-1))=0,AI85,I91&amp;$P91&amp;$Q91)</f>
        <v>0000</v>
      </c>
      <c r="AJ86" s="7" t="str" cm="1">
        <f t="array" ref="AJ86">TEXT($D86,"000")&amp;TEXT(IFERROR(INDEX($D$5:$D$103,_xlfn.AGGREGATE(15,6,ROW($E$5:$E$103)/(($E$5:$E$103&lt;&gt;"p")*($E$5:$E$103&lt;&gt;"t")*(ROW($E$5:$E$103)&gt;ROW($E86))),1)-ROW($E$5)+1),$D86),"000")</f>
        <v>000000</v>
      </c>
      <c r="AK86" s="22">
        <f t="shared" si="8"/>
        <v>500</v>
      </c>
      <c r="AL86" s="22" cm="1">
        <f t="array" aca="1" ref="AL86" ca="1">IF(INDIRECT("$K"&amp;(ROW(R86)+$F$1-1))="TERMINAL",1000489,489)*SIGN(AK86)</f>
        <v>1000489</v>
      </c>
      <c r="AM86" s="7" cm="1">
        <f t="array" aca="1" ref="AM86" ca="1">IF(INDIRECT("$D"&amp;(ROW(R86)+$F$1-1))=0,AM85,$G86)</f>
        <v>8</v>
      </c>
      <c r="AN86" s="7" cm="1">
        <f t="array" aca="1" ref="AN86" ca="1">IF(INDIRECT("$D"&amp;(ROW(R86)+$F$1-1))=0,AN85,$G87)</f>
        <v>0</v>
      </c>
      <c r="AO86" s="7" cm="1">
        <f t="array" aca="1" ref="AO86" ca="1">IF(INDIRECT("$D"&amp;(ROW(R86)+$F$1-1))=0,AO85,$G88)</f>
        <v>0</v>
      </c>
      <c r="AP86" s="7" cm="1">
        <f t="array" aca="1" ref="AP86" ca="1">IF(INDIRECT("$D"&amp;(ROW(R86)+$F$1-1))=0,AP85,$G89)</f>
        <v>0</v>
      </c>
      <c r="AQ86" s="7" cm="1">
        <f t="array" aca="1" ref="AQ86" ca="1">IF(INDIRECT("$D"&amp;(ROW(R86)+$F$1-1))=0,AQ85,$G90)</f>
        <v>1</v>
      </c>
      <c r="AR86" s="7" cm="1">
        <f t="array" aca="1" ref="AR86" ca="1">IF(INDIRECT("$D"&amp;(ROW(R86)+$F$1-1))=0,AR85,$G91)</f>
        <v>0</v>
      </c>
      <c r="AS86" s="7" cm="1">
        <f t="array" aca="1" ref="AS86" ca="1">IF(INDIRECT("$D"&amp;(ROW(AS86)+$F$1-1))=0,AS85+4,1)</f>
        <v>253</v>
      </c>
      <c r="AT86" s="7" cm="1">
        <f t="array" aca="1" ref="AT86" ca="1">IF(INDIRECT("$D"&amp;(ROW(AT86)+$F$1-1))=0,AT85+4,2)</f>
        <v>254</v>
      </c>
      <c r="AU86" s="7" cm="1">
        <f t="array" aca="1" ref="AU86" ca="1">IF(INDIRECT("$D"&amp;(ROW(AU86)+$F$1-1))=0,AU85+4,3)</f>
        <v>255</v>
      </c>
      <c r="AV86" s="7" cm="1">
        <f t="array" aca="1" ref="AV86" ca="1">IF(INDIRECT("$D"&amp;(ROW(AV86)+$F$1-1))=0,AV85+4,4)</f>
        <v>256</v>
      </c>
      <c r="AW86" s="22" cm="1">
        <f t="array" aca="1" ref="AW86" ca="1">_xlfn.XLOOKUP(1,INDIRECT("J"&amp;ROW(K86)+$F$1):J$103,INDIRECT("D"&amp;ROW(K86)+$F$1):D$103,0,0,1)</f>
        <v>0</v>
      </c>
      <c r="AX86" s="22">
        <f t="shared" ca="1" si="9"/>
        <v>0</v>
      </c>
      <c r="AY86" s="22" cm="1">
        <f t="array" aca="1" ref="AY86" ca="1">_xlfn.XLOOKUP(AW86,D$4:D$110,H$4:H$110&amp;N$4:N$110&amp;O$4:O$110,0,0,1)</f>
        <v>0</v>
      </c>
      <c r="AZ86" s="22" cm="1">
        <f t="array" aca="1" ref="AZ86" ca="1">_xlfn.XLOOKUP(AW86,D$4:D$110,I$4:I$110&amp;P$4:P$110&amp;Q$4:Q$110,0,0,1)</f>
        <v>0</v>
      </c>
      <c r="BA86" s="14" cm="1">
        <f t="array" ref="BA86">_xlfn.XLOOKUP(1,J$4:J85,D$4:D85,0,0,-1)</f>
        <v>35</v>
      </c>
      <c r="BB86" s="14">
        <f t="shared" si="11"/>
        <v>1</v>
      </c>
      <c r="BC86" s="14" t="str" cm="1">
        <f t="array" ref="BC86">_xlfn.SWITCH(TRUE,_xlfn.XLOOKUP(BA86,D$4:D$110,TEXT(F$4:F$110,"HH"),0,0,1)="00",B84&amp;"",_xlfn.XLOOKUP(BA86,D$4:D$110,TEXT(F$4:F$110,"HH"),0,0,1)="T","00",TRUE,_xlfn.XLOOKUP(BA86,D$4:D$110,TEXT(F$4:F$110,"HH"),0,0,1))</f>
        <v>00</v>
      </c>
      <c r="BD86" s="14" t="str">
        <f t="shared" si="10"/>
        <v>000000</v>
      </c>
    </row>
    <row r="87" spans="1:56">
      <c r="A87" s="2">
        <v>84</v>
      </c>
      <c r="B87" s="5"/>
      <c r="C87" s="5"/>
      <c r="D87" s="5"/>
      <c r="E87" s="5"/>
      <c r="F87" s="5"/>
      <c r="G87" s="5"/>
      <c r="H87" s="5"/>
      <c r="I87" s="5"/>
      <c r="J87" s="5">
        <f t="shared" si="7"/>
        <v>0</v>
      </c>
      <c r="K87" s="7" t="str">
        <f t="shared" si="6"/>
        <v>terminal</v>
      </c>
      <c r="L87" s="7" t="str" cm="1">
        <f t="array" ref="L87">_xlfn.SWITCH(TRUE,$K87="PASS",TEXT($B$1,"0000"),AND($K87="STOP",E87=""),TEXT($D$1,"0000"),$K86="TERMINAL","0000",TRUE,TEXT(E87,"MMSS"))</f>
        <v>0000</v>
      </c>
      <c r="M87" s="7" t="str" cm="1">
        <f t="array" ref="M87">_xlfn.SWITCH(TRUE,$K87="PASS",TEXT($B$1,"0000"),AND($K87="STOP",F87=""),TEXT($D$1,"0000"),$K87="TERMINAL","0000",TRUE,TEXT(F87,"MMSS"))</f>
        <v>0000</v>
      </c>
      <c r="N87" t="str" cm="1">
        <f t="array" ref="N87">_xlfn.SWITCH(TRUE,AND(LEFT(L87,2)="00",K87="TERMINAL"),"00",E87="",TEXT(LEFT($D$1,2),"00"),LEFT(L87,2)="00",$D$2&amp;"",TRUE,LEFT(L87,2))</f>
        <v>00</v>
      </c>
      <c r="O87" t="str" cm="1">
        <f t="array" ref="O87">_xlfn.SWITCH(TRUE,AND(N87="00",RIGHT(L87,2)="00",K87="TERMINAL"),"00",OR(E87="",N87=LEFT($B$1,2)),TEXT(RIGHT($D$1,2),"00"),RIGHT(L87,2)="00",$D$2&amp;"",TRUE,RIGHT(L87,2))</f>
        <v>00</v>
      </c>
      <c r="P87" t="str" cm="1">
        <f t="array" ref="P87">_xlfn.SWITCH(TRUE,AND(LEFT(M87,2)="00",K87="TERMINAL"),"00",F87="",TEXT(LEFT($D$1,2),"00"),LEFT(M87,2)="00",$D$2&amp;"",TRUE,LEFT(M87,2))</f>
        <v>00</v>
      </c>
      <c r="Q87" t="str" cm="1">
        <f t="array" ref="Q87">_xlfn.SWITCH(TRUE,AND(RIGHT(M87,2)="00",K87="TERMINAL"),"00",F87="",TEXT(RIGHT($D$1,2),"00"),RIGHT(M87,2)="00",$D$2&amp;"",TRUE,RIGHT(M87,2))</f>
        <v>00</v>
      </c>
      <c r="R87" s="7" cm="1">
        <f t="array" aca="1" ref="R87" ca="1">IF(INDIRECT("$D"&amp;(ROW(R87)+$F$1-1))=0,R86,$D87)</f>
        <v>39</v>
      </c>
      <c r="S87" s="7" cm="1">
        <f t="array" aca="1" ref="S87" ca="1">IF(INDIRECT("$D"&amp;(ROW(R87)+$F$1-1))=0,S86,$D88)</f>
        <v>38</v>
      </c>
      <c r="T87" s="7" cm="1">
        <f t="array" aca="1" ref="T87" ca="1">IF(INDIRECT("$D"&amp;(ROW(R87)+$F$1-1))=0,T86,$D89)</f>
        <v>37</v>
      </c>
      <c r="U87" s="7" cm="1">
        <f t="array" aca="1" ref="U87" ca="1">IF(INDIRECT("$D"&amp;(ROW(R87)+$F$1-1))=0,U86,$D90)</f>
        <v>36</v>
      </c>
      <c r="V87" s="7" cm="1">
        <f t="array" aca="1" ref="V87" ca="1">IF(INDIRECT("$D"&amp;(ROW(R87)+$F$1-1))=0,V86,$D91)</f>
        <v>35</v>
      </c>
      <c r="W87" s="7" cm="1">
        <f t="array" aca="1" ref="W87" ca="1">IF(INDIRECT("$D"&amp;(ROW(R87)+$F$1-1))=0,W86,$D92)</f>
        <v>0</v>
      </c>
      <c r="X87" s="7" t="str" cm="1">
        <f t="array" aca="1" ref="X87" ca="1">IF(INDIRECT("$D"&amp;(ROW(R87)+$F$1-1))=0,X85,$H87&amp;$N87&amp;$O87)</f>
        <v>5160</v>
      </c>
      <c r="Y87" s="7" t="str" cm="1">
        <f t="array" aca="1" ref="Y87" ca="1">IF(INDIRECT("$D"&amp;(ROW(R87)+$F$1-1))=0,Y86,H88&amp;$N88&amp;$O88)</f>
        <v>5530</v>
      </c>
      <c r="Z87" s="7" t="str" cm="1">
        <f t="array" aca="1" ref="Z87" ca="1">IF(INDIRECT("$D"&amp;(ROW(R87)+$F$1-1))=0,Z86,H89&amp;$N89&amp;$O89)</f>
        <v>6030</v>
      </c>
      <c r="AA87" s="7" t="str" cm="1">
        <f t="array" aca="1" ref="AA87" ca="1">IF(INDIRECT("$D"&amp;(ROW(R87)+$F$1-1))=0,AA86,H90&amp;$N90&amp;$O90)</f>
        <v>0000</v>
      </c>
      <c r="AB87" s="7" t="str" cm="1">
        <f t="array" aca="1" ref="AB87" ca="1">IF(INDIRECT("$D"&amp;(ROW(R87)+$F$1-1))=0,AB86,H91&amp;$N91&amp;$O91)</f>
        <v>0560</v>
      </c>
      <c r="AC87" s="7" t="str" cm="1">
        <f t="array" aca="1" ref="AC87" ca="1">IF(INDIRECT("$D"&amp;(ROW(R87)+$F$1-1))=0,AC86,H92&amp;$N92&amp;$O92)</f>
        <v>0000</v>
      </c>
      <c r="AD87" s="7" t="str" cm="1">
        <f t="array" aca="1" ref="AD87" ca="1">IF(INDIRECT("$D"&amp;(ROW(R87)+$F$1-1))=0,AD86,I87&amp;$P87&amp;$Q87)</f>
        <v>5130</v>
      </c>
      <c r="AE87" s="7" t="str" cm="1">
        <f t="array" aca="1" ref="AE87" ca="1">IF(INDIRECT("$D"&amp;(ROW(R87)+$F$1-1))=0,AE86,I88&amp;$P88&amp;$Q88)</f>
        <v>5660</v>
      </c>
      <c r="AF87" s="7" t="str" cm="1">
        <f t="array" aca="1" ref="AF87" ca="1">IF(INDIRECT("$D"&amp;(ROW(R87)+$F$1-1))=0,AF86,I89&amp;$P89&amp;$Q89)</f>
        <v>0160</v>
      </c>
      <c r="AG87" s="7" t="str" cm="1">
        <f t="array" aca="1" ref="AG87" ca="1">IF(INDIRECT("$D"&amp;(ROW(R87)+$F$1-1))=0,AG86,I90&amp;$P90&amp;$Q90)</f>
        <v>0000</v>
      </c>
      <c r="AH87" s="7" t="str" cm="1">
        <f t="array" aca="1" ref="AH87" ca="1">IF(INDIRECT("$D"&amp;(ROW(R87)+$F$1-1))=0,AH86,I91&amp;$P91&amp;$Q91)</f>
        <v>0000</v>
      </c>
      <c r="AI87" s="7" t="str" cm="1">
        <f t="array" aca="1" ref="AI87" ca="1">IF(INDIRECT("$D"&amp;(ROW(R87)+$F$1-1))=0,AI86,I92&amp;$P92&amp;$Q92)</f>
        <v>0000</v>
      </c>
      <c r="AJ87" s="7" t="str" cm="1">
        <f t="array" ref="AJ87">TEXT($D87,"000")&amp;TEXT(IFERROR(INDEX($D$5:$D$103,_xlfn.AGGREGATE(15,6,ROW($E$5:$E$103)/(($E$5:$E$103&lt;&gt;"p")*($E$5:$E$103&lt;&gt;"t")*(ROW($E$5:$E$103)&gt;ROW($E87))),1)-ROW($E$5)+1),$D87),"000")</f>
        <v>000000</v>
      </c>
      <c r="AK87" s="22">
        <f t="shared" si="8"/>
        <v>500</v>
      </c>
      <c r="AL87" s="22" cm="1">
        <f t="array" aca="1" ref="AL87" ca="1">IF(INDIRECT("$K"&amp;(ROW(R87)+$F$1-1))="TERMINAL",1000489,489)*SIGN(AK87)</f>
        <v>1000489</v>
      </c>
      <c r="AM87" s="7" cm="1">
        <f t="array" aca="1" ref="AM87" ca="1">IF(INDIRECT("$D"&amp;(ROW(R87)+$F$1-1))=0,AM86,$G87)</f>
        <v>8</v>
      </c>
      <c r="AN87" s="7" cm="1">
        <f t="array" aca="1" ref="AN87" ca="1">IF(INDIRECT("$D"&amp;(ROW(R87)+$F$1-1))=0,AN86,$G88)</f>
        <v>0</v>
      </c>
      <c r="AO87" s="7" cm="1">
        <f t="array" aca="1" ref="AO87" ca="1">IF(INDIRECT("$D"&amp;(ROW(R87)+$F$1-1))=0,AO86,$G89)</f>
        <v>0</v>
      </c>
      <c r="AP87" s="7" cm="1">
        <f t="array" aca="1" ref="AP87" ca="1">IF(INDIRECT("$D"&amp;(ROW(R87)+$F$1-1))=0,AP86,$G90)</f>
        <v>0</v>
      </c>
      <c r="AQ87" s="7" cm="1">
        <f t="array" aca="1" ref="AQ87" ca="1">IF(INDIRECT("$D"&amp;(ROW(R87)+$F$1-1))=0,AQ86,$G91)</f>
        <v>1</v>
      </c>
      <c r="AR87" s="7" cm="1">
        <f t="array" aca="1" ref="AR87" ca="1">IF(INDIRECT("$D"&amp;(ROW(R87)+$F$1-1))=0,AR86,$G92)</f>
        <v>0</v>
      </c>
      <c r="AS87" s="7" cm="1">
        <f t="array" aca="1" ref="AS87" ca="1">IF(INDIRECT("$D"&amp;(ROW(AS87)+$F$1-1))=0,AS86+4,1)</f>
        <v>257</v>
      </c>
      <c r="AT87" s="7" cm="1">
        <f t="array" aca="1" ref="AT87" ca="1">IF(INDIRECT("$D"&amp;(ROW(AT87)+$F$1-1))=0,AT86+4,2)</f>
        <v>258</v>
      </c>
      <c r="AU87" s="7" cm="1">
        <f t="array" aca="1" ref="AU87" ca="1">IF(INDIRECT("$D"&amp;(ROW(AU87)+$F$1-1))=0,AU86+4,3)</f>
        <v>259</v>
      </c>
      <c r="AV87" s="7" cm="1">
        <f t="array" aca="1" ref="AV87" ca="1">IF(INDIRECT("$D"&amp;(ROW(AV87)+$F$1-1))=0,AV86+4,4)</f>
        <v>260</v>
      </c>
      <c r="AW87" s="22" cm="1">
        <f t="array" aca="1" ref="AW87" ca="1">_xlfn.XLOOKUP(1,INDIRECT("J"&amp;ROW(K87)+$F$1):J$103,INDIRECT("D"&amp;ROW(K87)+$F$1):D$103,0,0,1)</f>
        <v>0</v>
      </c>
      <c r="AX87" s="22">
        <f t="shared" ca="1" si="9"/>
        <v>0</v>
      </c>
      <c r="AY87" s="22" cm="1">
        <f t="array" aca="1" ref="AY87" ca="1">_xlfn.XLOOKUP(AW87,D$4:D$110,H$4:H$110&amp;N$4:N$110&amp;O$4:O$110,0,0,1)</f>
        <v>0</v>
      </c>
      <c r="AZ87" s="22" cm="1">
        <f t="array" aca="1" ref="AZ87" ca="1">_xlfn.XLOOKUP(AW87,D$4:D$110,I$4:I$110&amp;P$4:P$110&amp;Q$4:Q$110,0,0,1)</f>
        <v>0</v>
      </c>
      <c r="BA87" s="14" cm="1">
        <f t="array" ref="BA87">_xlfn.XLOOKUP(1,J$4:J86,D$4:D86,0,0,-1)</f>
        <v>35</v>
      </c>
      <c r="BB87" s="14">
        <f t="shared" si="11"/>
        <v>1</v>
      </c>
      <c r="BC87" s="14" t="str" cm="1">
        <f t="array" ref="BC87">_xlfn.SWITCH(TRUE,_xlfn.XLOOKUP(BA87,D$4:D$110,TEXT(F$4:F$110,"HH"),0,0,1)="00",B85&amp;"",_xlfn.XLOOKUP(BA87,D$4:D$110,TEXT(F$4:F$110,"HH"),0,0,1)="T","00",TRUE,_xlfn.XLOOKUP(BA87,D$4:D$110,TEXT(F$4:F$110,"HH"),0,0,1))</f>
        <v>00</v>
      </c>
      <c r="BD87" s="14" t="str">
        <f t="shared" si="10"/>
        <v>000000</v>
      </c>
    </row>
    <row r="88" spans="1:56">
      <c r="A88" s="2">
        <v>85</v>
      </c>
      <c r="B88" s="5"/>
      <c r="C88" s="5"/>
      <c r="D88" s="5"/>
      <c r="E88" s="5"/>
      <c r="F88" s="5"/>
      <c r="G88" s="5"/>
      <c r="H88" s="5"/>
      <c r="I88" s="5"/>
      <c r="J88" s="5">
        <f t="shared" si="7"/>
        <v>0</v>
      </c>
      <c r="K88" s="7" t="str">
        <f t="shared" si="6"/>
        <v>terminal</v>
      </c>
      <c r="L88" s="7" t="str" cm="1">
        <f t="array" ref="L88">_xlfn.SWITCH(TRUE,$K88="PASS",TEXT($B$1,"0000"),AND($K88="STOP",E88=""),TEXT($D$1,"0000"),$K87="TERMINAL","0000",TRUE,TEXT(E88,"MMSS"))</f>
        <v>0000</v>
      </c>
      <c r="M88" s="7" t="str" cm="1">
        <f t="array" ref="M88">_xlfn.SWITCH(TRUE,$K88="PASS",TEXT($B$1,"0000"),AND($K88="STOP",F88=""),TEXT($D$1,"0000"),$K88="TERMINAL","0000",TRUE,TEXT(F88,"MMSS"))</f>
        <v>0000</v>
      </c>
      <c r="N88" t="str" cm="1">
        <f t="array" ref="N88">_xlfn.SWITCH(TRUE,AND(LEFT(L88,2)="00",K88="TERMINAL"),"00",E88="",TEXT(LEFT($D$1,2),"00"),LEFT(L88,2)="00",$D$2&amp;"",TRUE,LEFT(L88,2))</f>
        <v>00</v>
      </c>
      <c r="O88" t="str" cm="1">
        <f t="array" ref="O88">_xlfn.SWITCH(TRUE,AND(N88="00",RIGHT(L88,2)="00",K88="TERMINAL"),"00",OR(E88="",N88=LEFT($B$1,2)),TEXT(RIGHT($D$1,2),"00"),RIGHT(L88,2)="00",$D$2&amp;"",TRUE,RIGHT(L88,2))</f>
        <v>00</v>
      </c>
      <c r="P88" t="str" cm="1">
        <f t="array" ref="P88">_xlfn.SWITCH(TRUE,AND(LEFT(M88,2)="00",K88="TERMINAL"),"00",F88="",TEXT(LEFT($D$1,2),"00"),LEFT(M88,2)="00",$D$2&amp;"",TRUE,LEFT(M88,2))</f>
        <v>00</v>
      </c>
      <c r="Q88" t="str" cm="1">
        <f t="array" ref="Q88">_xlfn.SWITCH(TRUE,AND(RIGHT(M88,2)="00",K88="TERMINAL"),"00",F88="",TEXT(RIGHT($D$1,2),"00"),RIGHT(M88,2)="00",$D$2&amp;"",TRUE,RIGHT(M88,2))</f>
        <v>00</v>
      </c>
      <c r="R88" s="7" cm="1">
        <f t="array" aca="1" ref="R88" ca="1">IF(INDIRECT("$D"&amp;(ROW(R88)+$F$1-1))=0,R87,$D88)</f>
        <v>39</v>
      </c>
      <c r="S88" s="7" cm="1">
        <f t="array" aca="1" ref="S88" ca="1">IF(INDIRECT("$D"&amp;(ROW(R88)+$F$1-1))=0,S87,$D89)</f>
        <v>38</v>
      </c>
      <c r="T88" s="7" cm="1">
        <f t="array" aca="1" ref="T88" ca="1">IF(INDIRECT("$D"&amp;(ROW(R88)+$F$1-1))=0,T87,$D90)</f>
        <v>37</v>
      </c>
      <c r="U88" s="7" cm="1">
        <f t="array" aca="1" ref="U88" ca="1">IF(INDIRECT("$D"&amp;(ROW(R88)+$F$1-1))=0,U87,$D91)</f>
        <v>36</v>
      </c>
      <c r="V88" s="7" cm="1">
        <f t="array" aca="1" ref="V88" ca="1">IF(INDIRECT("$D"&amp;(ROW(R88)+$F$1-1))=0,V87,$D92)</f>
        <v>35</v>
      </c>
      <c r="W88" s="7" cm="1">
        <f t="array" aca="1" ref="W88" ca="1">IF(INDIRECT("$D"&amp;(ROW(R88)+$F$1-1))=0,W87,$D93)</f>
        <v>0</v>
      </c>
      <c r="X88" s="7" t="str" cm="1">
        <f t="array" aca="1" ref="X88" ca="1">IF(INDIRECT("$D"&amp;(ROW(R88)+$F$1-1))=0,X86,$H88&amp;$N88&amp;$O88)</f>
        <v>4630</v>
      </c>
      <c r="Y88" s="7" t="str" cm="1">
        <f t="array" aca="1" ref="Y88" ca="1">IF(INDIRECT("$D"&amp;(ROW(R88)+$F$1-1))=0,Y87,H89&amp;$N89&amp;$O89)</f>
        <v>5530</v>
      </c>
      <c r="Z88" s="7" t="str" cm="1">
        <f t="array" aca="1" ref="Z88" ca="1">IF(INDIRECT("$D"&amp;(ROW(R88)+$F$1-1))=0,Z87,H90&amp;$N90&amp;$O90)</f>
        <v>6030</v>
      </c>
      <c r="AA88" s="7" t="str" cm="1">
        <f t="array" aca="1" ref="AA88" ca="1">IF(INDIRECT("$D"&amp;(ROW(R88)+$F$1-1))=0,AA87,H91&amp;$N91&amp;$O91)</f>
        <v>0000</v>
      </c>
      <c r="AB88" s="7" t="str" cm="1">
        <f t="array" aca="1" ref="AB88" ca="1">IF(INDIRECT("$D"&amp;(ROW(R88)+$F$1-1))=0,AB87,H92&amp;$N92&amp;$O92)</f>
        <v>0560</v>
      </c>
      <c r="AC88" s="7" t="str" cm="1">
        <f t="array" aca="1" ref="AC88" ca="1">IF(INDIRECT("$D"&amp;(ROW(R88)+$F$1-1))=0,AC87,H93&amp;$N93&amp;$O93)</f>
        <v>0000</v>
      </c>
      <c r="AD88" s="7" t="str" cm="1">
        <f t="array" aca="1" ref="AD88" ca="1">IF(INDIRECT("$D"&amp;(ROW(R88)+$F$1-1))=0,AD87,I88&amp;$P88&amp;$Q88)</f>
        <v>5130</v>
      </c>
      <c r="AE88" s="7" t="str" cm="1">
        <f t="array" aca="1" ref="AE88" ca="1">IF(INDIRECT("$D"&amp;(ROW(R88)+$F$1-1))=0,AE87,I89&amp;$P89&amp;$Q89)</f>
        <v>5660</v>
      </c>
      <c r="AF88" s="7" t="str" cm="1">
        <f t="array" aca="1" ref="AF88" ca="1">IF(INDIRECT("$D"&amp;(ROW(R88)+$F$1-1))=0,AF87,I90&amp;$P90&amp;$Q90)</f>
        <v>0160</v>
      </c>
      <c r="AG88" s="7" t="str" cm="1">
        <f t="array" aca="1" ref="AG88" ca="1">IF(INDIRECT("$D"&amp;(ROW(R88)+$F$1-1))=0,AG87,I91&amp;$P91&amp;$Q91)</f>
        <v>0000</v>
      </c>
      <c r="AH88" s="7" t="str" cm="1">
        <f t="array" aca="1" ref="AH88" ca="1">IF(INDIRECT("$D"&amp;(ROW(R88)+$F$1-1))=0,AH87,I92&amp;$P92&amp;$Q92)</f>
        <v>0000</v>
      </c>
      <c r="AI88" s="7" t="str" cm="1">
        <f t="array" aca="1" ref="AI88" ca="1">IF(INDIRECT("$D"&amp;(ROW(R88)+$F$1-1))=0,AI87,I93&amp;$P93&amp;$Q93)</f>
        <v>0000</v>
      </c>
      <c r="AJ88" s="7" t="str" cm="1">
        <f t="array" ref="AJ88">TEXT($D88,"000")&amp;TEXT(IFERROR(INDEX($D$5:$D$103,_xlfn.AGGREGATE(15,6,ROW($E$5:$E$103)/(($E$5:$E$103&lt;&gt;"p")*($E$5:$E$103&lt;&gt;"t")*(ROW($E$5:$E$103)&gt;ROW($E88))),1)-ROW($E$5)+1),$D88),"000")</f>
        <v>000000</v>
      </c>
      <c r="AK88" s="22">
        <f t="shared" si="8"/>
        <v>500</v>
      </c>
      <c r="AL88" s="22" cm="1">
        <f t="array" aca="1" ref="AL88" ca="1">IF(INDIRECT("$K"&amp;(ROW(R88)+$F$1-1))="TERMINAL",1000489,489)*SIGN(AK88)</f>
        <v>1000489</v>
      </c>
      <c r="AM88" s="7" cm="1">
        <f t="array" aca="1" ref="AM88" ca="1">IF(INDIRECT("$D"&amp;(ROW(R88)+$F$1-1))=0,AM87,$G88)</f>
        <v>8</v>
      </c>
      <c r="AN88" s="7" cm="1">
        <f t="array" aca="1" ref="AN88" ca="1">IF(INDIRECT("$D"&amp;(ROW(R88)+$F$1-1))=0,AN87,$G89)</f>
        <v>0</v>
      </c>
      <c r="AO88" s="7" cm="1">
        <f t="array" aca="1" ref="AO88" ca="1">IF(INDIRECT("$D"&amp;(ROW(R88)+$F$1-1))=0,AO87,$G90)</f>
        <v>0</v>
      </c>
      <c r="AP88" s="7" cm="1">
        <f t="array" aca="1" ref="AP88" ca="1">IF(INDIRECT("$D"&amp;(ROW(R88)+$F$1-1))=0,AP87,$G91)</f>
        <v>0</v>
      </c>
      <c r="AQ88" s="7" cm="1">
        <f t="array" aca="1" ref="AQ88" ca="1">IF(INDIRECT("$D"&amp;(ROW(R88)+$F$1-1))=0,AQ87,$G92)</f>
        <v>1</v>
      </c>
      <c r="AR88" s="7" cm="1">
        <f t="array" aca="1" ref="AR88" ca="1">IF(INDIRECT("$D"&amp;(ROW(R88)+$F$1-1))=0,AR87,$G93)</f>
        <v>0</v>
      </c>
      <c r="AS88" s="7" cm="1">
        <f t="array" aca="1" ref="AS88" ca="1">IF(INDIRECT("$D"&amp;(ROW(AS88)+$F$1-1))=0,AS87+4,1)</f>
        <v>261</v>
      </c>
      <c r="AT88" s="7" cm="1">
        <f t="array" aca="1" ref="AT88" ca="1">IF(INDIRECT("$D"&amp;(ROW(AT88)+$F$1-1))=0,AT87+4,2)</f>
        <v>262</v>
      </c>
      <c r="AU88" s="7" cm="1">
        <f t="array" aca="1" ref="AU88" ca="1">IF(INDIRECT("$D"&amp;(ROW(AU88)+$F$1-1))=0,AU87+4,3)</f>
        <v>263</v>
      </c>
      <c r="AV88" s="7" cm="1">
        <f t="array" aca="1" ref="AV88" ca="1">IF(INDIRECT("$D"&amp;(ROW(AV88)+$F$1-1))=0,AV87+4,4)</f>
        <v>264</v>
      </c>
      <c r="AW88" s="22" cm="1">
        <f t="array" aca="1" ref="AW88" ca="1">_xlfn.XLOOKUP(1,INDIRECT("J"&amp;ROW(K88)+$F$1):J$103,INDIRECT("D"&amp;ROW(K88)+$F$1):D$103,0,0,1)</f>
        <v>0</v>
      </c>
      <c r="AX88" s="22">
        <f t="shared" ca="1" si="9"/>
        <v>0</v>
      </c>
      <c r="AY88" s="22" cm="1">
        <f t="array" aca="1" ref="AY88" ca="1">_xlfn.XLOOKUP(AW88,D$4:D$110,H$4:H$110&amp;N$4:N$110&amp;O$4:O$110,0,0,1)</f>
        <v>0</v>
      </c>
      <c r="AZ88" s="22" cm="1">
        <f t="array" aca="1" ref="AZ88" ca="1">_xlfn.XLOOKUP(AW88,D$4:D$110,I$4:I$110&amp;P$4:P$110&amp;Q$4:Q$110,0,0,1)</f>
        <v>0</v>
      </c>
      <c r="BA88" s="14" cm="1">
        <f t="array" ref="BA88">_xlfn.XLOOKUP(1,J$4:J87,D$4:D87,0,0,-1)</f>
        <v>35</v>
      </c>
      <c r="BB88" s="14">
        <f t="shared" si="11"/>
        <v>1</v>
      </c>
      <c r="BC88" s="14" t="str" cm="1">
        <f t="array" ref="BC88">_xlfn.SWITCH(TRUE,_xlfn.XLOOKUP(BA88,D$4:D$110,TEXT(F$4:F$110,"HH"),0,0,1)="00",B86&amp;"",_xlfn.XLOOKUP(BA88,D$4:D$110,TEXT(F$4:F$110,"HH"),0,0,1)="T","00",TRUE,_xlfn.XLOOKUP(BA88,D$4:D$110,TEXT(F$4:F$110,"HH"),0,0,1))</f>
        <v>00</v>
      </c>
      <c r="BD88" s="14" t="str">
        <f t="shared" si="10"/>
        <v>000000</v>
      </c>
    </row>
    <row r="89" spans="1:56">
      <c r="A89" s="2">
        <v>86</v>
      </c>
      <c r="B89" s="5"/>
      <c r="C89" s="5"/>
      <c r="D89" s="5"/>
      <c r="E89" s="5"/>
      <c r="F89" s="5"/>
      <c r="G89" s="5"/>
      <c r="H89" s="5"/>
      <c r="I89" s="5"/>
      <c r="J89" s="5">
        <f t="shared" si="7"/>
        <v>0</v>
      </c>
      <c r="K89" s="7" t="str">
        <f t="shared" si="6"/>
        <v>terminal</v>
      </c>
      <c r="L89" s="7" t="str" cm="1">
        <f t="array" ref="L89">_xlfn.SWITCH(TRUE,$K89="PASS",TEXT($B$1,"0000"),AND($K89="STOP",E89=""),TEXT($D$1,"0000"),$K88="TERMINAL","0000",TRUE,TEXT(E89,"MMSS"))</f>
        <v>0000</v>
      </c>
      <c r="M89" s="7" t="str" cm="1">
        <f t="array" ref="M89">_xlfn.SWITCH(TRUE,$K89="PASS",TEXT($B$1,"0000"),AND($K89="STOP",F89=""),TEXT($D$1,"0000"),$K89="TERMINAL","0000",TRUE,TEXT(F89,"MMSS"))</f>
        <v>0000</v>
      </c>
      <c r="N89" t="str" cm="1">
        <f t="array" ref="N89">_xlfn.SWITCH(TRUE,AND(LEFT(L89,2)="00",K89="TERMINAL"),"00",E89="",TEXT(LEFT($D$1,2),"00"),LEFT(L89,2)="00",$D$2&amp;"",TRUE,LEFT(L89,2))</f>
        <v>00</v>
      </c>
      <c r="O89" t="str" cm="1">
        <f t="array" ref="O89">_xlfn.SWITCH(TRUE,AND(N89="00",RIGHT(L89,2)="00",K89="TERMINAL"),"00",OR(E89="",N89=LEFT($B$1,2)),TEXT(RIGHT($D$1,2),"00"),RIGHT(L89,2)="00",$D$2&amp;"",TRUE,RIGHT(L89,2))</f>
        <v>00</v>
      </c>
      <c r="P89" t="str" cm="1">
        <f t="array" ref="P89">_xlfn.SWITCH(TRUE,AND(LEFT(M89,2)="00",K89="TERMINAL"),"00",F89="",TEXT(LEFT($D$1,2),"00"),LEFT(M89,2)="00",$D$2&amp;"",TRUE,LEFT(M89,2))</f>
        <v>00</v>
      </c>
      <c r="Q89" t="str" cm="1">
        <f t="array" ref="Q89">_xlfn.SWITCH(TRUE,AND(RIGHT(M89,2)="00",K89="TERMINAL"),"00",F89="",TEXT(RIGHT($D$1,2),"00"),RIGHT(M89,2)="00",$D$2&amp;"",TRUE,RIGHT(M89,2))</f>
        <v>00</v>
      </c>
      <c r="R89" s="7" cm="1">
        <f t="array" aca="1" ref="R89" ca="1">IF(INDIRECT("$D"&amp;(ROW(R89)+$F$1-1))=0,R88,$D89)</f>
        <v>39</v>
      </c>
      <c r="S89" s="7" cm="1">
        <f t="array" aca="1" ref="S89" ca="1">IF(INDIRECT("$D"&amp;(ROW(R89)+$F$1-1))=0,S88,$D90)</f>
        <v>38</v>
      </c>
      <c r="T89" s="7" cm="1">
        <f t="array" aca="1" ref="T89" ca="1">IF(INDIRECT("$D"&amp;(ROW(R89)+$F$1-1))=0,T88,$D91)</f>
        <v>37</v>
      </c>
      <c r="U89" s="7" cm="1">
        <f t="array" aca="1" ref="U89" ca="1">IF(INDIRECT("$D"&amp;(ROW(R89)+$F$1-1))=0,U88,$D92)</f>
        <v>36</v>
      </c>
      <c r="V89" s="7" cm="1">
        <f t="array" aca="1" ref="V89" ca="1">IF(INDIRECT("$D"&amp;(ROW(R89)+$F$1-1))=0,V88,$D93)</f>
        <v>35</v>
      </c>
      <c r="W89" s="7" cm="1">
        <f t="array" aca="1" ref="W89" ca="1">IF(INDIRECT("$D"&amp;(ROW(R89)+$F$1-1))=0,W88,$D94)</f>
        <v>0</v>
      </c>
      <c r="X89" s="7" t="str" cm="1">
        <f t="array" aca="1" ref="X89" ca="1">IF(INDIRECT("$D"&amp;(ROW(R89)+$F$1-1))=0,X87,$H89&amp;$N89&amp;$O89)</f>
        <v>5160</v>
      </c>
      <c r="Y89" s="7" t="str" cm="1">
        <f t="array" aca="1" ref="Y89" ca="1">IF(INDIRECT("$D"&amp;(ROW(R89)+$F$1-1))=0,Y88,H90&amp;$N90&amp;$O90)</f>
        <v>5530</v>
      </c>
      <c r="Z89" s="7" t="str" cm="1">
        <f t="array" aca="1" ref="Z89" ca="1">IF(INDIRECT("$D"&amp;(ROW(R89)+$F$1-1))=0,Z88,H91&amp;$N91&amp;$O91)</f>
        <v>6030</v>
      </c>
      <c r="AA89" s="7" t="str" cm="1">
        <f t="array" aca="1" ref="AA89" ca="1">IF(INDIRECT("$D"&amp;(ROW(R89)+$F$1-1))=0,AA88,H92&amp;$N92&amp;$O92)</f>
        <v>0000</v>
      </c>
      <c r="AB89" s="7" t="str" cm="1">
        <f t="array" aca="1" ref="AB89" ca="1">IF(INDIRECT("$D"&amp;(ROW(R89)+$F$1-1))=0,AB88,H93&amp;$N93&amp;$O93)</f>
        <v>0560</v>
      </c>
      <c r="AC89" s="7" t="str" cm="1">
        <f t="array" aca="1" ref="AC89" ca="1">IF(INDIRECT("$D"&amp;(ROW(R89)+$F$1-1))=0,AC88,H94&amp;$N94&amp;$O94)</f>
        <v>0000</v>
      </c>
      <c r="AD89" s="7" t="str" cm="1">
        <f t="array" aca="1" ref="AD89" ca="1">IF(INDIRECT("$D"&amp;(ROW(R89)+$F$1-1))=0,AD88,I89&amp;$P89&amp;$Q89)</f>
        <v>5130</v>
      </c>
      <c r="AE89" s="7" t="str" cm="1">
        <f t="array" aca="1" ref="AE89" ca="1">IF(INDIRECT("$D"&amp;(ROW(R89)+$F$1-1))=0,AE88,I90&amp;$P90&amp;$Q90)</f>
        <v>5660</v>
      </c>
      <c r="AF89" s="7" t="str" cm="1">
        <f t="array" aca="1" ref="AF89" ca="1">IF(INDIRECT("$D"&amp;(ROW(R89)+$F$1-1))=0,AF88,I91&amp;$P91&amp;$Q91)</f>
        <v>0160</v>
      </c>
      <c r="AG89" s="7" t="str" cm="1">
        <f t="array" aca="1" ref="AG89" ca="1">IF(INDIRECT("$D"&amp;(ROW(R89)+$F$1-1))=0,AG88,I92&amp;$P92&amp;$Q92)</f>
        <v>0000</v>
      </c>
      <c r="AH89" s="7" t="str" cm="1">
        <f t="array" aca="1" ref="AH89" ca="1">IF(INDIRECT("$D"&amp;(ROW(R89)+$F$1-1))=0,AH88,I93&amp;$P93&amp;$Q93)</f>
        <v>0000</v>
      </c>
      <c r="AI89" s="7" t="str" cm="1">
        <f t="array" aca="1" ref="AI89" ca="1">IF(INDIRECT("$D"&amp;(ROW(R89)+$F$1-1))=0,AI88,I94&amp;$P94&amp;$Q94)</f>
        <v>0000</v>
      </c>
      <c r="AJ89" s="7" t="str" cm="1">
        <f t="array" ref="AJ89">TEXT($D89,"000")&amp;TEXT(IFERROR(INDEX($D$5:$D$103,_xlfn.AGGREGATE(15,6,ROW($E$5:$E$103)/(($E$5:$E$103&lt;&gt;"p")*($E$5:$E$103&lt;&gt;"t")*(ROW($E$5:$E$103)&gt;ROW($E89))),1)-ROW($E$5)+1),$D89),"000")</f>
        <v>000000</v>
      </c>
      <c r="AK89" s="22">
        <f t="shared" si="8"/>
        <v>500</v>
      </c>
      <c r="AL89" s="22" cm="1">
        <f t="array" aca="1" ref="AL89" ca="1">IF(INDIRECT("$K"&amp;(ROW(R89)+$F$1-1))="TERMINAL",1000489,489)*SIGN(AK89)</f>
        <v>1000489</v>
      </c>
      <c r="AM89" s="7" cm="1">
        <f t="array" aca="1" ref="AM89" ca="1">IF(INDIRECT("$D"&amp;(ROW(R89)+$F$1-1))=0,AM88,$G89)</f>
        <v>8</v>
      </c>
      <c r="AN89" s="7" cm="1">
        <f t="array" aca="1" ref="AN89" ca="1">IF(INDIRECT("$D"&amp;(ROW(R89)+$F$1-1))=0,AN88,$G90)</f>
        <v>0</v>
      </c>
      <c r="AO89" s="7" cm="1">
        <f t="array" aca="1" ref="AO89" ca="1">IF(INDIRECT("$D"&amp;(ROW(R89)+$F$1-1))=0,AO88,$G91)</f>
        <v>0</v>
      </c>
      <c r="AP89" s="7" cm="1">
        <f t="array" aca="1" ref="AP89" ca="1">IF(INDIRECT("$D"&amp;(ROW(R89)+$F$1-1))=0,AP88,$G92)</f>
        <v>0</v>
      </c>
      <c r="AQ89" s="7" cm="1">
        <f t="array" aca="1" ref="AQ89" ca="1">IF(INDIRECT("$D"&amp;(ROW(R89)+$F$1-1))=0,AQ88,$G93)</f>
        <v>1</v>
      </c>
      <c r="AR89" s="7" cm="1">
        <f t="array" aca="1" ref="AR89" ca="1">IF(INDIRECT("$D"&amp;(ROW(R89)+$F$1-1))=0,AR88,$G94)</f>
        <v>0</v>
      </c>
      <c r="AS89" s="7" cm="1">
        <f t="array" aca="1" ref="AS89" ca="1">IF(INDIRECT("$D"&amp;(ROW(AS89)+$F$1-1))=0,AS88+4,1)</f>
        <v>265</v>
      </c>
      <c r="AT89" s="7" cm="1">
        <f t="array" aca="1" ref="AT89" ca="1">IF(INDIRECT("$D"&amp;(ROW(AT89)+$F$1-1))=0,AT88+4,2)</f>
        <v>266</v>
      </c>
      <c r="AU89" s="7" cm="1">
        <f t="array" aca="1" ref="AU89" ca="1">IF(INDIRECT("$D"&amp;(ROW(AU89)+$F$1-1))=0,AU88+4,3)</f>
        <v>267</v>
      </c>
      <c r="AV89" s="7" cm="1">
        <f t="array" aca="1" ref="AV89" ca="1">IF(INDIRECT("$D"&amp;(ROW(AV89)+$F$1-1))=0,AV88+4,4)</f>
        <v>268</v>
      </c>
      <c r="AW89" s="22" cm="1">
        <f t="array" aca="1" ref="AW89" ca="1">_xlfn.XLOOKUP(1,INDIRECT("J"&amp;ROW(K89)+$F$1):J$103,INDIRECT("D"&amp;ROW(K89)+$F$1):D$103,0,0,1)</f>
        <v>0</v>
      </c>
      <c r="AX89" s="22">
        <f t="shared" ca="1" si="9"/>
        <v>0</v>
      </c>
      <c r="AY89" s="22" cm="1">
        <f t="array" aca="1" ref="AY89" ca="1">_xlfn.XLOOKUP(AW89,D$4:D$110,H$4:H$110&amp;N$4:N$110&amp;O$4:O$110,0,0,1)</f>
        <v>0</v>
      </c>
      <c r="AZ89" s="22" cm="1">
        <f t="array" aca="1" ref="AZ89" ca="1">_xlfn.XLOOKUP(AW89,D$4:D$110,I$4:I$110&amp;P$4:P$110&amp;Q$4:Q$110,0,0,1)</f>
        <v>0</v>
      </c>
      <c r="BA89" s="14" cm="1">
        <f t="array" ref="BA89">_xlfn.XLOOKUP(1,J$4:J88,D$4:D88,0,0,-1)</f>
        <v>35</v>
      </c>
      <c r="BB89" s="14">
        <f t="shared" si="11"/>
        <v>1</v>
      </c>
      <c r="BC89" s="14" t="str" cm="1">
        <f t="array" ref="BC89">_xlfn.SWITCH(TRUE,_xlfn.XLOOKUP(BA89,D$4:D$110,TEXT(F$4:F$110,"HH"),0,0,1)="00",B87&amp;"",_xlfn.XLOOKUP(BA89,D$4:D$110,TEXT(F$4:F$110,"HH"),0,0,1)="T","00",TRUE,_xlfn.XLOOKUP(BA89,D$4:D$110,TEXT(F$4:F$110,"HH"),0,0,1))</f>
        <v>00</v>
      </c>
      <c r="BD89" s="14" t="str">
        <f t="shared" si="10"/>
        <v>000000</v>
      </c>
    </row>
    <row r="90" spans="1:56">
      <c r="A90" s="2">
        <v>87</v>
      </c>
      <c r="B90" s="5"/>
      <c r="C90" s="5"/>
      <c r="D90" s="5"/>
      <c r="E90" s="5"/>
      <c r="F90" s="5"/>
      <c r="G90" s="5"/>
      <c r="H90" s="5"/>
      <c r="I90" s="5"/>
      <c r="J90" s="5">
        <f t="shared" si="7"/>
        <v>0</v>
      </c>
      <c r="K90" s="7" t="str">
        <f t="shared" si="6"/>
        <v>terminal</v>
      </c>
      <c r="L90" s="7" t="str" cm="1">
        <f t="array" ref="L90">_xlfn.SWITCH(TRUE,$K90="PASS",TEXT($B$1,"0000"),AND($K90="STOP",E90=""),TEXT($D$1,"0000"),$K89="TERMINAL","0000",TRUE,TEXT(E90,"MMSS"))</f>
        <v>0000</v>
      </c>
      <c r="M90" s="7" t="str" cm="1">
        <f t="array" ref="M90">_xlfn.SWITCH(TRUE,$K90="PASS",TEXT($B$1,"0000"),AND($K90="STOP",F90=""),TEXT($D$1,"0000"),$K90="TERMINAL","0000",TRUE,TEXT(F90,"MMSS"))</f>
        <v>0000</v>
      </c>
      <c r="N90" t="str" cm="1">
        <f t="array" ref="N90">_xlfn.SWITCH(TRUE,AND(LEFT(L90,2)="00",K90="TERMINAL"),"00",E90="",TEXT(LEFT($D$1,2),"00"),LEFT(L90,2)="00",$D$2&amp;"",TRUE,LEFT(L90,2))</f>
        <v>00</v>
      </c>
      <c r="O90" t="str" cm="1">
        <f t="array" ref="O90">_xlfn.SWITCH(TRUE,AND(N90="00",RIGHT(L90,2)="00",K90="TERMINAL"),"00",OR(E90="",N90=LEFT($B$1,2)),TEXT(RIGHT($D$1,2),"00"),RIGHT(L90,2)="00",$D$2&amp;"",TRUE,RIGHT(L90,2))</f>
        <v>00</v>
      </c>
      <c r="P90" t="str" cm="1">
        <f t="array" ref="P90">_xlfn.SWITCH(TRUE,AND(LEFT(M90,2)="00",K90="TERMINAL"),"00",F90="",TEXT(LEFT($D$1,2),"00"),LEFT(M90,2)="00",$D$2&amp;"",TRUE,LEFT(M90,2))</f>
        <v>00</v>
      </c>
      <c r="Q90" t="str" cm="1">
        <f t="array" ref="Q90">_xlfn.SWITCH(TRUE,AND(RIGHT(M90,2)="00",K90="TERMINAL"),"00",F90="",TEXT(RIGHT($D$1,2),"00"),RIGHT(M90,2)="00",$D$2&amp;"",TRUE,RIGHT(M90,2))</f>
        <v>00</v>
      </c>
      <c r="R90" s="7" cm="1">
        <f t="array" aca="1" ref="R90" ca="1">IF(INDIRECT("$D"&amp;(ROW(R90)+$F$1-1))=0,R89,$D90)</f>
        <v>39</v>
      </c>
      <c r="S90" s="7" cm="1">
        <f t="array" aca="1" ref="S90" ca="1">IF(INDIRECT("$D"&amp;(ROW(R90)+$F$1-1))=0,S89,$D91)</f>
        <v>38</v>
      </c>
      <c r="T90" s="7" cm="1">
        <f t="array" aca="1" ref="T90" ca="1">IF(INDIRECT("$D"&amp;(ROW(R90)+$F$1-1))=0,T89,$D92)</f>
        <v>37</v>
      </c>
      <c r="U90" s="7" cm="1">
        <f t="array" aca="1" ref="U90" ca="1">IF(INDIRECT("$D"&amp;(ROW(R90)+$F$1-1))=0,U89,$D93)</f>
        <v>36</v>
      </c>
      <c r="V90" s="7" cm="1">
        <f t="array" aca="1" ref="V90" ca="1">IF(INDIRECT("$D"&amp;(ROW(R90)+$F$1-1))=0,V89,$D94)</f>
        <v>35</v>
      </c>
      <c r="W90" s="7" cm="1">
        <f t="array" aca="1" ref="W90" ca="1">IF(INDIRECT("$D"&amp;(ROW(R90)+$F$1-1))=0,W89,$D95)</f>
        <v>0</v>
      </c>
      <c r="X90" s="7" t="str" cm="1">
        <f t="array" aca="1" ref="X90" ca="1">IF(INDIRECT("$D"&amp;(ROW(R90)+$F$1-1))=0,X88,$H90&amp;$N90&amp;$O90)</f>
        <v>4630</v>
      </c>
      <c r="Y90" s="7" t="str" cm="1">
        <f t="array" aca="1" ref="Y90" ca="1">IF(INDIRECT("$D"&amp;(ROW(R90)+$F$1-1))=0,Y89,H91&amp;$N91&amp;$O91)</f>
        <v>5530</v>
      </c>
      <c r="Z90" s="7" t="str" cm="1">
        <f t="array" aca="1" ref="Z90" ca="1">IF(INDIRECT("$D"&amp;(ROW(R90)+$F$1-1))=0,Z89,H92&amp;$N92&amp;$O92)</f>
        <v>6030</v>
      </c>
      <c r="AA90" s="7" t="str" cm="1">
        <f t="array" aca="1" ref="AA90" ca="1">IF(INDIRECT("$D"&amp;(ROW(R90)+$F$1-1))=0,AA89,H93&amp;$N93&amp;$O93)</f>
        <v>0000</v>
      </c>
      <c r="AB90" s="7" t="str" cm="1">
        <f t="array" aca="1" ref="AB90" ca="1">IF(INDIRECT("$D"&amp;(ROW(R90)+$F$1-1))=0,AB89,H94&amp;$N94&amp;$O94)</f>
        <v>0560</v>
      </c>
      <c r="AC90" s="7" t="str" cm="1">
        <f t="array" aca="1" ref="AC90" ca="1">IF(INDIRECT("$D"&amp;(ROW(R90)+$F$1-1))=0,AC89,H95&amp;$N95&amp;$O95)</f>
        <v>0000</v>
      </c>
      <c r="AD90" s="7" t="str" cm="1">
        <f t="array" aca="1" ref="AD90" ca="1">IF(INDIRECT("$D"&amp;(ROW(R90)+$F$1-1))=0,AD89,I90&amp;$P90&amp;$Q90)</f>
        <v>5130</v>
      </c>
      <c r="AE90" s="7" t="str" cm="1">
        <f t="array" aca="1" ref="AE90" ca="1">IF(INDIRECT("$D"&amp;(ROW(R90)+$F$1-1))=0,AE89,I91&amp;$P91&amp;$Q91)</f>
        <v>5660</v>
      </c>
      <c r="AF90" s="7" t="str" cm="1">
        <f t="array" aca="1" ref="AF90" ca="1">IF(INDIRECT("$D"&amp;(ROW(R90)+$F$1-1))=0,AF89,I92&amp;$P92&amp;$Q92)</f>
        <v>0160</v>
      </c>
      <c r="AG90" s="7" t="str" cm="1">
        <f t="array" aca="1" ref="AG90" ca="1">IF(INDIRECT("$D"&amp;(ROW(R90)+$F$1-1))=0,AG89,I93&amp;$P93&amp;$Q93)</f>
        <v>0000</v>
      </c>
      <c r="AH90" s="7" t="str" cm="1">
        <f t="array" aca="1" ref="AH90" ca="1">IF(INDIRECT("$D"&amp;(ROW(R90)+$F$1-1))=0,AH89,I94&amp;$P94&amp;$Q94)</f>
        <v>0000</v>
      </c>
      <c r="AI90" s="7" t="str" cm="1">
        <f t="array" aca="1" ref="AI90" ca="1">IF(INDIRECT("$D"&amp;(ROW(R90)+$F$1-1))=0,AI89,I95&amp;$P95&amp;$Q95)</f>
        <v>0000</v>
      </c>
      <c r="AJ90" s="7" t="str" cm="1">
        <f t="array" ref="AJ90">TEXT($D90,"000")&amp;TEXT(IFERROR(INDEX($D$5:$D$103,_xlfn.AGGREGATE(15,6,ROW($E$5:$E$103)/(($E$5:$E$103&lt;&gt;"p")*($E$5:$E$103&lt;&gt;"t")*(ROW($E$5:$E$103)&gt;ROW($E90))),1)-ROW($E$5)+1),$D90),"000")</f>
        <v>000000</v>
      </c>
      <c r="AK90" s="22">
        <f t="shared" si="8"/>
        <v>500</v>
      </c>
      <c r="AL90" s="22" cm="1">
        <f t="array" aca="1" ref="AL90" ca="1">IF(INDIRECT("$K"&amp;(ROW(R90)+$F$1-1))="TERMINAL",1000489,489)*SIGN(AK90)</f>
        <v>1000489</v>
      </c>
      <c r="AM90" s="7" cm="1">
        <f t="array" aca="1" ref="AM90" ca="1">IF(INDIRECT("$D"&amp;(ROW(R90)+$F$1-1))=0,AM89,$G90)</f>
        <v>8</v>
      </c>
      <c r="AN90" s="7" cm="1">
        <f t="array" aca="1" ref="AN90" ca="1">IF(INDIRECT("$D"&amp;(ROW(R90)+$F$1-1))=0,AN89,$G91)</f>
        <v>0</v>
      </c>
      <c r="AO90" s="7" cm="1">
        <f t="array" aca="1" ref="AO90" ca="1">IF(INDIRECT("$D"&amp;(ROW(R90)+$F$1-1))=0,AO89,$G92)</f>
        <v>0</v>
      </c>
      <c r="AP90" s="7" cm="1">
        <f t="array" aca="1" ref="AP90" ca="1">IF(INDIRECT("$D"&amp;(ROW(R90)+$F$1-1))=0,AP89,$G93)</f>
        <v>0</v>
      </c>
      <c r="AQ90" s="7" cm="1">
        <f t="array" aca="1" ref="AQ90" ca="1">IF(INDIRECT("$D"&amp;(ROW(R90)+$F$1-1))=0,AQ89,$G94)</f>
        <v>1</v>
      </c>
      <c r="AR90" s="7" cm="1">
        <f t="array" aca="1" ref="AR90" ca="1">IF(INDIRECT("$D"&amp;(ROW(R90)+$F$1-1))=0,AR89,$G95)</f>
        <v>0</v>
      </c>
      <c r="AS90" s="7" cm="1">
        <f t="array" aca="1" ref="AS90" ca="1">IF(INDIRECT("$D"&amp;(ROW(AS90)+$F$1-1))=0,AS89+4,1)</f>
        <v>269</v>
      </c>
      <c r="AT90" s="7" cm="1">
        <f t="array" aca="1" ref="AT90" ca="1">IF(INDIRECT("$D"&amp;(ROW(AT90)+$F$1-1))=0,AT89+4,2)</f>
        <v>270</v>
      </c>
      <c r="AU90" s="7" cm="1">
        <f t="array" aca="1" ref="AU90" ca="1">IF(INDIRECT("$D"&amp;(ROW(AU90)+$F$1-1))=0,AU89+4,3)</f>
        <v>271</v>
      </c>
      <c r="AV90" s="7" cm="1">
        <f t="array" aca="1" ref="AV90" ca="1">IF(INDIRECT("$D"&amp;(ROW(AV90)+$F$1-1))=0,AV89+4,4)</f>
        <v>272</v>
      </c>
      <c r="AW90" s="22" cm="1">
        <f t="array" aca="1" ref="AW90" ca="1">_xlfn.XLOOKUP(1,INDIRECT("J"&amp;ROW(K90)+$F$1):J$103,INDIRECT("D"&amp;ROW(K90)+$F$1):D$103,0,0,1)</f>
        <v>0</v>
      </c>
      <c r="AX90" s="22">
        <f t="shared" ca="1" si="9"/>
        <v>0</v>
      </c>
      <c r="AY90" s="22" cm="1">
        <f t="array" aca="1" ref="AY90" ca="1">_xlfn.XLOOKUP(AW90,D$4:D$110,H$4:H$110&amp;N$4:N$110&amp;O$4:O$110,0,0,1)</f>
        <v>0</v>
      </c>
      <c r="AZ90" s="22" cm="1">
        <f t="array" aca="1" ref="AZ90" ca="1">_xlfn.XLOOKUP(AW90,D$4:D$110,I$4:I$110&amp;P$4:P$110&amp;Q$4:Q$110,0,0,1)</f>
        <v>0</v>
      </c>
      <c r="BA90" s="14" cm="1">
        <f t="array" ref="BA90">_xlfn.XLOOKUP(1,J$4:J89,D$4:D89,0,0,-1)</f>
        <v>35</v>
      </c>
      <c r="BB90" s="14">
        <f t="shared" si="11"/>
        <v>1</v>
      </c>
      <c r="BC90" s="14" t="str" cm="1">
        <f t="array" ref="BC90">_xlfn.SWITCH(TRUE,_xlfn.XLOOKUP(BA90,D$4:D$110,TEXT(F$4:F$110,"HH"),0,0,1)="00",B88&amp;"",_xlfn.XLOOKUP(BA90,D$4:D$110,TEXT(F$4:F$110,"HH"),0,0,1)="T","00",TRUE,_xlfn.XLOOKUP(BA90,D$4:D$110,TEXT(F$4:F$110,"HH"),0,0,1))</f>
        <v>00</v>
      </c>
      <c r="BD90" s="14" t="str">
        <f t="shared" si="10"/>
        <v>000000</v>
      </c>
    </row>
    <row r="91" spans="1:56">
      <c r="A91" s="2">
        <v>88</v>
      </c>
      <c r="B91" s="5"/>
      <c r="C91" s="5"/>
      <c r="D91" s="5"/>
      <c r="E91" s="5"/>
      <c r="F91" s="5"/>
      <c r="G91" s="5"/>
      <c r="H91" s="5"/>
      <c r="I91" s="5"/>
      <c r="J91" s="5">
        <f t="shared" si="7"/>
        <v>0</v>
      </c>
      <c r="K91" s="7" t="str">
        <f t="shared" si="6"/>
        <v>terminal</v>
      </c>
      <c r="L91" s="7" t="str" cm="1">
        <f t="array" ref="L91">_xlfn.SWITCH(TRUE,$K91="PASS",TEXT($B$1,"0000"),AND($K91="STOP",E91=""),TEXT($D$1,"0000"),$K90="TERMINAL","0000",TRUE,TEXT(E91,"MMSS"))</f>
        <v>0000</v>
      </c>
      <c r="M91" s="7" t="str" cm="1">
        <f t="array" ref="M91">_xlfn.SWITCH(TRUE,$K91="PASS",TEXT($B$1,"0000"),AND($K91="STOP",F91=""),TEXT($D$1,"0000"),$K91="TERMINAL","0000",TRUE,TEXT(F91,"MMSS"))</f>
        <v>0000</v>
      </c>
      <c r="N91" t="str" cm="1">
        <f t="array" ref="N91">_xlfn.SWITCH(TRUE,AND(LEFT(L91,2)="00",K91="TERMINAL"),"00",E91="",TEXT(LEFT($D$1,2),"00"),LEFT(L91,2)="00",$D$2&amp;"",TRUE,LEFT(L91,2))</f>
        <v>00</v>
      </c>
      <c r="O91" t="str" cm="1">
        <f t="array" ref="O91">_xlfn.SWITCH(TRUE,AND(N91="00",RIGHT(L91,2)="00",K91="TERMINAL"),"00",OR(E91="",N91=LEFT($B$1,2)),TEXT(RIGHT($D$1,2),"00"),RIGHT(L91,2)="00",$D$2&amp;"",TRUE,RIGHT(L91,2))</f>
        <v>00</v>
      </c>
      <c r="P91" t="str" cm="1">
        <f t="array" ref="P91">_xlfn.SWITCH(TRUE,AND(LEFT(M91,2)="00",K91="TERMINAL"),"00",F91="",TEXT(LEFT($D$1,2),"00"),LEFT(M91,2)="00",$D$2&amp;"",TRUE,LEFT(M91,2))</f>
        <v>00</v>
      </c>
      <c r="Q91" t="str" cm="1">
        <f t="array" ref="Q91">_xlfn.SWITCH(TRUE,AND(RIGHT(M91,2)="00",K91="TERMINAL"),"00",F91="",TEXT(RIGHT($D$1,2),"00"),RIGHT(M91,2)="00",$D$2&amp;"",TRUE,RIGHT(M91,2))</f>
        <v>00</v>
      </c>
      <c r="R91" s="7" cm="1">
        <f t="array" aca="1" ref="R91" ca="1">IF(INDIRECT("$D"&amp;(ROW(R91)+$F$1-1))=0,R90,$D91)</f>
        <v>39</v>
      </c>
      <c r="S91" s="7" cm="1">
        <f t="array" aca="1" ref="S91" ca="1">IF(INDIRECT("$D"&amp;(ROW(R91)+$F$1-1))=0,S90,$D92)</f>
        <v>38</v>
      </c>
      <c r="T91" s="7" cm="1">
        <f t="array" aca="1" ref="T91" ca="1">IF(INDIRECT("$D"&amp;(ROW(R91)+$F$1-1))=0,T90,$D93)</f>
        <v>37</v>
      </c>
      <c r="U91" s="7" cm="1">
        <f t="array" aca="1" ref="U91" ca="1">IF(INDIRECT("$D"&amp;(ROW(R91)+$F$1-1))=0,U90,$D94)</f>
        <v>36</v>
      </c>
      <c r="V91" s="7" cm="1">
        <f t="array" aca="1" ref="V91" ca="1">IF(INDIRECT("$D"&amp;(ROW(R91)+$F$1-1))=0,V90,$D95)</f>
        <v>35</v>
      </c>
      <c r="W91" s="7" cm="1">
        <f t="array" aca="1" ref="W91" ca="1">IF(INDIRECT("$D"&amp;(ROW(R91)+$F$1-1))=0,W90,$D96)</f>
        <v>0</v>
      </c>
      <c r="X91" s="7" t="str" cm="1">
        <f t="array" aca="1" ref="X91" ca="1">IF(INDIRECT("$D"&amp;(ROW(R91)+$F$1-1))=0,X89,$H91&amp;$N91&amp;$O91)</f>
        <v>5160</v>
      </c>
      <c r="Y91" s="7" t="str" cm="1">
        <f t="array" aca="1" ref="Y91" ca="1">IF(INDIRECT("$D"&amp;(ROW(R91)+$F$1-1))=0,Y90,H92&amp;$N92&amp;$O92)</f>
        <v>5530</v>
      </c>
      <c r="Z91" s="7" t="str" cm="1">
        <f t="array" aca="1" ref="Z91" ca="1">IF(INDIRECT("$D"&amp;(ROW(R91)+$F$1-1))=0,Z90,H93&amp;$N93&amp;$O93)</f>
        <v>6030</v>
      </c>
      <c r="AA91" s="7" t="str" cm="1">
        <f t="array" aca="1" ref="AA91" ca="1">IF(INDIRECT("$D"&amp;(ROW(R91)+$F$1-1))=0,AA90,H94&amp;$N94&amp;$O94)</f>
        <v>0000</v>
      </c>
      <c r="AB91" s="7" t="str" cm="1">
        <f t="array" aca="1" ref="AB91" ca="1">IF(INDIRECT("$D"&amp;(ROW(R91)+$F$1-1))=0,AB90,H95&amp;$N95&amp;$O95)</f>
        <v>0560</v>
      </c>
      <c r="AC91" s="7" t="str" cm="1">
        <f t="array" aca="1" ref="AC91" ca="1">IF(INDIRECT("$D"&amp;(ROW(R91)+$F$1-1))=0,AC90,H96&amp;$N96&amp;$O96)</f>
        <v>0000</v>
      </c>
      <c r="AD91" s="7" t="str" cm="1">
        <f t="array" aca="1" ref="AD91" ca="1">IF(INDIRECT("$D"&amp;(ROW(R91)+$F$1-1))=0,AD90,I91&amp;$P91&amp;$Q91)</f>
        <v>5130</v>
      </c>
      <c r="AE91" s="7" t="str" cm="1">
        <f t="array" aca="1" ref="AE91" ca="1">IF(INDIRECT("$D"&amp;(ROW(R91)+$F$1-1))=0,AE90,I92&amp;$P92&amp;$Q92)</f>
        <v>5660</v>
      </c>
      <c r="AF91" s="7" t="str" cm="1">
        <f t="array" aca="1" ref="AF91" ca="1">IF(INDIRECT("$D"&amp;(ROW(R91)+$F$1-1))=0,AF90,I93&amp;$P93&amp;$Q93)</f>
        <v>0160</v>
      </c>
      <c r="AG91" s="7" t="str" cm="1">
        <f t="array" aca="1" ref="AG91" ca="1">IF(INDIRECT("$D"&amp;(ROW(R91)+$F$1-1))=0,AG90,I94&amp;$P94&amp;$Q94)</f>
        <v>0000</v>
      </c>
      <c r="AH91" s="7" t="str" cm="1">
        <f t="array" aca="1" ref="AH91" ca="1">IF(INDIRECT("$D"&amp;(ROW(R91)+$F$1-1))=0,AH90,I95&amp;$P95&amp;$Q95)</f>
        <v>0000</v>
      </c>
      <c r="AI91" s="7" t="str" cm="1">
        <f t="array" aca="1" ref="AI91" ca="1">IF(INDIRECT("$D"&amp;(ROW(R91)+$F$1-1))=0,AI90,I96&amp;$P96&amp;$Q96)</f>
        <v>0000</v>
      </c>
      <c r="AJ91" s="7" t="str" cm="1">
        <f t="array" ref="AJ91">TEXT($D91,"000")&amp;TEXT(IFERROR(INDEX($D$5:$D$103,_xlfn.AGGREGATE(15,6,ROW($E$5:$E$103)/(($E$5:$E$103&lt;&gt;"p")*($E$5:$E$103&lt;&gt;"t")*(ROW($E$5:$E$103)&gt;ROW($E91))),1)-ROW($E$5)+1),$D91),"000")</f>
        <v>000000</v>
      </c>
      <c r="AK91" s="22">
        <f t="shared" si="8"/>
        <v>500</v>
      </c>
      <c r="AL91" s="22" cm="1">
        <f t="array" aca="1" ref="AL91" ca="1">IF(INDIRECT("$K"&amp;(ROW(R91)+$F$1-1))="TERMINAL",1000489,489)*SIGN(AK91)</f>
        <v>1000489</v>
      </c>
      <c r="AM91" s="7" cm="1">
        <f t="array" aca="1" ref="AM91" ca="1">IF(INDIRECT("$D"&amp;(ROW(R91)+$F$1-1))=0,AM90,$G91)</f>
        <v>8</v>
      </c>
      <c r="AN91" s="7" cm="1">
        <f t="array" aca="1" ref="AN91" ca="1">IF(INDIRECT("$D"&amp;(ROW(R91)+$F$1-1))=0,AN90,$G92)</f>
        <v>0</v>
      </c>
      <c r="AO91" s="7" cm="1">
        <f t="array" aca="1" ref="AO91" ca="1">IF(INDIRECT("$D"&amp;(ROW(R91)+$F$1-1))=0,AO90,$G93)</f>
        <v>0</v>
      </c>
      <c r="AP91" s="7" cm="1">
        <f t="array" aca="1" ref="AP91" ca="1">IF(INDIRECT("$D"&amp;(ROW(R91)+$F$1-1))=0,AP90,$G94)</f>
        <v>0</v>
      </c>
      <c r="AQ91" s="7" cm="1">
        <f t="array" aca="1" ref="AQ91" ca="1">IF(INDIRECT("$D"&amp;(ROW(R91)+$F$1-1))=0,AQ90,$G95)</f>
        <v>1</v>
      </c>
      <c r="AR91" s="7" cm="1">
        <f t="array" aca="1" ref="AR91" ca="1">IF(INDIRECT("$D"&amp;(ROW(R91)+$F$1-1))=0,AR90,$G96)</f>
        <v>0</v>
      </c>
      <c r="AS91" s="7" cm="1">
        <f t="array" aca="1" ref="AS91" ca="1">IF(INDIRECT("$D"&amp;(ROW(AS91)+$F$1-1))=0,AS90+4,1)</f>
        <v>273</v>
      </c>
      <c r="AT91" s="7" cm="1">
        <f t="array" aca="1" ref="AT91" ca="1">IF(INDIRECT("$D"&amp;(ROW(AT91)+$F$1-1))=0,AT90+4,2)</f>
        <v>274</v>
      </c>
      <c r="AU91" s="7" cm="1">
        <f t="array" aca="1" ref="AU91" ca="1">IF(INDIRECT("$D"&amp;(ROW(AU91)+$F$1-1))=0,AU90+4,3)</f>
        <v>275</v>
      </c>
      <c r="AV91" s="7" cm="1">
        <f t="array" aca="1" ref="AV91" ca="1">IF(INDIRECT("$D"&amp;(ROW(AV91)+$F$1-1))=0,AV90+4,4)</f>
        <v>276</v>
      </c>
      <c r="AW91" s="22" cm="1">
        <f t="array" aca="1" ref="AW91" ca="1">_xlfn.XLOOKUP(1,INDIRECT("J"&amp;ROW(K91)+$F$1):J$103,INDIRECT("D"&amp;ROW(K91)+$F$1):D$103,0,0,1)</f>
        <v>0</v>
      </c>
      <c r="AX91" s="22">
        <f t="shared" ca="1" si="9"/>
        <v>0</v>
      </c>
      <c r="AY91" s="22" cm="1">
        <f t="array" aca="1" ref="AY91" ca="1">_xlfn.XLOOKUP(AW91,D$4:D$110,H$4:H$110&amp;N$4:N$110&amp;O$4:O$110,0,0,1)</f>
        <v>0</v>
      </c>
      <c r="AZ91" s="22" cm="1">
        <f t="array" aca="1" ref="AZ91" ca="1">_xlfn.XLOOKUP(AW91,D$4:D$110,I$4:I$110&amp;P$4:P$110&amp;Q$4:Q$110,0,0,1)</f>
        <v>0</v>
      </c>
      <c r="BA91" s="14" cm="1">
        <f t="array" ref="BA91">_xlfn.XLOOKUP(1,J$4:J90,D$4:D90,0,0,-1)</f>
        <v>35</v>
      </c>
      <c r="BB91" s="14">
        <f t="shared" si="11"/>
        <v>1</v>
      </c>
      <c r="BC91" s="14" t="str" cm="1">
        <f t="array" ref="BC91">_xlfn.SWITCH(TRUE,_xlfn.XLOOKUP(BA91,D$4:D$110,TEXT(F$4:F$110,"HH"),0,0,1)="00",B89&amp;"",_xlfn.XLOOKUP(BA91,D$4:D$110,TEXT(F$4:F$110,"HH"),0,0,1)="T","00",TRUE,_xlfn.XLOOKUP(BA91,D$4:D$110,TEXT(F$4:F$110,"HH"),0,0,1))</f>
        <v>00</v>
      </c>
      <c r="BD91" s="14" t="str">
        <f t="shared" si="10"/>
        <v>000000</v>
      </c>
    </row>
    <row r="92" spans="1:56">
      <c r="A92" s="2">
        <v>89</v>
      </c>
      <c r="B92" s="5"/>
      <c r="C92" s="5"/>
      <c r="D92" s="5"/>
      <c r="E92" s="5"/>
      <c r="F92" s="5"/>
      <c r="G92" s="5"/>
      <c r="H92" s="5"/>
      <c r="I92" s="5"/>
      <c r="J92" s="5">
        <f t="shared" si="7"/>
        <v>0</v>
      </c>
      <c r="K92" s="7" t="str">
        <f t="shared" si="6"/>
        <v>terminal</v>
      </c>
      <c r="L92" s="7" t="str" cm="1">
        <f t="array" ref="L92">_xlfn.SWITCH(TRUE,$K92="PASS",TEXT($B$1,"0000"),AND($K92="STOP",E92=""),TEXT($D$1,"0000"),$K91="TERMINAL","0000",TRUE,TEXT(E92,"MMSS"))</f>
        <v>0000</v>
      </c>
      <c r="M92" s="7" t="str" cm="1">
        <f t="array" ref="M92">_xlfn.SWITCH(TRUE,$K92="PASS",TEXT($B$1,"0000"),AND($K92="STOP",F92=""),TEXT($D$1,"0000"),$K92="TERMINAL","0000",TRUE,TEXT(F92,"MMSS"))</f>
        <v>0000</v>
      </c>
      <c r="N92" t="str" cm="1">
        <f t="array" ref="N92">_xlfn.SWITCH(TRUE,AND(LEFT(L92,2)="00",K92="TERMINAL"),"00",E92="",TEXT(LEFT($D$1,2),"00"),LEFT(L92,2)="00",$D$2&amp;"",TRUE,LEFT(L92,2))</f>
        <v>00</v>
      </c>
      <c r="O92" t="str" cm="1">
        <f t="array" ref="O92">_xlfn.SWITCH(TRUE,AND(N92="00",RIGHT(L92,2)="00",K92="TERMINAL"),"00",OR(E92="",N92=LEFT($B$1,2)),TEXT(RIGHT($D$1,2),"00"),RIGHT(L92,2)="00",$D$2&amp;"",TRUE,RIGHT(L92,2))</f>
        <v>00</v>
      </c>
      <c r="P92" t="str" cm="1">
        <f t="array" ref="P92">_xlfn.SWITCH(TRUE,AND(LEFT(M92,2)="00",K92="TERMINAL"),"00",F92="",TEXT(LEFT($D$1,2),"00"),LEFT(M92,2)="00",$D$2&amp;"",TRUE,LEFT(M92,2))</f>
        <v>00</v>
      </c>
      <c r="Q92" t="str" cm="1">
        <f t="array" ref="Q92">_xlfn.SWITCH(TRUE,AND(RIGHT(M92,2)="00",K92="TERMINAL"),"00",F92="",TEXT(RIGHT($D$1,2),"00"),RIGHT(M92,2)="00",$D$2&amp;"",TRUE,RIGHT(M92,2))</f>
        <v>00</v>
      </c>
      <c r="R92" s="7" cm="1">
        <f t="array" aca="1" ref="R92" ca="1">IF(INDIRECT("$D"&amp;(ROW(R92)+$F$1-1))=0,R91,$D92)</f>
        <v>39</v>
      </c>
      <c r="S92" s="7" cm="1">
        <f t="array" aca="1" ref="S92" ca="1">IF(INDIRECT("$D"&amp;(ROW(R92)+$F$1-1))=0,S91,$D93)</f>
        <v>38</v>
      </c>
      <c r="T92" s="7" cm="1">
        <f t="array" aca="1" ref="T92" ca="1">IF(INDIRECT("$D"&amp;(ROW(R92)+$F$1-1))=0,T91,$D94)</f>
        <v>37</v>
      </c>
      <c r="U92" s="7" cm="1">
        <f t="array" aca="1" ref="U92" ca="1">IF(INDIRECT("$D"&amp;(ROW(R92)+$F$1-1))=0,U91,$D95)</f>
        <v>36</v>
      </c>
      <c r="V92" s="7" cm="1">
        <f t="array" aca="1" ref="V92" ca="1">IF(INDIRECT("$D"&amp;(ROW(R92)+$F$1-1))=0,V91,$D96)</f>
        <v>35</v>
      </c>
      <c r="W92" s="7" cm="1">
        <f t="array" aca="1" ref="W92" ca="1">IF(INDIRECT("$D"&amp;(ROW(R92)+$F$1-1))=0,W91,$D97)</f>
        <v>0</v>
      </c>
      <c r="X92" s="7" t="str" cm="1">
        <f t="array" aca="1" ref="X92" ca="1">IF(INDIRECT("$D"&amp;(ROW(R92)+$F$1-1))=0,X90,$H92&amp;$N92&amp;$O92)</f>
        <v>4630</v>
      </c>
      <c r="Y92" s="7" t="str" cm="1">
        <f t="array" aca="1" ref="Y92" ca="1">IF(INDIRECT("$D"&amp;(ROW(R92)+$F$1-1))=0,Y91,H93&amp;$N93&amp;$O93)</f>
        <v>5530</v>
      </c>
      <c r="Z92" s="7" t="str" cm="1">
        <f t="array" aca="1" ref="Z92" ca="1">IF(INDIRECT("$D"&amp;(ROW(R92)+$F$1-1))=0,Z91,H94&amp;$N94&amp;$O94)</f>
        <v>6030</v>
      </c>
      <c r="AA92" s="7" t="str" cm="1">
        <f t="array" aca="1" ref="AA92" ca="1">IF(INDIRECT("$D"&amp;(ROW(R92)+$F$1-1))=0,AA91,H95&amp;$N95&amp;$O95)</f>
        <v>0000</v>
      </c>
      <c r="AB92" s="7" t="str" cm="1">
        <f t="array" aca="1" ref="AB92" ca="1">IF(INDIRECT("$D"&amp;(ROW(R92)+$F$1-1))=0,AB91,H96&amp;$N96&amp;$O96)</f>
        <v>0560</v>
      </c>
      <c r="AC92" s="7" t="str" cm="1">
        <f t="array" aca="1" ref="AC92" ca="1">IF(INDIRECT("$D"&amp;(ROW(R92)+$F$1-1))=0,AC91,H97&amp;$N97&amp;$O97)</f>
        <v>0000</v>
      </c>
      <c r="AD92" s="7" t="str" cm="1">
        <f t="array" aca="1" ref="AD92" ca="1">IF(INDIRECT("$D"&amp;(ROW(R92)+$F$1-1))=0,AD91,I92&amp;$P92&amp;$Q92)</f>
        <v>5130</v>
      </c>
      <c r="AE92" s="7" t="str" cm="1">
        <f t="array" aca="1" ref="AE92" ca="1">IF(INDIRECT("$D"&amp;(ROW(R92)+$F$1-1))=0,AE91,I93&amp;$P93&amp;$Q93)</f>
        <v>5660</v>
      </c>
      <c r="AF92" s="7" t="str" cm="1">
        <f t="array" aca="1" ref="AF92" ca="1">IF(INDIRECT("$D"&amp;(ROW(R92)+$F$1-1))=0,AF91,I94&amp;$P94&amp;$Q94)</f>
        <v>0160</v>
      </c>
      <c r="AG92" s="7" t="str" cm="1">
        <f t="array" aca="1" ref="AG92" ca="1">IF(INDIRECT("$D"&amp;(ROW(R92)+$F$1-1))=0,AG91,I95&amp;$P95&amp;$Q95)</f>
        <v>0000</v>
      </c>
      <c r="AH92" s="7" t="str" cm="1">
        <f t="array" aca="1" ref="AH92" ca="1">IF(INDIRECT("$D"&amp;(ROW(R92)+$F$1-1))=0,AH91,I96&amp;$P96&amp;$Q96)</f>
        <v>0000</v>
      </c>
      <c r="AI92" s="7" t="str" cm="1">
        <f t="array" aca="1" ref="AI92" ca="1">IF(INDIRECT("$D"&amp;(ROW(R92)+$F$1-1))=0,AI91,I97&amp;$P97&amp;$Q97)</f>
        <v>0000</v>
      </c>
      <c r="AJ92" s="7" t="str" cm="1">
        <f t="array" ref="AJ92">TEXT($D92,"000")&amp;TEXT(IFERROR(INDEX($D$5:$D$103,_xlfn.AGGREGATE(15,6,ROW($E$5:$E$103)/(($E$5:$E$103&lt;&gt;"p")*($E$5:$E$103&lt;&gt;"t")*(ROW($E$5:$E$103)&gt;ROW($E92))),1)-ROW($E$5)+1),$D92),"000")</f>
        <v>000000</v>
      </c>
      <c r="AK92" s="22">
        <f t="shared" si="8"/>
        <v>500</v>
      </c>
      <c r="AL92" s="22" cm="1">
        <f t="array" aca="1" ref="AL92" ca="1">IF(INDIRECT("$K"&amp;(ROW(R92)+$F$1-1))="TERMINAL",1000489,489)*SIGN(AK92)</f>
        <v>1000489</v>
      </c>
      <c r="AM92" s="7" cm="1">
        <f t="array" aca="1" ref="AM92" ca="1">IF(INDIRECT("$D"&amp;(ROW(R92)+$F$1-1))=0,AM91,$G92)</f>
        <v>8</v>
      </c>
      <c r="AN92" s="7" cm="1">
        <f t="array" aca="1" ref="AN92" ca="1">IF(INDIRECT("$D"&amp;(ROW(R92)+$F$1-1))=0,AN91,$G93)</f>
        <v>0</v>
      </c>
      <c r="AO92" s="7" cm="1">
        <f t="array" aca="1" ref="AO92" ca="1">IF(INDIRECT("$D"&amp;(ROW(R92)+$F$1-1))=0,AO91,$G94)</f>
        <v>0</v>
      </c>
      <c r="AP92" s="7" cm="1">
        <f t="array" aca="1" ref="AP92" ca="1">IF(INDIRECT("$D"&amp;(ROW(R92)+$F$1-1))=0,AP91,$G95)</f>
        <v>0</v>
      </c>
      <c r="AQ92" s="7" cm="1">
        <f t="array" aca="1" ref="AQ92" ca="1">IF(INDIRECT("$D"&amp;(ROW(R92)+$F$1-1))=0,AQ91,$G96)</f>
        <v>1</v>
      </c>
      <c r="AR92" s="7" cm="1">
        <f t="array" aca="1" ref="AR92" ca="1">IF(INDIRECT("$D"&amp;(ROW(R92)+$F$1-1))=0,AR91,$G97)</f>
        <v>0</v>
      </c>
      <c r="AS92" s="7" cm="1">
        <f t="array" aca="1" ref="AS92" ca="1">IF(INDIRECT("$D"&amp;(ROW(AS92)+$F$1-1))=0,AS91+4,1)</f>
        <v>277</v>
      </c>
      <c r="AT92" s="7" cm="1">
        <f t="array" aca="1" ref="AT92" ca="1">IF(INDIRECT("$D"&amp;(ROW(AT92)+$F$1-1))=0,AT91+4,2)</f>
        <v>278</v>
      </c>
      <c r="AU92" s="7" cm="1">
        <f t="array" aca="1" ref="AU92" ca="1">IF(INDIRECT("$D"&amp;(ROW(AU92)+$F$1-1))=0,AU91+4,3)</f>
        <v>279</v>
      </c>
      <c r="AV92" s="7" cm="1">
        <f t="array" aca="1" ref="AV92" ca="1">IF(INDIRECT("$D"&amp;(ROW(AV92)+$F$1-1))=0,AV91+4,4)</f>
        <v>280</v>
      </c>
      <c r="AW92" s="22" cm="1">
        <f t="array" aca="1" ref="AW92" ca="1">_xlfn.XLOOKUP(1,INDIRECT("J"&amp;ROW(K92)+$F$1):J$103,INDIRECT("D"&amp;ROW(K92)+$F$1):D$103,0,0,1)</f>
        <v>0</v>
      </c>
      <c r="AX92" s="22">
        <f t="shared" ca="1" si="9"/>
        <v>0</v>
      </c>
      <c r="AY92" s="22" cm="1">
        <f t="array" aca="1" ref="AY92" ca="1">_xlfn.XLOOKUP(AW92,D$4:D$110,H$4:H$110&amp;N$4:N$110&amp;O$4:O$110,0,0,1)</f>
        <v>0</v>
      </c>
      <c r="AZ92" s="22" cm="1">
        <f t="array" aca="1" ref="AZ92" ca="1">_xlfn.XLOOKUP(AW92,D$4:D$110,I$4:I$110&amp;P$4:P$110&amp;Q$4:Q$110,0,0,1)</f>
        <v>0</v>
      </c>
      <c r="BA92" s="14" cm="1">
        <f t="array" ref="BA92">_xlfn.XLOOKUP(1,J$4:J91,D$4:D91,0,0,-1)</f>
        <v>35</v>
      </c>
      <c r="BB92" s="14">
        <f t="shared" si="11"/>
        <v>1</v>
      </c>
      <c r="BC92" s="14" t="str" cm="1">
        <f t="array" ref="BC92">_xlfn.SWITCH(TRUE,_xlfn.XLOOKUP(BA92,D$4:D$110,TEXT(F$4:F$110,"HH"),0,0,1)="00",B90&amp;"",_xlfn.XLOOKUP(BA92,D$4:D$110,TEXT(F$4:F$110,"HH"),0,0,1)="T","00",TRUE,_xlfn.XLOOKUP(BA92,D$4:D$110,TEXT(F$4:F$110,"HH"),0,0,1))</f>
        <v>00</v>
      </c>
      <c r="BD92" s="14" t="str">
        <f t="shared" si="10"/>
        <v>000000</v>
      </c>
    </row>
    <row r="93" spans="1:56">
      <c r="A93" s="2">
        <v>90</v>
      </c>
      <c r="B93" s="5"/>
      <c r="C93" s="5"/>
      <c r="D93" s="5"/>
      <c r="E93" s="5"/>
      <c r="F93" s="5"/>
      <c r="G93" s="5"/>
      <c r="H93" s="5"/>
      <c r="I93" s="5"/>
      <c r="J93" s="5">
        <f t="shared" si="7"/>
        <v>0</v>
      </c>
      <c r="K93" s="7" t="str">
        <f t="shared" si="6"/>
        <v>terminal</v>
      </c>
      <c r="L93" s="7" t="str" cm="1">
        <f t="array" ref="L93">_xlfn.SWITCH(TRUE,$K93="PASS",TEXT($B$1,"0000"),AND($K93="STOP",E93=""),TEXT($D$1,"0000"),$K92="TERMINAL","0000",TRUE,TEXT(E93,"MMSS"))</f>
        <v>0000</v>
      </c>
      <c r="M93" s="7" t="str" cm="1">
        <f t="array" ref="M93">_xlfn.SWITCH(TRUE,$K93="PASS",TEXT($B$1,"0000"),AND($K93="STOP",F93=""),TEXT($D$1,"0000"),$K93="TERMINAL","0000",TRUE,TEXT(F93,"MMSS"))</f>
        <v>0000</v>
      </c>
      <c r="N93" t="str" cm="1">
        <f t="array" ref="N93">_xlfn.SWITCH(TRUE,AND(LEFT(L93,2)="00",K93="TERMINAL"),"00",E93="",TEXT(LEFT($D$1,2),"00"),LEFT(L93,2)="00",$D$2&amp;"",TRUE,LEFT(L93,2))</f>
        <v>00</v>
      </c>
      <c r="O93" t="str" cm="1">
        <f t="array" ref="O93">_xlfn.SWITCH(TRUE,AND(N93="00",RIGHT(L93,2)="00",K93="TERMINAL"),"00",OR(E93="",N93=LEFT($B$1,2)),TEXT(RIGHT($D$1,2),"00"),RIGHT(L93,2)="00",$D$2&amp;"",TRUE,RIGHT(L93,2))</f>
        <v>00</v>
      </c>
      <c r="P93" t="str" cm="1">
        <f t="array" ref="P93">_xlfn.SWITCH(TRUE,AND(LEFT(M93,2)="00",K93="TERMINAL"),"00",F93="",TEXT(LEFT($D$1,2),"00"),LEFT(M93,2)="00",$D$2&amp;"",TRUE,LEFT(M93,2))</f>
        <v>00</v>
      </c>
      <c r="Q93" t="str" cm="1">
        <f t="array" ref="Q93">_xlfn.SWITCH(TRUE,AND(RIGHT(M93,2)="00",K93="TERMINAL"),"00",F93="",TEXT(RIGHT($D$1,2),"00"),RIGHT(M93,2)="00",$D$2&amp;"",TRUE,RIGHT(M93,2))</f>
        <v>00</v>
      </c>
      <c r="R93" s="7" cm="1">
        <f t="array" aca="1" ref="R93" ca="1">IF(INDIRECT("$D"&amp;(ROW(R93)+$F$1-1))=0,R92,$D93)</f>
        <v>39</v>
      </c>
      <c r="S93" s="7" cm="1">
        <f t="array" aca="1" ref="S93" ca="1">IF(INDIRECT("$D"&amp;(ROW(R93)+$F$1-1))=0,S92,$D94)</f>
        <v>38</v>
      </c>
      <c r="T93" s="7" cm="1">
        <f t="array" aca="1" ref="T93" ca="1">IF(INDIRECT("$D"&amp;(ROW(R93)+$F$1-1))=0,T92,$D95)</f>
        <v>37</v>
      </c>
      <c r="U93" s="7" cm="1">
        <f t="array" aca="1" ref="U93" ca="1">IF(INDIRECT("$D"&amp;(ROW(R93)+$F$1-1))=0,U92,$D96)</f>
        <v>36</v>
      </c>
      <c r="V93" s="7" cm="1">
        <f t="array" aca="1" ref="V93" ca="1">IF(INDIRECT("$D"&amp;(ROW(R93)+$F$1-1))=0,V92,$D97)</f>
        <v>35</v>
      </c>
      <c r="W93" s="7" cm="1">
        <f t="array" aca="1" ref="W93" ca="1">IF(INDIRECT("$D"&amp;(ROW(R93)+$F$1-1))=0,W92,$D98)</f>
        <v>0</v>
      </c>
      <c r="X93" s="7" t="str" cm="1">
        <f t="array" aca="1" ref="X93" ca="1">IF(INDIRECT("$D"&amp;(ROW(R93)+$F$1-1))=0,X91,$H93&amp;$N93&amp;$O93)</f>
        <v>5160</v>
      </c>
      <c r="Y93" s="7" t="str" cm="1">
        <f t="array" aca="1" ref="Y93" ca="1">IF(INDIRECT("$D"&amp;(ROW(R93)+$F$1-1))=0,Y92,H94&amp;$N94&amp;$O94)</f>
        <v>5530</v>
      </c>
      <c r="Z93" s="7" t="str" cm="1">
        <f t="array" aca="1" ref="Z93" ca="1">IF(INDIRECT("$D"&amp;(ROW(R93)+$F$1-1))=0,Z92,H95&amp;$N95&amp;$O95)</f>
        <v>6030</v>
      </c>
      <c r="AA93" s="7" t="str" cm="1">
        <f t="array" aca="1" ref="AA93" ca="1">IF(INDIRECT("$D"&amp;(ROW(R93)+$F$1-1))=0,AA92,H96&amp;$N96&amp;$O96)</f>
        <v>0000</v>
      </c>
      <c r="AB93" s="7" t="str" cm="1">
        <f t="array" aca="1" ref="AB93" ca="1">IF(INDIRECT("$D"&amp;(ROW(R93)+$F$1-1))=0,AB92,H97&amp;$N97&amp;$O97)</f>
        <v>0560</v>
      </c>
      <c r="AC93" s="7" t="str" cm="1">
        <f t="array" aca="1" ref="AC93" ca="1">IF(INDIRECT("$D"&amp;(ROW(R93)+$F$1-1))=0,AC92,H98&amp;$N98&amp;$O98)</f>
        <v>0000</v>
      </c>
      <c r="AD93" s="7" t="str" cm="1">
        <f t="array" aca="1" ref="AD93" ca="1">IF(INDIRECT("$D"&amp;(ROW(R93)+$F$1-1))=0,AD92,I93&amp;$P93&amp;$Q93)</f>
        <v>5130</v>
      </c>
      <c r="AE93" s="7" t="str" cm="1">
        <f t="array" aca="1" ref="AE93" ca="1">IF(INDIRECT("$D"&amp;(ROW(R93)+$F$1-1))=0,AE92,I94&amp;$P94&amp;$Q94)</f>
        <v>5660</v>
      </c>
      <c r="AF93" s="7" t="str" cm="1">
        <f t="array" aca="1" ref="AF93" ca="1">IF(INDIRECT("$D"&amp;(ROW(R93)+$F$1-1))=0,AF92,I95&amp;$P95&amp;$Q95)</f>
        <v>0160</v>
      </c>
      <c r="AG93" s="7" t="str" cm="1">
        <f t="array" aca="1" ref="AG93" ca="1">IF(INDIRECT("$D"&amp;(ROW(R93)+$F$1-1))=0,AG92,I96&amp;$P96&amp;$Q96)</f>
        <v>0000</v>
      </c>
      <c r="AH93" s="7" t="str" cm="1">
        <f t="array" aca="1" ref="AH93" ca="1">IF(INDIRECT("$D"&amp;(ROW(R93)+$F$1-1))=0,AH92,I97&amp;$P97&amp;$Q97)</f>
        <v>0000</v>
      </c>
      <c r="AI93" s="7" t="str" cm="1">
        <f t="array" aca="1" ref="AI93" ca="1">IF(INDIRECT("$D"&amp;(ROW(R93)+$F$1-1))=0,AI92,I98&amp;$P98&amp;$Q98)</f>
        <v>0000</v>
      </c>
      <c r="AJ93" s="7" t="str" cm="1">
        <f t="array" ref="AJ93">TEXT($D93,"000")&amp;TEXT(IFERROR(INDEX($D$5:$D$103,_xlfn.AGGREGATE(15,6,ROW($E$5:$E$103)/(($E$5:$E$103&lt;&gt;"p")*($E$5:$E$103&lt;&gt;"t")*(ROW($E$5:$E$103)&gt;ROW($E93))),1)-ROW($E$5)+1),$D93),"000")</f>
        <v>000000</v>
      </c>
      <c r="AK93" s="22">
        <f t="shared" si="8"/>
        <v>500</v>
      </c>
      <c r="AL93" s="22" cm="1">
        <f t="array" aca="1" ref="AL93" ca="1">IF(INDIRECT("$K"&amp;(ROW(R93)+$F$1-1))="TERMINAL",1000489,489)*SIGN(AK93)</f>
        <v>1000489</v>
      </c>
      <c r="AM93" s="7" cm="1">
        <f t="array" aca="1" ref="AM93" ca="1">IF(INDIRECT("$D"&amp;(ROW(R93)+$F$1-1))=0,AM92,$G93)</f>
        <v>8</v>
      </c>
      <c r="AN93" s="7" cm="1">
        <f t="array" aca="1" ref="AN93" ca="1">IF(INDIRECT("$D"&amp;(ROW(R93)+$F$1-1))=0,AN92,$G94)</f>
        <v>0</v>
      </c>
      <c r="AO93" s="7" cm="1">
        <f t="array" aca="1" ref="AO93" ca="1">IF(INDIRECT("$D"&amp;(ROW(R93)+$F$1-1))=0,AO92,$G95)</f>
        <v>0</v>
      </c>
      <c r="AP93" s="7" cm="1">
        <f t="array" aca="1" ref="AP93" ca="1">IF(INDIRECT("$D"&amp;(ROW(R93)+$F$1-1))=0,AP92,$G96)</f>
        <v>0</v>
      </c>
      <c r="AQ93" s="7" cm="1">
        <f t="array" aca="1" ref="AQ93" ca="1">IF(INDIRECT("$D"&amp;(ROW(R93)+$F$1-1))=0,AQ92,$G97)</f>
        <v>1</v>
      </c>
      <c r="AR93" s="7" cm="1">
        <f t="array" aca="1" ref="AR93" ca="1">IF(INDIRECT("$D"&amp;(ROW(R93)+$F$1-1))=0,AR92,$G98)</f>
        <v>0</v>
      </c>
      <c r="AS93" s="7" cm="1">
        <f t="array" aca="1" ref="AS93" ca="1">IF(INDIRECT("$D"&amp;(ROW(AS93)+$F$1-1))=0,AS92+4,1)</f>
        <v>281</v>
      </c>
      <c r="AT93" s="7" cm="1">
        <f t="array" aca="1" ref="AT93" ca="1">IF(INDIRECT("$D"&amp;(ROW(AT93)+$F$1-1))=0,AT92+4,2)</f>
        <v>282</v>
      </c>
      <c r="AU93" s="7" cm="1">
        <f t="array" aca="1" ref="AU93" ca="1">IF(INDIRECT("$D"&amp;(ROW(AU93)+$F$1-1))=0,AU92+4,3)</f>
        <v>283</v>
      </c>
      <c r="AV93" s="7" cm="1">
        <f t="array" aca="1" ref="AV93" ca="1">IF(INDIRECT("$D"&amp;(ROW(AV93)+$F$1-1))=0,AV92+4,4)</f>
        <v>284</v>
      </c>
      <c r="AW93" s="22" cm="1">
        <f t="array" aca="1" ref="AW93" ca="1">_xlfn.XLOOKUP(1,INDIRECT("J"&amp;ROW(K93)+$F$1):J$103,INDIRECT("D"&amp;ROW(K93)+$F$1):D$103,0,0,1)</f>
        <v>0</v>
      </c>
      <c r="AX93" s="22">
        <f t="shared" ca="1" si="9"/>
        <v>0</v>
      </c>
      <c r="AY93" s="22" cm="1">
        <f t="array" aca="1" ref="AY93" ca="1">_xlfn.XLOOKUP(AW93,D$4:D$110,H$4:H$110&amp;N$4:N$110&amp;O$4:O$110,0,0,1)</f>
        <v>0</v>
      </c>
      <c r="AZ93" s="22" cm="1">
        <f t="array" aca="1" ref="AZ93" ca="1">_xlfn.XLOOKUP(AW93,D$4:D$110,I$4:I$110&amp;P$4:P$110&amp;Q$4:Q$110,0,0,1)</f>
        <v>0</v>
      </c>
      <c r="BA93" s="14" cm="1">
        <f t="array" ref="BA93">_xlfn.XLOOKUP(1,J$4:J92,D$4:D92,0,0,-1)</f>
        <v>35</v>
      </c>
      <c r="BB93" s="14">
        <f t="shared" si="11"/>
        <v>1</v>
      </c>
      <c r="BC93" s="14" t="str" cm="1">
        <f t="array" ref="BC93">_xlfn.SWITCH(TRUE,_xlfn.XLOOKUP(BA93,D$4:D$110,TEXT(F$4:F$110,"HH"),0,0,1)="00",B91&amp;"",_xlfn.XLOOKUP(BA93,D$4:D$110,TEXT(F$4:F$110,"HH"),0,0,1)="T","00",TRUE,_xlfn.XLOOKUP(BA93,D$4:D$110,TEXT(F$4:F$110,"HH"),0,0,1))</f>
        <v>00</v>
      </c>
      <c r="BD93" s="14" t="str">
        <f t="shared" si="10"/>
        <v>000000</v>
      </c>
    </row>
    <row r="94" spans="1:56">
      <c r="A94" s="2">
        <v>91</v>
      </c>
      <c r="B94" s="5"/>
      <c r="C94" s="5"/>
      <c r="D94" s="5"/>
      <c r="E94" s="5"/>
      <c r="F94" s="5"/>
      <c r="G94" s="5"/>
      <c r="H94" s="5"/>
      <c r="I94" s="5"/>
      <c r="J94" s="5">
        <f t="shared" si="7"/>
        <v>0</v>
      </c>
      <c r="K94" s="7" t="str">
        <f t="shared" si="6"/>
        <v>terminal</v>
      </c>
      <c r="L94" s="7" t="str" cm="1">
        <f t="array" ref="L94">_xlfn.SWITCH(TRUE,$K94="PASS",TEXT($B$1,"0000"),AND($K94="STOP",E94=""),TEXT($D$1,"0000"),$K93="TERMINAL","0000",TRUE,TEXT(E94,"MMSS"))</f>
        <v>0000</v>
      </c>
      <c r="M94" s="7" t="str" cm="1">
        <f t="array" ref="M94">_xlfn.SWITCH(TRUE,$K94="PASS",TEXT($B$1,"0000"),AND($K94="STOP",F94=""),TEXT($D$1,"0000"),$K94="TERMINAL","0000",TRUE,TEXT(F94,"MMSS"))</f>
        <v>0000</v>
      </c>
      <c r="N94" t="str" cm="1">
        <f t="array" ref="N94">_xlfn.SWITCH(TRUE,AND(LEFT(L94,2)="00",K94="TERMINAL"),"00",E94="",TEXT(LEFT($D$1,2),"00"),LEFT(L94,2)="00",$D$2&amp;"",TRUE,LEFT(L94,2))</f>
        <v>00</v>
      </c>
      <c r="O94" t="str" cm="1">
        <f t="array" ref="O94">_xlfn.SWITCH(TRUE,AND(N94="00",RIGHT(L94,2)="00",K94="TERMINAL"),"00",OR(E94="",N94=LEFT($B$1,2)),TEXT(RIGHT($D$1,2),"00"),RIGHT(L94,2)="00",$D$2&amp;"",TRUE,RIGHT(L94,2))</f>
        <v>00</v>
      </c>
      <c r="P94" t="str" cm="1">
        <f t="array" ref="P94">_xlfn.SWITCH(TRUE,AND(LEFT(M94,2)="00",K94="TERMINAL"),"00",F94="",TEXT(LEFT($D$1,2),"00"),LEFT(M94,2)="00",$D$2&amp;"",TRUE,LEFT(M94,2))</f>
        <v>00</v>
      </c>
      <c r="Q94" t="str" cm="1">
        <f t="array" ref="Q94">_xlfn.SWITCH(TRUE,AND(RIGHT(M94,2)="00",K94="TERMINAL"),"00",F94="",TEXT(RIGHT($D$1,2),"00"),RIGHT(M94,2)="00",$D$2&amp;"",TRUE,RIGHT(M94,2))</f>
        <v>00</v>
      </c>
      <c r="R94" s="7" cm="1">
        <f t="array" aca="1" ref="R94" ca="1">IF(INDIRECT("$D"&amp;(ROW(R94)+$F$1-1))=0,R93,$D94)</f>
        <v>39</v>
      </c>
      <c r="S94" s="7" cm="1">
        <f t="array" aca="1" ref="S94" ca="1">IF(INDIRECT("$D"&amp;(ROW(R94)+$F$1-1))=0,S93,$D95)</f>
        <v>38</v>
      </c>
      <c r="T94" s="7" cm="1">
        <f t="array" aca="1" ref="T94" ca="1">IF(INDIRECT("$D"&amp;(ROW(R94)+$F$1-1))=0,T93,$D96)</f>
        <v>37</v>
      </c>
      <c r="U94" s="7" cm="1">
        <f t="array" aca="1" ref="U94" ca="1">IF(INDIRECT("$D"&amp;(ROW(R94)+$F$1-1))=0,U93,$D97)</f>
        <v>36</v>
      </c>
      <c r="V94" s="7" cm="1">
        <f t="array" aca="1" ref="V94" ca="1">IF(INDIRECT("$D"&amp;(ROW(R94)+$F$1-1))=0,V93,$D98)</f>
        <v>35</v>
      </c>
      <c r="W94" s="7" cm="1">
        <f t="array" aca="1" ref="W94" ca="1">IF(INDIRECT("$D"&amp;(ROW(R94)+$F$1-1))=0,W93,$D99)</f>
        <v>0</v>
      </c>
      <c r="X94" s="7" t="str" cm="1">
        <f t="array" aca="1" ref="X94" ca="1">IF(INDIRECT("$D"&amp;(ROW(R94)+$F$1-1))=0,X92,$H94&amp;$N94&amp;$O94)</f>
        <v>4630</v>
      </c>
      <c r="Y94" s="7" t="str" cm="1">
        <f t="array" aca="1" ref="Y94" ca="1">IF(INDIRECT("$D"&amp;(ROW(R94)+$F$1-1))=0,Y93,H95&amp;$N95&amp;$O95)</f>
        <v>5530</v>
      </c>
      <c r="Z94" s="7" t="str" cm="1">
        <f t="array" aca="1" ref="Z94" ca="1">IF(INDIRECT("$D"&amp;(ROW(R94)+$F$1-1))=0,Z93,H96&amp;$N96&amp;$O96)</f>
        <v>6030</v>
      </c>
      <c r="AA94" s="7" t="str" cm="1">
        <f t="array" aca="1" ref="AA94" ca="1">IF(INDIRECT("$D"&amp;(ROW(R94)+$F$1-1))=0,AA93,H97&amp;$N97&amp;$O97)</f>
        <v>0000</v>
      </c>
      <c r="AB94" s="7" t="str" cm="1">
        <f t="array" aca="1" ref="AB94" ca="1">IF(INDIRECT("$D"&amp;(ROW(R94)+$F$1-1))=0,AB93,H98&amp;$N98&amp;$O98)</f>
        <v>0560</v>
      </c>
      <c r="AC94" s="7" t="str" cm="1">
        <f t="array" aca="1" ref="AC94" ca="1">IF(INDIRECT("$D"&amp;(ROW(R94)+$F$1-1))=0,AC93,H99&amp;$N99&amp;$O99)</f>
        <v>0000</v>
      </c>
      <c r="AD94" s="7" t="str" cm="1">
        <f t="array" aca="1" ref="AD94" ca="1">IF(INDIRECT("$D"&amp;(ROW(R94)+$F$1-1))=0,AD93,I94&amp;$P94&amp;$Q94)</f>
        <v>5130</v>
      </c>
      <c r="AE94" s="7" t="str" cm="1">
        <f t="array" aca="1" ref="AE94" ca="1">IF(INDIRECT("$D"&amp;(ROW(R94)+$F$1-1))=0,AE93,I95&amp;$P95&amp;$Q95)</f>
        <v>5660</v>
      </c>
      <c r="AF94" s="7" t="str" cm="1">
        <f t="array" aca="1" ref="AF94" ca="1">IF(INDIRECT("$D"&amp;(ROW(R94)+$F$1-1))=0,AF93,I96&amp;$P96&amp;$Q96)</f>
        <v>0160</v>
      </c>
      <c r="AG94" s="7" t="str" cm="1">
        <f t="array" aca="1" ref="AG94" ca="1">IF(INDIRECT("$D"&amp;(ROW(R94)+$F$1-1))=0,AG93,I97&amp;$P97&amp;$Q97)</f>
        <v>0000</v>
      </c>
      <c r="AH94" s="7" t="str" cm="1">
        <f t="array" aca="1" ref="AH94" ca="1">IF(INDIRECT("$D"&amp;(ROW(R94)+$F$1-1))=0,AH93,I98&amp;$P98&amp;$Q98)</f>
        <v>0000</v>
      </c>
      <c r="AI94" s="7" t="str" cm="1">
        <f t="array" aca="1" ref="AI94" ca="1">IF(INDIRECT("$D"&amp;(ROW(R94)+$F$1-1))=0,AI93,I99&amp;$P99&amp;$Q99)</f>
        <v>0000</v>
      </c>
      <c r="AJ94" s="7" t="str" cm="1">
        <f t="array" ref="AJ94">TEXT($D94,"000")&amp;TEXT(IFERROR(INDEX($D$5:$D$103,_xlfn.AGGREGATE(15,6,ROW($E$5:$E$103)/(($E$5:$E$103&lt;&gt;"p")*($E$5:$E$103&lt;&gt;"t")*(ROW($E$5:$E$103)&gt;ROW($E94))),1)-ROW($E$5)+1),$D94),"000")</f>
        <v>000000</v>
      </c>
      <c r="AK94" s="22">
        <f t="shared" si="8"/>
        <v>500</v>
      </c>
      <c r="AL94" s="22" cm="1">
        <f t="array" aca="1" ref="AL94" ca="1">IF(INDIRECT("$K"&amp;(ROW(R94)+$F$1-1))="TERMINAL",1000489,489)*SIGN(AK94)</f>
        <v>1000489</v>
      </c>
      <c r="AM94" s="7" cm="1">
        <f t="array" aca="1" ref="AM94" ca="1">IF(INDIRECT("$D"&amp;(ROW(R94)+$F$1-1))=0,AM93,$G94)</f>
        <v>8</v>
      </c>
      <c r="AN94" s="7" cm="1">
        <f t="array" aca="1" ref="AN94" ca="1">IF(INDIRECT("$D"&amp;(ROW(R94)+$F$1-1))=0,AN93,$G95)</f>
        <v>0</v>
      </c>
      <c r="AO94" s="7" cm="1">
        <f t="array" aca="1" ref="AO94" ca="1">IF(INDIRECT("$D"&amp;(ROW(R94)+$F$1-1))=0,AO93,$G96)</f>
        <v>0</v>
      </c>
      <c r="AP94" s="7" cm="1">
        <f t="array" aca="1" ref="AP94" ca="1">IF(INDIRECT("$D"&amp;(ROW(R94)+$F$1-1))=0,AP93,$G97)</f>
        <v>0</v>
      </c>
      <c r="AQ94" s="7" cm="1">
        <f t="array" aca="1" ref="AQ94" ca="1">IF(INDIRECT("$D"&amp;(ROW(R94)+$F$1-1))=0,AQ93,$G98)</f>
        <v>1</v>
      </c>
      <c r="AR94" s="7" cm="1">
        <f t="array" aca="1" ref="AR94" ca="1">IF(INDIRECT("$D"&amp;(ROW(R94)+$F$1-1))=0,AR93,$G99)</f>
        <v>0</v>
      </c>
      <c r="AS94" s="7" cm="1">
        <f t="array" aca="1" ref="AS94" ca="1">IF(INDIRECT("$D"&amp;(ROW(AS94)+$F$1-1))=0,AS93+4,1)</f>
        <v>285</v>
      </c>
      <c r="AT94" s="7" cm="1">
        <f t="array" aca="1" ref="AT94" ca="1">IF(INDIRECT("$D"&amp;(ROW(AT94)+$F$1-1))=0,AT93+4,2)</f>
        <v>286</v>
      </c>
      <c r="AU94" s="7" cm="1">
        <f t="array" aca="1" ref="AU94" ca="1">IF(INDIRECT("$D"&amp;(ROW(AU94)+$F$1-1))=0,AU93+4,3)</f>
        <v>287</v>
      </c>
      <c r="AV94" s="7" cm="1">
        <f t="array" aca="1" ref="AV94" ca="1">IF(INDIRECT("$D"&amp;(ROW(AV94)+$F$1-1))=0,AV93+4,4)</f>
        <v>288</v>
      </c>
      <c r="AW94" s="22" cm="1">
        <f t="array" aca="1" ref="AW94" ca="1">_xlfn.XLOOKUP(1,INDIRECT("J"&amp;ROW(K94)+$F$1):J$103,INDIRECT("D"&amp;ROW(K94)+$F$1):D$103,0,0,1)</f>
        <v>0</v>
      </c>
      <c r="AX94" s="22">
        <f t="shared" ca="1" si="9"/>
        <v>0</v>
      </c>
      <c r="AY94" s="22" cm="1">
        <f t="array" aca="1" ref="AY94" ca="1">_xlfn.XLOOKUP(AW94,D$4:D$110,H$4:H$110&amp;N$4:N$110&amp;O$4:O$110,0,0,1)</f>
        <v>0</v>
      </c>
      <c r="AZ94" s="22" cm="1">
        <f t="array" aca="1" ref="AZ94" ca="1">_xlfn.XLOOKUP(AW94,D$4:D$110,I$4:I$110&amp;P$4:P$110&amp;Q$4:Q$110,0,0,1)</f>
        <v>0</v>
      </c>
      <c r="BA94" s="14" cm="1">
        <f t="array" ref="BA94">_xlfn.XLOOKUP(1,J$4:J93,D$4:D93,0,0,-1)</f>
        <v>35</v>
      </c>
      <c r="BB94" s="14">
        <f t="shared" si="11"/>
        <v>1</v>
      </c>
      <c r="BC94" s="14" t="str" cm="1">
        <f t="array" ref="BC94">_xlfn.SWITCH(TRUE,_xlfn.XLOOKUP(BA94,D$4:D$110,TEXT(F$4:F$110,"HH"),0,0,1)="00",B92&amp;"",_xlfn.XLOOKUP(BA94,D$4:D$110,TEXT(F$4:F$110,"HH"),0,0,1)="T","00",TRUE,_xlfn.XLOOKUP(BA94,D$4:D$110,TEXT(F$4:F$110,"HH"),0,0,1))</f>
        <v>00</v>
      </c>
      <c r="BD94" s="14" t="str">
        <f t="shared" si="10"/>
        <v>000000</v>
      </c>
    </row>
    <row r="95" spans="1:56">
      <c r="A95" s="2">
        <v>92</v>
      </c>
      <c r="B95" s="5"/>
      <c r="C95" s="5"/>
      <c r="D95" s="5"/>
      <c r="E95" s="5"/>
      <c r="F95" s="5"/>
      <c r="G95" s="5"/>
      <c r="H95" s="5"/>
      <c r="I95" s="5"/>
      <c r="J95" s="5">
        <f t="shared" si="7"/>
        <v>0</v>
      </c>
      <c r="K95" s="7" t="str">
        <f t="shared" si="6"/>
        <v>terminal</v>
      </c>
      <c r="L95" s="7" t="str" cm="1">
        <f t="array" ref="L95">_xlfn.SWITCH(TRUE,$K95="PASS",TEXT($B$1,"0000"),AND($K95="STOP",E95=""),TEXT($D$1,"0000"),$K94="TERMINAL","0000",TRUE,TEXT(E95,"MMSS"))</f>
        <v>0000</v>
      </c>
      <c r="M95" s="7" t="str" cm="1">
        <f t="array" ref="M95">_xlfn.SWITCH(TRUE,$K95="PASS",TEXT($B$1,"0000"),AND($K95="STOP",F95=""),TEXT($D$1,"0000"),$K95="TERMINAL","0000",TRUE,TEXT(F95,"MMSS"))</f>
        <v>0000</v>
      </c>
      <c r="N95" t="str" cm="1">
        <f t="array" ref="N95">_xlfn.SWITCH(TRUE,AND(LEFT(L95,2)="00",K95="TERMINAL"),"00",E95="",TEXT(LEFT($D$1,2),"00"),LEFT(L95,2)="00",$D$2&amp;"",TRUE,LEFT(L95,2))</f>
        <v>00</v>
      </c>
      <c r="O95" t="str" cm="1">
        <f t="array" ref="O95">_xlfn.SWITCH(TRUE,AND(N95="00",RIGHT(L95,2)="00",K95="TERMINAL"),"00",OR(E95="",N95=LEFT($B$1,2)),TEXT(RIGHT($D$1,2),"00"),RIGHT(L95,2)="00",$D$2&amp;"",TRUE,RIGHT(L95,2))</f>
        <v>00</v>
      </c>
      <c r="P95" t="str" cm="1">
        <f t="array" ref="P95">_xlfn.SWITCH(TRUE,AND(LEFT(M95,2)="00",K95="TERMINAL"),"00",F95="",TEXT(LEFT($D$1,2),"00"),LEFT(M95,2)="00",$D$2&amp;"",TRUE,LEFT(M95,2))</f>
        <v>00</v>
      </c>
      <c r="Q95" t="str" cm="1">
        <f t="array" ref="Q95">_xlfn.SWITCH(TRUE,AND(RIGHT(M95,2)="00",K95="TERMINAL"),"00",F95="",TEXT(RIGHT($D$1,2),"00"),RIGHT(M95,2)="00",$D$2&amp;"",TRUE,RIGHT(M95,2))</f>
        <v>00</v>
      </c>
      <c r="R95" s="7" cm="1">
        <f t="array" aca="1" ref="R95" ca="1">IF(INDIRECT("$D"&amp;(ROW(R95)+$F$1-1))=0,R94,$D95)</f>
        <v>39</v>
      </c>
      <c r="S95" s="7" cm="1">
        <f t="array" aca="1" ref="S95" ca="1">IF(INDIRECT("$D"&amp;(ROW(R95)+$F$1-1))=0,S94,$D96)</f>
        <v>38</v>
      </c>
      <c r="T95" s="7" cm="1">
        <f t="array" aca="1" ref="T95" ca="1">IF(INDIRECT("$D"&amp;(ROW(R95)+$F$1-1))=0,T94,$D97)</f>
        <v>37</v>
      </c>
      <c r="U95" s="7" cm="1">
        <f t="array" aca="1" ref="U95" ca="1">IF(INDIRECT("$D"&amp;(ROW(R95)+$F$1-1))=0,U94,$D98)</f>
        <v>36</v>
      </c>
      <c r="V95" s="7" cm="1">
        <f t="array" aca="1" ref="V95" ca="1">IF(INDIRECT("$D"&amp;(ROW(R95)+$F$1-1))=0,V94,$D99)</f>
        <v>35</v>
      </c>
      <c r="W95" s="7" cm="1">
        <f t="array" aca="1" ref="W95" ca="1">IF(INDIRECT("$D"&amp;(ROW(R95)+$F$1-1))=0,W94,$D100)</f>
        <v>0</v>
      </c>
      <c r="X95" s="7" t="str" cm="1">
        <f t="array" aca="1" ref="X95" ca="1">IF(INDIRECT("$D"&amp;(ROW(R95)+$F$1-1))=0,X93,$H95&amp;$N95&amp;$O95)</f>
        <v>5160</v>
      </c>
      <c r="Y95" s="7" t="str" cm="1">
        <f t="array" aca="1" ref="Y95" ca="1">IF(INDIRECT("$D"&amp;(ROW(R95)+$F$1-1))=0,Y94,H96&amp;$N96&amp;$O96)</f>
        <v>5530</v>
      </c>
      <c r="Z95" s="7" t="str" cm="1">
        <f t="array" aca="1" ref="Z95" ca="1">IF(INDIRECT("$D"&amp;(ROW(R95)+$F$1-1))=0,Z94,H97&amp;$N97&amp;$O97)</f>
        <v>6030</v>
      </c>
      <c r="AA95" s="7" t="str" cm="1">
        <f t="array" aca="1" ref="AA95" ca="1">IF(INDIRECT("$D"&amp;(ROW(R95)+$F$1-1))=0,AA94,H98&amp;$N98&amp;$O98)</f>
        <v>0000</v>
      </c>
      <c r="AB95" s="7" t="str" cm="1">
        <f t="array" aca="1" ref="AB95" ca="1">IF(INDIRECT("$D"&amp;(ROW(R95)+$F$1-1))=0,AB94,H99&amp;$N99&amp;$O99)</f>
        <v>0560</v>
      </c>
      <c r="AC95" s="7" t="str" cm="1">
        <f t="array" aca="1" ref="AC95" ca="1">IF(INDIRECT("$D"&amp;(ROW(R95)+$F$1-1))=0,AC94,H100&amp;$N100&amp;$O100)</f>
        <v>0000</v>
      </c>
      <c r="AD95" s="7" t="str" cm="1">
        <f t="array" aca="1" ref="AD95" ca="1">IF(INDIRECT("$D"&amp;(ROW(R95)+$F$1-1))=0,AD94,I95&amp;$P95&amp;$Q95)</f>
        <v>5130</v>
      </c>
      <c r="AE95" s="7" t="str" cm="1">
        <f t="array" aca="1" ref="AE95" ca="1">IF(INDIRECT("$D"&amp;(ROW(R95)+$F$1-1))=0,AE94,I96&amp;$P96&amp;$Q96)</f>
        <v>5660</v>
      </c>
      <c r="AF95" s="7" t="str" cm="1">
        <f t="array" aca="1" ref="AF95" ca="1">IF(INDIRECT("$D"&amp;(ROW(R95)+$F$1-1))=0,AF94,I97&amp;$P97&amp;$Q97)</f>
        <v>0160</v>
      </c>
      <c r="AG95" s="7" t="str" cm="1">
        <f t="array" aca="1" ref="AG95" ca="1">IF(INDIRECT("$D"&amp;(ROW(R95)+$F$1-1))=0,AG94,I98&amp;$P98&amp;$Q98)</f>
        <v>0000</v>
      </c>
      <c r="AH95" s="7" t="str" cm="1">
        <f t="array" aca="1" ref="AH95" ca="1">IF(INDIRECT("$D"&amp;(ROW(R95)+$F$1-1))=0,AH94,I99&amp;$P99&amp;$Q99)</f>
        <v>0000</v>
      </c>
      <c r="AI95" s="7" t="str" cm="1">
        <f t="array" aca="1" ref="AI95" ca="1">IF(INDIRECT("$D"&amp;(ROW(R95)+$F$1-1))=0,AI94,I100&amp;$P100&amp;$Q100)</f>
        <v>0000</v>
      </c>
      <c r="AJ95" s="7" t="str" cm="1">
        <f t="array" ref="AJ95">TEXT($D95,"000")&amp;TEXT(IFERROR(INDEX($D$5:$D$103,_xlfn.AGGREGATE(15,6,ROW($E$5:$E$103)/(($E$5:$E$103&lt;&gt;"p")*($E$5:$E$103&lt;&gt;"t")*(ROW($E$5:$E$103)&gt;ROW($E95))),1)-ROW($E$5)+1),$D95),"000")</f>
        <v>000000</v>
      </c>
      <c r="AK95" s="22">
        <f t="shared" si="8"/>
        <v>500</v>
      </c>
      <c r="AL95" s="22" cm="1">
        <f t="array" aca="1" ref="AL95" ca="1">IF(INDIRECT("$K"&amp;(ROW(R95)+$F$1-1))="TERMINAL",1000489,489)*SIGN(AK95)</f>
        <v>1000489</v>
      </c>
      <c r="AM95" s="7" cm="1">
        <f t="array" aca="1" ref="AM95" ca="1">IF(INDIRECT("$D"&amp;(ROW(R95)+$F$1-1))=0,AM94,$G95)</f>
        <v>8</v>
      </c>
      <c r="AN95" s="7" cm="1">
        <f t="array" aca="1" ref="AN95" ca="1">IF(INDIRECT("$D"&amp;(ROW(R95)+$F$1-1))=0,AN94,$G96)</f>
        <v>0</v>
      </c>
      <c r="AO95" s="7" cm="1">
        <f t="array" aca="1" ref="AO95" ca="1">IF(INDIRECT("$D"&amp;(ROW(R95)+$F$1-1))=0,AO94,$G97)</f>
        <v>0</v>
      </c>
      <c r="AP95" s="7" cm="1">
        <f t="array" aca="1" ref="AP95" ca="1">IF(INDIRECT("$D"&amp;(ROW(R95)+$F$1-1))=0,AP94,$G98)</f>
        <v>0</v>
      </c>
      <c r="AQ95" s="7" cm="1">
        <f t="array" aca="1" ref="AQ95" ca="1">IF(INDIRECT("$D"&amp;(ROW(R95)+$F$1-1))=0,AQ94,$G99)</f>
        <v>1</v>
      </c>
      <c r="AR95" s="7" cm="1">
        <f t="array" aca="1" ref="AR95" ca="1">IF(INDIRECT("$D"&amp;(ROW(R95)+$F$1-1))=0,AR94,$G100)</f>
        <v>0</v>
      </c>
      <c r="AS95" s="7" cm="1">
        <f t="array" aca="1" ref="AS95" ca="1">IF(INDIRECT("$D"&amp;(ROW(AS95)+$F$1-1))=0,AS94+4,1)</f>
        <v>289</v>
      </c>
      <c r="AT95" s="7" cm="1">
        <f t="array" aca="1" ref="AT95" ca="1">IF(INDIRECT("$D"&amp;(ROW(AT95)+$F$1-1))=0,AT94+4,2)</f>
        <v>290</v>
      </c>
      <c r="AU95" s="7" cm="1">
        <f t="array" aca="1" ref="AU95" ca="1">IF(INDIRECT("$D"&amp;(ROW(AU95)+$F$1-1))=0,AU94+4,3)</f>
        <v>291</v>
      </c>
      <c r="AV95" s="7" cm="1">
        <f t="array" aca="1" ref="AV95" ca="1">IF(INDIRECT("$D"&amp;(ROW(AV95)+$F$1-1))=0,AV94+4,4)</f>
        <v>292</v>
      </c>
      <c r="AW95" s="22" cm="1">
        <f t="array" aca="1" ref="AW95" ca="1">_xlfn.XLOOKUP(1,INDIRECT("J"&amp;ROW(K95)+$F$1):J$103,INDIRECT("D"&amp;ROW(K95)+$F$1):D$103,0,0,1)</f>
        <v>0</v>
      </c>
      <c r="AX95" s="22">
        <f t="shared" ca="1" si="9"/>
        <v>0</v>
      </c>
      <c r="AY95" s="22" cm="1">
        <f t="array" aca="1" ref="AY95" ca="1">_xlfn.XLOOKUP(AW95,D$4:D$110,H$4:H$110&amp;N$4:N$110&amp;O$4:O$110,0,0,1)</f>
        <v>0</v>
      </c>
      <c r="AZ95" s="22" cm="1">
        <f t="array" aca="1" ref="AZ95" ca="1">_xlfn.XLOOKUP(AW95,D$4:D$110,I$4:I$110&amp;P$4:P$110&amp;Q$4:Q$110,0,0,1)</f>
        <v>0</v>
      </c>
      <c r="BA95" s="14" cm="1">
        <f t="array" ref="BA95">_xlfn.XLOOKUP(1,J$4:J94,D$4:D94,0,0,-1)</f>
        <v>35</v>
      </c>
      <c r="BB95" s="14">
        <f t="shared" si="11"/>
        <v>1</v>
      </c>
      <c r="BC95" s="14" t="str" cm="1">
        <f t="array" ref="BC95">_xlfn.SWITCH(TRUE,_xlfn.XLOOKUP(BA95,D$4:D$110,TEXT(F$4:F$110,"HH"),0,0,1)="00",B93&amp;"",_xlfn.XLOOKUP(BA95,D$4:D$110,TEXT(F$4:F$110,"HH"),0,0,1)="T","00",TRUE,_xlfn.XLOOKUP(BA95,D$4:D$110,TEXT(F$4:F$110,"HH"),0,0,1))</f>
        <v>00</v>
      </c>
      <c r="BD95" s="14" t="str">
        <f t="shared" si="10"/>
        <v>000000</v>
      </c>
    </row>
    <row r="96" spans="1:56">
      <c r="A96" s="2">
        <v>93</v>
      </c>
      <c r="B96" s="5"/>
      <c r="C96" s="5"/>
      <c r="D96" s="5"/>
      <c r="E96" s="5"/>
      <c r="F96" s="5"/>
      <c r="G96" s="5"/>
      <c r="H96" s="5"/>
      <c r="I96" s="5"/>
      <c r="J96" s="5">
        <f t="shared" si="7"/>
        <v>0</v>
      </c>
      <c r="K96" s="7" t="str">
        <f t="shared" si="6"/>
        <v>terminal</v>
      </c>
      <c r="L96" s="7" t="str" cm="1">
        <f t="array" ref="L96">_xlfn.SWITCH(TRUE,$K96="PASS",TEXT($B$1,"0000"),AND($K96="STOP",E96=""),TEXT($D$1,"0000"),$K95="TERMINAL","0000",TRUE,TEXT(E96,"MMSS"))</f>
        <v>0000</v>
      </c>
      <c r="M96" s="7" t="str" cm="1">
        <f t="array" ref="M96">_xlfn.SWITCH(TRUE,$K96="PASS",TEXT($B$1,"0000"),AND($K96="STOP",F96=""),TEXT($D$1,"0000"),$K96="TERMINAL","0000",TRUE,TEXT(F96,"MMSS"))</f>
        <v>0000</v>
      </c>
      <c r="N96" t="str" cm="1">
        <f t="array" ref="N96">_xlfn.SWITCH(TRUE,AND(LEFT(L96,2)="00",K96="TERMINAL"),"00",E96="",TEXT(LEFT($D$1,2),"00"),LEFT(L96,2)="00",$D$2&amp;"",TRUE,LEFT(L96,2))</f>
        <v>00</v>
      </c>
      <c r="O96" t="str" cm="1">
        <f t="array" ref="O96">_xlfn.SWITCH(TRUE,AND(N96="00",RIGHT(L96,2)="00",K96="TERMINAL"),"00",OR(E96="",N96=LEFT($B$1,2)),TEXT(RIGHT($D$1,2),"00"),RIGHT(L96,2)="00",$D$2&amp;"",TRUE,RIGHT(L96,2))</f>
        <v>00</v>
      </c>
      <c r="P96" t="str" cm="1">
        <f t="array" ref="P96">_xlfn.SWITCH(TRUE,AND(LEFT(M96,2)="00",K96="TERMINAL"),"00",F96="",TEXT(LEFT($D$1,2),"00"),LEFT(M96,2)="00",$D$2&amp;"",TRUE,LEFT(M96,2))</f>
        <v>00</v>
      </c>
      <c r="Q96" t="str" cm="1">
        <f t="array" ref="Q96">_xlfn.SWITCH(TRUE,AND(RIGHT(M96,2)="00",K96="TERMINAL"),"00",F96="",TEXT(RIGHT($D$1,2),"00"),RIGHT(M96,2)="00",$D$2&amp;"",TRUE,RIGHT(M96,2))</f>
        <v>00</v>
      </c>
      <c r="R96" s="7" cm="1">
        <f t="array" aca="1" ref="R96" ca="1">IF(INDIRECT("$D"&amp;(ROW(R96)+$F$1-1))=0,R95,$D96)</f>
        <v>39</v>
      </c>
      <c r="S96" s="7" cm="1">
        <f t="array" aca="1" ref="S96" ca="1">IF(INDIRECT("$D"&amp;(ROW(R96)+$F$1-1))=0,S95,$D97)</f>
        <v>38</v>
      </c>
      <c r="T96" s="7" cm="1">
        <f t="array" aca="1" ref="T96" ca="1">IF(INDIRECT("$D"&amp;(ROW(R96)+$F$1-1))=0,T95,$D98)</f>
        <v>37</v>
      </c>
      <c r="U96" s="7" cm="1">
        <f t="array" aca="1" ref="U96" ca="1">IF(INDIRECT("$D"&amp;(ROW(R96)+$F$1-1))=0,U95,$D99)</f>
        <v>36</v>
      </c>
      <c r="V96" s="7" cm="1">
        <f t="array" aca="1" ref="V96" ca="1">IF(INDIRECT("$D"&amp;(ROW(R96)+$F$1-1))=0,V95,$D100)</f>
        <v>35</v>
      </c>
      <c r="W96" s="7" cm="1">
        <f t="array" aca="1" ref="W96" ca="1">IF(INDIRECT("$D"&amp;(ROW(R96)+$F$1-1))=0,W95,$D101)</f>
        <v>0</v>
      </c>
      <c r="X96" s="7" t="str" cm="1">
        <f t="array" aca="1" ref="X96" ca="1">IF(INDIRECT("$D"&amp;(ROW(R96)+$F$1-1))=0,X94,$H96&amp;$N96&amp;$O96)</f>
        <v>4630</v>
      </c>
      <c r="Y96" s="7" t="str" cm="1">
        <f t="array" aca="1" ref="Y96" ca="1">IF(INDIRECT("$D"&amp;(ROW(R96)+$F$1-1))=0,Y95,H97&amp;$N97&amp;$O97)</f>
        <v>5530</v>
      </c>
      <c r="Z96" s="7" t="str" cm="1">
        <f t="array" aca="1" ref="Z96" ca="1">IF(INDIRECT("$D"&amp;(ROW(R96)+$F$1-1))=0,Z95,H98&amp;$N98&amp;$O98)</f>
        <v>6030</v>
      </c>
      <c r="AA96" s="7" t="str" cm="1">
        <f t="array" aca="1" ref="AA96" ca="1">IF(INDIRECT("$D"&amp;(ROW(R96)+$F$1-1))=0,AA95,H99&amp;$N99&amp;$O99)</f>
        <v>0000</v>
      </c>
      <c r="AB96" s="7" t="str" cm="1">
        <f t="array" aca="1" ref="AB96" ca="1">IF(INDIRECT("$D"&amp;(ROW(R96)+$F$1-1))=0,AB95,H100&amp;$N100&amp;$O100)</f>
        <v>0560</v>
      </c>
      <c r="AC96" s="7" t="str" cm="1">
        <f t="array" aca="1" ref="AC96" ca="1">IF(INDIRECT("$D"&amp;(ROW(R96)+$F$1-1))=0,AC95,H101&amp;$N101&amp;$O101)</f>
        <v>0000</v>
      </c>
      <c r="AD96" s="7" t="str" cm="1">
        <f t="array" aca="1" ref="AD96" ca="1">IF(INDIRECT("$D"&amp;(ROW(R96)+$F$1-1))=0,AD95,I96&amp;$P96&amp;$Q96)</f>
        <v>5130</v>
      </c>
      <c r="AE96" s="7" t="str" cm="1">
        <f t="array" aca="1" ref="AE96" ca="1">IF(INDIRECT("$D"&amp;(ROW(R96)+$F$1-1))=0,AE95,I97&amp;$P97&amp;$Q97)</f>
        <v>5660</v>
      </c>
      <c r="AF96" s="7" t="str" cm="1">
        <f t="array" aca="1" ref="AF96" ca="1">IF(INDIRECT("$D"&amp;(ROW(R96)+$F$1-1))=0,AF95,I98&amp;$P98&amp;$Q98)</f>
        <v>0160</v>
      </c>
      <c r="AG96" s="7" t="str" cm="1">
        <f t="array" aca="1" ref="AG96" ca="1">IF(INDIRECT("$D"&amp;(ROW(R96)+$F$1-1))=0,AG95,I99&amp;$P99&amp;$Q99)</f>
        <v>0000</v>
      </c>
      <c r="AH96" s="7" t="str" cm="1">
        <f t="array" aca="1" ref="AH96" ca="1">IF(INDIRECT("$D"&amp;(ROW(R96)+$F$1-1))=0,AH95,I100&amp;$P100&amp;$Q100)</f>
        <v>0000</v>
      </c>
      <c r="AI96" s="7" t="str" cm="1">
        <f t="array" aca="1" ref="AI96" ca="1">IF(INDIRECT("$D"&amp;(ROW(R96)+$F$1-1))=0,AI95,I101&amp;$P101&amp;$Q101)</f>
        <v>0000</v>
      </c>
      <c r="AJ96" s="7" t="str" cm="1">
        <f t="array" ref="AJ96">TEXT($D96,"000")&amp;TEXT(IFERROR(INDEX($D$5:$D$103,_xlfn.AGGREGATE(15,6,ROW($E$5:$E$103)/(($E$5:$E$103&lt;&gt;"p")*($E$5:$E$103&lt;&gt;"t")*(ROW($E$5:$E$103)&gt;ROW($E96))),1)-ROW($E$5)+1),$D96),"000")</f>
        <v>000000</v>
      </c>
      <c r="AK96" s="22">
        <f t="shared" si="8"/>
        <v>500</v>
      </c>
      <c r="AL96" s="22" cm="1">
        <f t="array" aca="1" ref="AL96" ca="1">IF(INDIRECT("$K"&amp;(ROW(R96)+$F$1-1))="TERMINAL",1000489,489)*SIGN(AK96)</f>
        <v>1000489</v>
      </c>
      <c r="AM96" s="7" cm="1">
        <f t="array" aca="1" ref="AM96" ca="1">IF(INDIRECT("$D"&amp;(ROW(R96)+$F$1-1))=0,AM95,$G96)</f>
        <v>8</v>
      </c>
      <c r="AN96" s="7" cm="1">
        <f t="array" aca="1" ref="AN96" ca="1">IF(INDIRECT("$D"&amp;(ROW(R96)+$F$1-1))=0,AN95,$G97)</f>
        <v>0</v>
      </c>
      <c r="AO96" s="7" cm="1">
        <f t="array" aca="1" ref="AO96" ca="1">IF(INDIRECT("$D"&amp;(ROW(R96)+$F$1-1))=0,AO95,$G98)</f>
        <v>0</v>
      </c>
      <c r="AP96" s="7" cm="1">
        <f t="array" aca="1" ref="AP96" ca="1">IF(INDIRECT("$D"&amp;(ROW(R96)+$F$1-1))=0,AP95,$G99)</f>
        <v>0</v>
      </c>
      <c r="AQ96" s="7" cm="1">
        <f t="array" aca="1" ref="AQ96" ca="1">IF(INDIRECT("$D"&amp;(ROW(R96)+$F$1-1))=0,AQ95,$G100)</f>
        <v>1</v>
      </c>
      <c r="AR96" s="7" cm="1">
        <f t="array" aca="1" ref="AR96" ca="1">IF(INDIRECT("$D"&amp;(ROW(R96)+$F$1-1))=0,AR95,$G101)</f>
        <v>0</v>
      </c>
      <c r="AS96" s="7" cm="1">
        <f t="array" aca="1" ref="AS96" ca="1">IF(INDIRECT("$D"&amp;(ROW(AS96)+$F$1-1))=0,AS95+4,1)</f>
        <v>293</v>
      </c>
      <c r="AT96" s="7" cm="1">
        <f t="array" aca="1" ref="AT96" ca="1">IF(INDIRECT("$D"&amp;(ROW(AT96)+$F$1-1))=0,AT95+4,2)</f>
        <v>294</v>
      </c>
      <c r="AU96" s="7" cm="1">
        <f t="array" aca="1" ref="AU96" ca="1">IF(INDIRECT("$D"&amp;(ROW(AU96)+$F$1-1))=0,AU95+4,3)</f>
        <v>295</v>
      </c>
      <c r="AV96" s="7" cm="1">
        <f t="array" aca="1" ref="AV96" ca="1">IF(INDIRECT("$D"&amp;(ROW(AV96)+$F$1-1))=0,AV95+4,4)</f>
        <v>296</v>
      </c>
      <c r="AW96" s="22" cm="1">
        <f t="array" aca="1" ref="AW96" ca="1">_xlfn.XLOOKUP(1,INDIRECT("J"&amp;ROW(K96)+$F$1):J$103,INDIRECT("D"&amp;ROW(K96)+$F$1):D$103,0,0,1)</f>
        <v>0</v>
      </c>
      <c r="AX96" s="22">
        <f t="shared" ca="1" si="9"/>
        <v>0</v>
      </c>
      <c r="AY96" s="22" cm="1">
        <f t="array" aca="1" ref="AY96" ca="1">_xlfn.XLOOKUP(AW96,D$4:D$110,H$4:H$110&amp;N$4:N$110&amp;O$4:O$110,0,0,1)</f>
        <v>0</v>
      </c>
      <c r="AZ96" s="22" cm="1">
        <f t="array" aca="1" ref="AZ96" ca="1">_xlfn.XLOOKUP(AW96,D$4:D$110,I$4:I$110&amp;P$4:P$110&amp;Q$4:Q$110,0,0,1)</f>
        <v>0</v>
      </c>
      <c r="BA96" s="14" cm="1">
        <f t="array" ref="BA96">_xlfn.XLOOKUP(1,J$4:J95,D$4:D95,0,0,-1)</f>
        <v>35</v>
      </c>
      <c r="BB96" s="14">
        <f t="shared" si="11"/>
        <v>1</v>
      </c>
      <c r="BC96" s="14" t="str" cm="1">
        <f t="array" ref="BC96">_xlfn.SWITCH(TRUE,_xlfn.XLOOKUP(BA96,D$4:D$110,TEXT(F$4:F$110,"HH"),0,0,1)="00",B94&amp;"",_xlfn.XLOOKUP(BA96,D$4:D$110,TEXT(F$4:F$110,"HH"),0,0,1)="T","00",TRUE,_xlfn.XLOOKUP(BA96,D$4:D$110,TEXT(F$4:F$110,"HH"),0,0,1))</f>
        <v>00</v>
      </c>
      <c r="BD96" s="14" t="str">
        <f t="shared" si="10"/>
        <v>000000</v>
      </c>
    </row>
    <row r="97" spans="1:56">
      <c r="A97" s="2">
        <v>94</v>
      </c>
      <c r="B97" s="5"/>
      <c r="C97" s="5"/>
      <c r="D97" s="5"/>
      <c r="E97" s="5"/>
      <c r="F97" s="5"/>
      <c r="G97" s="5"/>
      <c r="H97" s="5"/>
      <c r="I97" s="5"/>
      <c r="J97" s="5">
        <f t="shared" si="7"/>
        <v>0</v>
      </c>
      <c r="K97" s="7" t="str">
        <f t="shared" si="6"/>
        <v>terminal</v>
      </c>
      <c r="L97" s="7" t="str" cm="1">
        <f t="array" ref="L97">_xlfn.SWITCH(TRUE,$K97="PASS",TEXT($B$1,"0000"),AND($K97="STOP",E97=""),TEXT($D$1,"0000"),$K96="TERMINAL","0000",TRUE,TEXT(E97,"MMSS"))</f>
        <v>0000</v>
      </c>
      <c r="M97" s="7" t="str" cm="1">
        <f t="array" ref="M97">_xlfn.SWITCH(TRUE,$K97="PASS",TEXT($B$1,"0000"),AND($K97="STOP",F97=""),TEXT($D$1,"0000"),$K97="TERMINAL","0000",TRUE,TEXT(F97,"MMSS"))</f>
        <v>0000</v>
      </c>
      <c r="N97" t="str" cm="1">
        <f t="array" ref="N97">_xlfn.SWITCH(TRUE,AND(LEFT(L97,2)="00",K97="TERMINAL"),"00",E97="",TEXT(LEFT($D$1,2),"00"),LEFT(L97,2)="00",$D$2&amp;"",TRUE,LEFT(L97,2))</f>
        <v>00</v>
      </c>
      <c r="O97" t="str" cm="1">
        <f t="array" ref="O97">_xlfn.SWITCH(TRUE,AND(N97="00",RIGHT(L97,2)="00",K97="TERMINAL"),"00",OR(E97="",N97=LEFT($B$1,2)),TEXT(RIGHT($D$1,2),"00"),RIGHT(L97,2)="00",$D$2&amp;"",TRUE,RIGHT(L97,2))</f>
        <v>00</v>
      </c>
      <c r="P97" t="str" cm="1">
        <f t="array" ref="P97">_xlfn.SWITCH(TRUE,AND(LEFT(M97,2)="00",K97="TERMINAL"),"00",F97="",TEXT(LEFT($D$1,2),"00"),LEFT(M97,2)="00",$D$2&amp;"",TRUE,LEFT(M97,2))</f>
        <v>00</v>
      </c>
      <c r="Q97" t="str" cm="1">
        <f t="array" ref="Q97">_xlfn.SWITCH(TRUE,AND(RIGHT(M97,2)="00",K97="TERMINAL"),"00",F97="",TEXT(RIGHT($D$1,2),"00"),RIGHT(M97,2)="00",$D$2&amp;"",TRUE,RIGHT(M97,2))</f>
        <v>00</v>
      </c>
      <c r="R97" s="7" cm="1">
        <f t="array" aca="1" ref="R97" ca="1">IF(INDIRECT("$D"&amp;(ROW(R97)+$F$1-1))=0,R96,$D97)</f>
        <v>39</v>
      </c>
      <c r="S97" s="7" cm="1">
        <f t="array" aca="1" ref="S97" ca="1">IF(INDIRECT("$D"&amp;(ROW(R97)+$F$1-1))=0,S96,$D98)</f>
        <v>38</v>
      </c>
      <c r="T97" s="7" cm="1">
        <f t="array" aca="1" ref="T97" ca="1">IF(INDIRECT("$D"&amp;(ROW(R97)+$F$1-1))=0,T96,$D99)</f>
        <v>37</v>
      </c>
      <c r="U97" s="7" cm="1">
        <f t="array" aca="1" ref="U97" ca="1">IF(INDIRECT("$D"&amp;(ROW(R97)+$F$1-1))=0,U96,$D100)</f>
        <v>36</v>
      </c>
      <c r="V97" s="7" cm="1">
        <f t="array" aca="1" ref="V97" ca="1">IF(INDIRECT("$D"&amp;(ROW(R97)+$F$1-1))=0,V96,$D101)</f>
        <v>35</v>
      </c>
      <c r="W97" s="7" cm="1">
        <f t="array" aca="1" ref="W97" ca="1">IF(INDIRECT("$D"&amp;(ROW(R97)+$F$1-1))=0,W96,$D102)</f>
        <v>0</v>
      </c>
      <c r="X97" s="7" t="str" cm="1">
        <f t="array" aca="1" ref="X97" ca="1">IF(INDIRECT("$D"&amp;(ROW(R97)+$F$1-1))=0,X95,$H97&amp;$N97&amp;$O97)</f>
        <v>5160</v>
      </c>
      <c r="Y97" s="7" t="str" cm="1">
        <f t="array" aca="1" ref="Y97" ca="1">IF(INDIRECT("$D"&amp;(ROW(R97)+$F$1-1))=0,Y96,H98&amp;$N98&amp;$O98)</f>
        <v>5530</v>
      </c>
      <c r="Z97" s="7" t="str" cm="1">
        <f t="array" aca="1" ref="Z97" ca="1">IF(INDIRECT("$D"&amp;(ROW(R97)+$F$1-1))=0,Z96,H99&amp;$N99&amp;$O99)</f>
        <v>6030</v>
      </c>
      <c r="AA97" s="7" t="str" cm="1">
        <f t="array" aca="1" ref="AA97" ca="1">IF(INDIRECT("$D"&amp;(ROW(R97)+$F$1-1))=0,AA96,H100&amp;$N100&amp;$O100)</f>
        <v>0000</v>
      </c>
      <c r="AB97" s="7" t="str" cm="1">
        <f t="array" aca="1" ref="AB97" ca="1">IF(INDIRECT("$D"&amp;(ROW(R97)+$F$1-1))=0,AB96,H101&amp;$N101&amp;$O101)</f>
        <v>0560</v>
      </c>
      <c r="AC97" s="7" t="str" cm="1">
        <f t="array" aca="1" ref="AC97" ca="1">IF(INDIRECT("$D"&amp;(ROW(R97)+$F$1-1))=0,AC96,H102&amp;$N102&amp;$O102)</f>
        <v>0000</v>
      </c>
      <c r="AD97" s="7" t="str" cm="1">
        <f t="array" aca="1" ref="AD97" ca="1">IF(INDIRECT("$D"&amp;(ROW(R97)+$F$1-1))=0,AD96,I97&amp;$P97&amp;$Q97)</f>
        <v>5130</v>
      </c>
      <c r="AE97" s="7" t="str" cm="1">
        <f t="array" aca="1" ref="AE97" ca="1">IF(INDIRECT("$D"&amp;(ROW(R97)+$F$1-1))=0,AE96,I98&amp;$P98&amp;$Q98)</f>
        <v>5660</v>
      </c>
      <c r="AF97" s="7" t="str" cm="1">
        <f t="array" aca="1" ref="AF97" ca="1">IF(INDIRECT("$D"&amp;(ROW(R97)+$F$1-1))=0,AF96,I99&amp;$P99&amp;$Q99)</f>
        <v>0160</v>
      </c>
      <c r="AG97" s="7" t="str" cm="1">
        <f t="array" aca="1" ref="AG97" ca="1">IF(INDIRECT("$D"&amp;(ROW(R97)+$F$1-1))=0,AG96,I100&amp;$P100&amp;$Q100)</f>
        <v>0000</v>
      </c>
      <c r="AH97" s="7" t="str" cm="1">
        <f t="array" aca="1" ref="AH97" ca="1">IF(INDIRECT("$D"&amp;(ROW(R97)+$F$1-1))=0,AH96,I101&amp;$P101&amp;$Q101)</f>
        <v>0000</v>
      </c>
      <c r="AI97" s="7" t="str" cm="1">
        <f t="array" aca="1" ref="AI97" ca="1">IF(INDIRECT("$D"&amp;(ROW(R97)+$F$1-1))=0,AI96,I102&amp;$P102&amp;$Q102)</f>
        <v>0000</v>
      </c>
      <c r="AJ97" s="7" t="str" cm="1">
        <f t="array" ref="AJ97">TEXT($D97,"000")&amp;TEXT(IFERROR(INDEX($D$5:$D$103,_xlfn.AGGREGATE(15,6,ROW($E$5:$E$103)/(($E$5:$E$103&lt;&gt;"p")*($E$5:$E$103&lt;&gt;"t")*(ROW($E$5:$E$103)&gt;ROW($E97))),1)-ROW($E$5)+1),$D97),"000")</f>
        <v>000000</v>
      </c>
      <c r="AK97" s="22">
        <f t="shared" si="8"/>
        <v>500</v>
      </c>
      <c r="AL97" s="22" cm="1">
        <f t="array" aca="1" ref="AL97" ca="1">IF(INDIRECT("$K"&amp;(ROW(R97)+$F$1-1))="TERMINAL",1000489,489)*SIGN(AK97)</f>
        <v>1000489</v>
      </c>
      <c r="AM97" s="7" cm="1">
        <f t="array" aca="1" ref="AM97" ca="1">IF(INDIRECT("$D"&amp;(ROW(R97)+$F$1-1))=0,AM96,$G97)</f>
        <v>8</v>
      </c>
      <c r="AN97" s="7" cm="1">
        <f t="array" aca="1" ref="AN97" ca="1">IF(INDIRECT("$D"&amp;(ROW(R97)+$F$1-1))=0,AN96,$G98)</f>
        <v>0</v>
      </c>
      <c r="AO97" s="7" cm="1">
        <f t="array" aca="1" ref="AO97" ca="1">IF(INDIRECT("$D"&amp;(ROW(R97)+$F$1-1))=0,AO96,$G99)</f>
        <v>0</v>
      </c>
      <c r="AP97" s="7" cm="1">
        <f t="array" aca="1" ref="AP97" ca="1">IF(INDIRECT("$D"&amp;(ROW(R97)+$F$1-1))=0,AP96,$G100)</f>
        <v>0</v>
      </c>
      <c r="AQ97" s="7" cm="1">
        <f t="array" aca="1" ref="AQ97" ca="1">IF(INDIRECT("$D"&amp;(ROW(R97)+$F$1-1))=0,AQ96,$G101)</f>
        <v>1</v>
      </c>
      <c r="AR97" s="7" cm="1">
        <f t="array" aca="1" ref="AR97" ca="1">IF(INDIRECT("$D"&amp;(ROW(R97)+$F$1-1))=0,AR96,$G102)</f>
        <v>0</v>
      </c>
      <c r="AS97" s="7" cm="1">
        <f t="array" aca="1" ref="AS97" ca="1">IF(INDIRECT("$D"&amp;(ROW(AS97)+$F$1-1))=0,AS96+4,1)</f>
        <v>297</v>
      </c>
      <c r="AT97" s="7" cm="1">
        <f t="array" aca="1" ref="AT97" ca="1">IF(INDIRECT("$D"&amp;(ROW(AT97)+$F$1-1))=0,AT96+4,2)</f>
        <v>298</v>
      </c>
      <c r="AU97" s="7" cm="1">
        <f t="array" aca="1" ref="AU97" ca="1">IF(INDIRECT("$D"&amp;(ROW(AU97)+$F$1-1))=0,AU96+4,3)</f>
        <v>299</v>
      </c>
      <c r="AV97" s="7" cm="1">
        <f t="array" aca="1" ref="AV97" ca="1">IF(INDIRECT("$D"&amp;(ROW(AV97)+$F$1-1))=0,AV96+4,4)</f>
        <v>300</v>
      </c>
      <c r="AW97" s="22" cm="1">
        <f t="array" aca="1" ref="AW97" ca="1">_xlfn.XLOOKUP(1,INDIRECT("J"&amp;ROW(K97)+$F$1):J$103,INDIRECT("D"&amp;ROW(K97)+$F$1):D$103,0,0,1)</f>
        <v>0</v>
      </c>
      <c r="AX97" s="22">
        <f t="shared" ca="1" si="9"/>
        <v>0</v>
      </c>
      <c r="AY97" s="22" cm="1">
        <f t="array" aca="1" ref="AY97" ca="1">_xlfn.XLOOKUP(AW97,D$4:D$110,H$4:H$110&amp;N$4:N$110&amp;O$4:O$110,0,0,1)</f>
        <v>0</v>
      </c>
      <c r="AZ97" s="22" cm="1">
        <f t="array" aca="1" ref="AZ97" ca="1">_xlfn.XLOOKUP(AW97,D$4:D$110,I$4:I$110&amp;P$4:P$110&amp;Q$4:Q$110,0,0,1)</f>
        <v>0</v>
      </c>
      <c r="BA97" s="14" cm="1">
        <f t="array" ref="BA97">_xlfn.XLOOKUP(1,J$4:J96,D$4:D96,0,0,-1)</f>
        <v>35</v>
      </c>
      <c r="BB97" s="14">
        <f t="shared" si="11"/>
        <v>1</v>
      </c>
      <c r="BC97" s="14" t="str" cm="1">
        <f t="array" ref="BC97">_xlfn.SWITCH(TRUE,_xlfn.XLOOKUP(BA97,D$4:D$110,TEXT(F$4:F$110,"HH"),0,0,1)="00",B95&amp;"",_xlfn.XLOOKUP(BA97,D$4:D$110,TEXT(F$4:F$110,"HH"),0,0,1)="T","00",TRUE,_xlfn.XLOOKUP(BA97,D$4:D$110,TEXT(F$4:F$110,"HH"),0,0,1))</f>
        <v>00</v>
      </c>
      <c r="BD97" s="14" t="str">
        <f t="shared" si="10"/>
        <v>000000</v>
      </c>
    </row>
    <row r="98" spans="1:56">
      <c r="A98" s="2">
        <v>95</v>
      </c>
      <c r="B98" s="5"/>
      <c r="C98" s="5"/>
      <c r="D98" s="5"/>
      <c r="E98" s="5"/>
      <c r="F98" s="5"/>
      <c r="G98" s="5"/>
      <c r="H98" s="5"/>
      <c r="I98" s="5"/>
      <c r="J98" s="5">
        <f t="shared" si="7"/>
        <v>0</v>
      </c>
      <c r="K98" s="7" t="str">
        <f t="shared" si="6"/>
        <v>terminal</v>
      </c>
      <c r="L98" s="7" t="str" cm="1">
        <f t="array" ref="L98">_xlfn.SWITCH(TRUE,$K98="PASS",TEXT($B$1,"0000"),AND($K98="STOP",E98=""),TEXT($D$1,"0000"),$K97="TERMINAL","0000",TRUE,TEXT(E98,"MMSS"))</f>
        <v>0000</v>
      </c>
      <c r="M98" s="7" t="str" cm="1">
        <f t="array" ref="M98">_xlfn.SWITCH(TRUE,$K98="PASS",TEXT($B$1,"0000"),AND($K98="STOP",F98=""),TEXT($D$1,"0000"),$K98="TERMINAL","0000",TRUE,TEXT(F98,"MMSS"))</f>
        <v>0000</v>
      </c>
      <c r="N98" t="str" cm="1">
        <f t="array" ref="N98">_xlfn.SWITCH(TRUE,AND(LEFT(L98,2)="00",K98="TERMINAL"),"00",E98="",TEXT(LEFT($D$1,2),"00"),LEFT(L98,2)="00",$D$2&amp;"",TRUE,LEFT(L98,2))</f>
        <v>00</v>
      </c>
      <c r="O98" t="str" cm="1">
        <f t="array" ref="O98">_xlfn.SWITCH(TRUE,AND(N98="00",RIGHT(L98,2)="00",K98="TERMINAL"),"00",OR(E98="",N98=LEFT($B$1,2)),TEXT(RIGHT($D$1,2),"00"),RIGHT(L98,2)="00",$D$2&amp;"",TRUE,RIGHT(L98,2))</f>
        <v>00</v>
      </c>
      <c r="P98" t="str" cm="1">
        <f t="array" ref="P98">_xlfn.SWITCH(TRUE,AND(LEFT(M98,2)="00",K98="TERMINAL"),"00",F98="",TEXT(LEFT($D$1,2),"00"),LEFT(M98,2)="00",$D$2&amp;"",TRUE,LEFT(M98,2))</f>
        <v>00</v>
      </c>
      <c r="Q98" t="str" cm="1">
        <f t="array" ref="Q98">_xlfn.SWITCH(TRUE,AND(RIGHT(M98,2)="00",K98="TERMINAL"),"00",F98="",TEXT(RIGHT($D$1,2),"00"),RIGHT(M98,2)="00",$D$2&amp;"",TRUE,RIGHT(M98,2))</f>
        <v>00</v>
      </c>
      <c r="R98" s="7" cm="1">
        <f t="array" aca="1" ref="R98" ca="1">IF(INDIRECT("$D"&amp;(ROW(R98)+$F$1-1))=0,R97,$D98)</f>
        <v>39</v>
      </c>
      <c r="S98" s="7" cm="1">
        <f t="array" aca="1" ref="S98" ca="1">IF(INDIRECT("$D"&amp;(ROW(R98)+$F$1-1))=0,S97,$D99)</f>
        <v>38</v>
      </c>
      <c r="T98" s="7" cm="1">
        <f t="array" aca="1" ref="T98" ca="1">IF(INDIRECT("$D"&amp;(ROW(R98)+$F$1-1))=0,T97,$D100)</f>
        <v>37</v>
      </c>
      <c r="U98" s="7" cm="1">
        <f t="array" aca="1" ref="U98" ca="1">IF(INDIRECT("$D"&amp;(ROW(R98)+$F$1-1))=0,U97,$D101)</f>
        <v>36</v>
      </c>
      <c r="V98" s="7" cm="1">
        <f t="array" aca="1" ref="V98" ca="1">IF(INDIRECT("$D"&amp;(ROW(R98)+$F$1-1))=0,V97,$D102)</f>
        <v>35</v>
      </c>
      <c r="W98" s="7" cm="1">
        <f t="array" aca="1" ref="W98" ca="1">IF(INDIRECT("$D"&amp;(ROW(R98)+$F$1-1))=0,W97,$D103)</f>
        <v>0</v>
      </c>
      <c r="X98" s="7" t="str" cm="1">
        <f t="array" aca="1" ref="X98" ca="1">IF(INDIRECT("$D"&amp;(ROW(R98)+$F$1-1))=0,X96,$H98&amp;$N98&amp;$O98)</f>
        <v>4630</v>
      </c>
      <c r="Y98" s="7" t="str" cm="1">
        <f t="array" aca="1" ref="Y98" ca="1">IF(INDIRECT("$D"&amp;(ROW(R98)+$F$1-1))=0,Y97,H99&amp;$N99&amp;$O99)</f>
        <v>5530</v>
      </c>
      <c r="Z98" s="7" t="str" cm="1">
        <f t="array" aca="1" ref="Z98" ca="1">IF(INDIRECT("$D"&amp;(ROW(R98)+$F$1-1))=0,Z97,H100&amp;$N100&amp;$O100)</f>
        <v>6030</v>
      </c>
      <c r="AA98" s="7" t="str" cm="1">
        <f t="array" aca="1" ref="AA98" ca="1">IF(INDIRECT("$D"&amp;(ROW(R98)+$F$1-1))=0,AA97,H101&amp;$N101&amp;$O101)</f>
        <v>0000</v>
      </c>
      <c r="AB98" s="7" t="str" cm="1">
        <f t="array" aca="1" ref="AB98" ca="1">IF(INDIRECT("$D"&amp;(ROW(R98)+$F$1-1))=0,AB97,H102&amp;$N102&amp;$O102)</f>
        <v>0560</v>
      </c>
      <c r="AC98" s="7" t="str" cm="1">
        <f t="array" aca="1" ref="AC98" ca="1">IF(INDIRECT("$D"&amp;(ROW(R98)+$F$1-1))=0,AC97,H103&amp;$N103&amp;$O103)</f>
        <v>0000</v>
      </c>
      <c r="AD98" s="7" t="str" cm="1">
        <f t="array" aca="1" ref="AD98" ca="1">IF(INDIRECT("$D"&amp;(ROW(R98)+$F$1-1))=0,AD97,I98&amp;$P98&amp;$Q98)</f>
        <v>5130</v>
      </c>
      <c r="AE98" s="7" t="str" cm="1">
        <f t="array" aca="1" ref="AE98" ca="1">IF(INDIRECT("$D"&amp;(ROW(R98)+$F$1-1))=0,AE97,I99&amp;$P99&amp;$Q99)</f>
        <v>5660</v>
      </c>
      <c r="AF98" s="7" t="str" cm="1">
        <f t="array" aca="1" ref="AF98" ca="1">IF(INDIRECT("$D"&amp;(ROW(R98)+$F$1-1))=0,AF97,I100&amp;$P100&amp;$Q100)</f>
        <v>0160</v>
      </c>
      <c r="AG98" s="7" t="str" cm="1">
        <f t="array" aca="1" ref="AG98" ca="1">IF(INDIRECT("$D"&amp;(ROW(R98)+$F$1-1))=0,AG97,I101&amp;$P101&amp;$Q101)</f>
        <v>0000</v>
      </c>
      <c r="AH98" s="7" t="str" cm="1">
        <f t="array" aca="1" ref="AH98" ca="1">IF(INDIRECT("$D"&amp;(ROW(R98)+$F$1-1))=0,AH97,I102&amp;$P102&amp;$Q102)</f>
        <v>0000</v>
      </c>
      <c r="AI98" s="7" t="str" cm="1">
        <f t="array" aca="1" ref="AI98" ca="1">IF(INDIRECT("$D"&amp;(ROW(R98)+$F$1-1))=0,AI97,I103&amp;$P103&amp;$Q103)</f>
        <v>0000</v>
      </c>
      <c r="AJ98" s="7" t="str" cm="1">
        <f t="array" ref="AJ98">TEXT($D98,"000")&amp;TEXT(IFERROR(INDEX($D$5:$D$103,_xlfn.AGGREGATE(15,6,ROW($E$5:$E$103)/(($E$5:$E$103&lt;&gt;"p")*($E$5:$E$103&lt;&gt;"t")*(ROW($E$5:$E$103)&gt;ROW($E98))),1)-ROW($E$5)+1),$D98),"000")</f>
        <v>000000</v>
      </c>
      <c r="AK98" s="22">
        <f t="shared" si="8"/>
        <v>500</v>
      </c>
      <c r="AL98" s="22" cm="1">
        <f t="array" aca="1" ref="AL98" ca="1">IF(INDIRECT("$K"&amp;(ROW(R98)+$F$1-1))="TERMINAL",1000489,489)*SIGN(AK98)</f>
        <v>1000489</v>
      </c>
      <c r="AM98" s="7" cm="1">
        <f t="array" aca="1" ref="AM98" ca="1">IF(INDIRECT("$D"&amp;(ROW(R98)+$F$1-1))=0,AM97,$G98)</f>
        <v>8</v>
      </c>
      <c r="AN98" s="7" cm="1">
        <f t="array" aca="1" ref="AN98" ca="1">IF(INDIRECT("$D"&amp;(ROW(R98)+$F$1-1))=0,AN97,$G99)</f>
        <v>0</v>
      </c>
      <c r="AO98" s="7" cm="1">
        <f t="array" aca="1" ref="AO98" ca="1">IF(INDIRECT("$D"&amp;(ROW(R98)+$F$1-1))=0,AO97,$G100)</f>
        <v>0</v>
      </c>
      <c r="AP98" s="7" cm="1">
        <f t="array" aca="1" ref="AP98" ca="1">IF(INDIRECT("$D"&amp;(ROW(R98)+$F$1-1))=0,AP97,$G101)</f>
        <v>0</v>
      </c>
      <c r="AQ98" s="7" cm="1">
        <f t="array" aca="1" ref="AQ98" ca="1">IF(INDIRECT("$D"&amp;(ROW(R98)+$F$1-1))=0,AQ97,$G102)</f>
        <v>1</v>
      </c>
      <c r="AR98" s="7" cm="1">
        <f t="array" aca="1" ref="AR98" ca="1">IF(INDIRECT("$D"&amp;(ROW(R98)+$F$1-1))=0,AR97,$G103)</f>
        <v>0</v>
      </c>
      <c r="AS98" s="7" cm="1">
        <f t="array" aca="1" ref="AS98" ca="1">IF(INDIRECT("$D"&amp;(ROW(AS98)+$F$1-1))=0,AS97+4,1)</f>
        <v>301</v>
      </c>
      <c r="AT98" s="7" cm="1">
        <f t="array" aca="1" ref="AT98" ca="1">IF(INDIRECT("$D"&amp;(ROW(AT98)+$F$1-1))=0,AT97+4,2)</f>
        <v>302</v>
      </c>
      <c r="AU98" s="7" cm="1">
        <f t="array" aca="1" ref="AU98" ca="1">IF(INDIRECT("$D"&amp;(ROW(AU98)+$F$1-1))=0,AU97+4,3)</f>
        <v>303</v>
      </c>
      <c r="AV98" s="7" cm="1">
        <f t="array" aca="1" ref="AV98" ca="1">IF(INDIRECT("$D"&amp;(ROW(AV98)+$F$1-1))=0,AV97+4,4)</f>
        <v>304</v>
      </c>
      <c r="AW98" s="22" cm="1">
        <f t="array" aca="1" ref="AW98" ca="1">_xlfn.XLOOKUP(1,INDIRECT("J"&amp;ROW(K98)+$F$1):J$103,INDIRECT("D"&amp;ROW(K98)+$F$1):D$103,0,0,1)</f>
        <v>0</v>
      </c>
      <c r="AX98" s="22">
        <f t="shared" ca="1" si="9"/>
        <v>0</v>
      </c>
      <c r="AY98" s="22" cm="1">
        <f t="array" aca="1" ref="AY98" ca="1">_xlfn.XLOOKUP(AW98,D$4:D$110,H$4:H$110&amp;N$4:N$110&amp;O$4:O$110,0,0,1)</f>
        <v>0</v>
      </c>
      <c r="AZ98" s="22" cm="1">
        <f t="array" aca="1" ref="AZ98" ca="1">_xlfn.XLOOKUP(AW98,D$4:D$110,I$4:I$110&amp;P$4:P$110&amp;Q$4:Q$110,0,0,1)</f>
        <v>0</v>
      </c>
      <c r="BA98" s="14" cm="1">
        <f t="array" ref="BA98">_xlfn.XLOOKUP(1,J$4:J97,D$4:D97,0,0,-1)</f>
        <v>35</v>
      </c>
      <c r="BB98" s="14">
        <f t="shared" si="11"/>
        <v>1</v>
      </c>
      <c r="BC98" s="14" t="str" cm="1">
        <f t="array" ref="BC98">_xlfn.SWITCH(TRUE,_xlfn.XLOOKUP(BA98,D$4:D$110,TEXT(F$4:F$110,"HH"),0,0,1)="00",B96&amp;"",_xlfn.XLOOKUP(BA98,D$4:D$110,TEXT(F$4:F$110,"HH"),0,0,1)="T","00",TRUE,_xlfn.XLOOKUP(BA98,D$4:D$110,TEXT(F$4:F$110,"HH"),0,0,1))</f>
        <v>00</v>
      </c>
      <c r="BD98" s="14" t="str">
        <f t="shared" si="10"/>
        <v>000000</v>
      </c>
    </row>
    <row r="99" spans="1:56">
      <c r="A99" s="2">
        <v>96</v>
      </c>
      <c r="B99" s="5"/>
      <c r="C99" s="5"/>
      <c r="D99" s="5"/>
      <c r="E99" s="5"/>
      <c r="F99" s="5"/>
      <c r="G99" s="5"/>
      <c r="H99" s="5"/>
      <c r="I99" s="5"/>
      <c r="J99" s="5">
        <f t="shared" si="7"/>
        <v>0</v>
      </c>
      <c r="K99" s="7" t="str">
        <f t="shared" si="6"/>
        <v>terminal</v>
      </c>
      <c r="L99" s="7" t="str" cm="1">
        <f t="array" ref="L99">_xlfn.SWITCH(TRUE,$K99="PASS",TEXT($B$1,"0000"),AND($K99="STOP",E99=""),TEXT($D$1,"0000"),$K98="TERMINAL","0000",TRUE,TEXT(E99,"MMSS"))</f>
        <v>0000</v>
      </c>
      <c r="M99" s="7" t="str" cm="1">
        <f t="array" ref="M99">_xlfn.SWITCH(TRUE,$K99="PASS",TEXT($B$1,"0000"),AND($K99="STOP",F99=""),TEXT($D$1,"0000"),$K99="TERMINAL","0000",TRUE,TEXT(F99,"MMSS"))</f>
        <v>0000</v>
      </c>
      <c r="N99" t="str" cm="1">
        <f t="array" ref="N99">_xlfn.SWITCH(TRUE,AND(LEFT(L99,2)="00",K99="TERMINAL"),"00",E99="",TEXT(LEFT($D$1,2),"00"),LEFT(L99,2)="00",$D$2&amp;"",TRUE,LEFT(L99,2))</f>
        <v>00</v>
      </c>
      <c r="O99" t="str" cm="1">
        <f t="array" ref="O99">_xlfn.SWITCH(TRUE,AND(N99="00",RIGHT(L99,2)="00",K99="TERMINAL"),"00",OR(E99="",N99=LEFT($B$1,2)),TEXT(RIGHT($D$1,2),"00"),RIGHT(L99,2)="00",$D$2&amp;"",TRUE,RIGHT(L99,2))</f>
        <v>00</v>
      </c>
      <c r="P99" t="str" cm="1">
        <f t="array" ref="P99">_xlfn.SWITCH(TRUE,AND(LEFT(M99,2)="00",K99="TERMINAL"),"00",F99="",TEXT(LEFT($D$1,2),"00"),LEFT(M99,2)="00",$D$2&amp;"",TRUE,LEFT(M99,2))</f>
        <v>00</v>
      </c>
      <c r="Q99" t="str" cm="1">
        <f t="array" ref="Q99">_xlfn.SWITCH(TRUE,AND(RIGHT(M99,2)="00",K99="TERMINAL"),"00",F99="",TEXT(RIGHT($D$1,2),"00"),RIGHT(M99,2)="00",$D$2&amp;"",TRUE,RIGHT(M99,2))</f>
        <v>00</v>
      </c>
      <c r="R99" s="7" cm="1">
        <f t="array" aca="1" ref="R99" ca="1">IF(INDIRECT("$D"&amp;(ROW(R99)+$F$1-1))=0,R98,$D99)</f>
        <v>39</v>
      </c>
      <c r="S99" s="7" cm="1">
        <f t="array" aca="1" ref="S99" ca="1">IF(INDIRECT("$D"&amp;(ROW(R99)+$F$1-1))=0,S98,$D100)</f>
        <v>38</v>
      </c>
      <c r="T99" s="7" cm="1">
        <f t="array" aca="1" ref="T99" ca="1">IF(INDIRECT("$D"&amp;(ROW(R99)+$F$1-1))=0,T98,$D101)</f>
        <v>37</v>
      </c>
      <c r="U99" s="7" cm="1">
        <f t="array" aca="1" ref="U99" ca="1">IF(INDIRECT("$D"&amp;(ROW(R99)+$F$1-1))=0,U98,$D102)</f>
        <v>36</v>
      </c>
      <c r="V99" s="7" cm="1">
        <f t="array" aca="1" ref="V99" ca="1">IF(INDIRECT("$D"&amp;(ROW(R99)+$F$1-1))=0,V98,$D103)</f>
        <v>35</v>
      </c>
      <c r="W99" s="7" cm="1">
        <f t="array" aca="1" ref="W99" ca="1">IF(INDIRECT("$D"&amp;(ROW(R99)+$F$1-1))=0,W98,$D104)</f>
        <v>0</v>
      </c>
      <c r="X99" s="7" t="str" cm="1">
        <f t="array" aca="1" ref="X99" ca="1">IF(INDIRECT("$D"&amp;(ROW(R99)+$F$1-1))=0,X97,$H99&amp;$N99&amp;$O99)</f>
        <v>5160</v>
      </c>
      <c r="Y99" s="7" t="str" cm="1">
        <f t="array" aca="1" ref="Y99" ca="1">IF(INDIRECT("$D"&amp;(ROW(R99)+$F$1-1))=0,Y98,H100&amp;$N100&amp;$O100)</f>
        <v>5530</v>
      </c>
      <c r="Z99" s="7" t="str" cm="1">
        <f t="array" aca="1" ref="Z99" ca="1">IF(INDIRECT("$D"&amp;(ROW(R99)+$F$1-1))=0,Z98,H101&amp;$N101&amp;$O101)</f>
        <v>6030</v>
      </c>
      <c r="AA99" s="7" t="str" cm="1">
        <f t="array" aca="1" ref="AA99" ca="1">IF(INDIRECT("$D"&amp;(ROW(R99)+$F$1-1))=0,AA98,H102&amp;$N102&amp;$O102)</f>
        <v>0000</v>
      </c>
      <c r="AB99" s="7" t="str" cm="1">
        <f t="array" aca="1" ref="AB99" ca="1">IF(INDIRECT("$D"&amp;(ROW(R99)+$F$1-1))=0,AB98,H103&amp;$N103&amp;$O103)</f>
        <v>0560</v>
      </c>
      <c r="AC99" s="7" t="str" cm="1">
        <f t="array" aca="1" ref="AC99" ca="1">IF(INDIRECT("$D"&amp;(ROW(R99)+$F$1-1))=0,AC98,H104&amp;$N104&amp;$O104)</f>
        <v>0000</v>
      </c>
      <c r="AD99" s="7" t="str" cm="1">
        <f t="array" aca="1" ref="AD99" ca="1">IF(INDIRECT("$D"&amp;(ROW(R99)+$F$1-1))=0,AD98,I99&amp;$P99&amp;$Q99)</f>
        <v>5130</v>
      </c>
      <c r="AE99" s="7" t="str" cm="1">
        <f t="array" aca="1" ref="AE99" ca="1">IF(INDIRECT("$D"&amp;(ROW(R99)+$F$1-1))=0,AE98,I100&amp;$P100&amp;$Q100)</f>
        <v>5660</v>
      </c>
      <c r="AF99" s="7" t="str" cm="1">
        <f t="array" aca="1" ref="AF99" ca="1">IF(INDIRECT("$D"&amp;(ROW(R99)+$F$1-1))=0,AF98,I101&amp;$P101&amp;$Q101)</f>
        <v>0160</v>
      </c>
      <c r="AG99" s="7" t="str" cm="1">
        <f t="array" aca="1" ref="AG99" ca="1">IF(INDIRECT("$D"&amp;(ROW(R99)+$F$1-1))=0,AG98,I102&amp;$P102&amp;$Q102)</f>
        <v>0000</v>
      </c>
      <c r="AH99" s="7" t="str" cm="1">
        <f t="array" aca="1" ref="AH99" ca="1">IF(INDIRECT("$D"&amp;(ROW(R99)+$F$1-1))=0,AH98,I103&amp;$P103&amp;$Q103)</f>
        <v>0000</v>
      </c>
      <c r="AI99" s="7" t="str" cm="1">
        <f t="array" aca="1" ref="AI99" ca="1">IF(INDIRECT("$D"&amp;(ROW(R99)+$F$1-1))=0,AI98,I104&amp;$P104&amp;$Q104)</f>
        <v>0000</v>
      </c>
      <c r="AJ99" s="7" t="str" cm="1">
        <f t="array" ref="AJ99">TEXT($D99,"000")&amp;TEXT(IFERROR(INDEX($D$5:$D$103,_xlfn.AGGREGATE(15,6,ROW($E$5:$E$103)/(($E$5:$E$103&lt;&gt;"p")*($E$5:$E$103&lt;&gt;"t")*(ROW($E$5:$E$103)&gt;ROW($E99))),1)-ROW($E$5)+1),$D99),"000")</f>
        <v>000000</v>
      </c>
      <c r="AK99" s="22">
        <f t="shared" si="8"/>
        <v>500</v>
      </c>
      <c r="AL99" s="22" cm="1">
        <f t="array" aca="1" ref="AL99" ca="1">IF(INDIRECT("$K"&amp;(ROW(R99)+$F$1-1))="TERMINAL",1000489,489)*SIGN(AK99)</f>
        <v>1000489</v>
      </c>
      <c r="AM99" s="7" cm="1">
        <f t="array" aca="1" ref="AM99" ca="1">IF(INDIRECT("$D"&amp;(ROW(R99)+$F$1-1))=0,AM98,$G99)</f>
        <v>8</v>
      </c>
      <c r="AN99" s="7" cm="1">
        <f t="array" aca="1" ref="AN99" ca="1">IF(INDIRECT("$D"&amp;(ROW(R99)+$F$1-1))=0,AN98,$G100)</f>
        <v>0</v>
      </c>
      <c r="AO99" s="7" cm="1">
        <f t="array" aca="1" ref="AO99" ca="1">IF(INDIRECT("$D"&amp;(ROW(R99)+$F$1-1))=0,AO98,$G101)</f>
        <v>0</v>
      </c>
      <c r="AP99" s="7" cm="1">
        <f t="array" aca="1" ref="AP99" ca="1">IF(INDIRECT("$D"&amp;(ROW(R99)+$F$1-1))=0,AP98,$G102)</f>
        <v>0</v>
      </c>
      <c r="AQ99" s="7" cm="1">
        <f t="array" aca="1" ref="AQ99" ca="1">IF(INDIRECT("$D"&amp;(ROW(R99)+$F$1-1))=0,AQ98,$G103)</f>
        <v>1</v>
      </c>
      <c r="AR99" s="7" cm="1">
        <f t="array" aca="1" ref="AR99" ca="1">IF(INDIRECT("$D"&amp;(ROW(R99)+$F$1-1))=0,AR98,$G104)</f>
        <v>0</v>
      </c>
      <c r="AS99" s="7" cm="1">
        <f t="array" aca="1" ref="AS99" ca="1">IF(INDIRECT("$D"&amp;(ROW(AS99)+$F$1-1))=0,AS98+4,1)</f>
        <v>305</v>
      </c>
      <c r="AT99" s="7" cm="1">
        <f t="array" aca="1" ref="AT99" ca="1">IF(INDIRECT("$D"&amp;(ROW(AT99)+$F$1-1))=0,AT98+4,2)</f>
        <v>306</v>
      </c>
      <c r="AU99" s="7" cm="1">
        <f t="array" aca="1" ref="AU99" ca="1">IF(INDIRECT("$D"&amp;(ROW(AU99)+$F$1-1))=0,AU98+4,3)</f>
        <v>307</v>
      </c>
      <c r="AV99" s="7" cm="1">
        <f t="array" aca="1" ref="AV99" ca="1">IF(INDIRECT("$D"&amp;(ROW(AV99)+$F$1-1))=0,AV98+4,4)</f>
        <v>308</v>
      </c>
      <c r="AW99" s="22" cm="1">
        <f t="array" aca="1" ref="AW99" ca="1">_xlfn.XLOOKUP(1,INDIRECT("J"&amp;ROW(K99)+$F$1):J$103,INDIRECT("D"&amp;ROW(K99)+$F$1):D$103,0,0,1)</f>
        <v>0</v>
      </c>
      <c r="AX99" s="22">
        <f t="shared" ca="1" si="9"/>
        <v>0</v>
      </c>
      <c r="AY99" s="22" cm="1">
        <f t="array" aca="1" ref="AY99" ca="1">_xlfn.XLOOKUP(AW99,D$4:D$110,H$4:H$110&amp;N$4:N$110&amp;O$4:O$110,0,0,1)</f>
        <v>0</v>
      </c>
      <c r="AZ99" s="22" cm="1">
        <f t="array" aca="1" ref="AZ99" ca="1">_xlfn.XLOOKUP(AW99,D$4:D$110,I$4:I$110&amp;P$4:P$110&amp;Q$4:Q$110,0,0,1)</f>
        <v>0</v>
      </c>
      <c r="BA99" s="14" cm="1">
        <f t="array" ref="BA99">_xlfn.XLOOKUP(1,J$4:J98,D$4:D98,0,0,-1)</f>
        <v>35</v>
      </c>
      <c r="BB99" s="14">
        <f t="shared" si="11"/>
        <v>1</v>
      </c>
      <c r="BC99" s="14" t="str" cm="1">
        <f t="array" ref="BC99">_xlfn.SWITCH(TRUE,_xlfn.XLOOKUP(BA99,D$4:D$110,TEXT(F$4:F$110,"HH"),0,0,1)="00",B97&amp;"",_xlfn.XLOOKUP(BA99,D$4:D$110,TEXT(F$4:F$110,"HH"),0,0,1)="T","00",TRUE,_xlfn.XLOOKUP(BA99,D$4:D$110,TEXT(F$4:F$110,"HH"),0,0,1))</f>
        <v>00</v>
      </c>
      <c r="BD99" s="14" t="str">
        <f t="shared" si="10"/>
        <v>000000</v>
      </c>
    </row>
    <row r="100" spans="1:56">
      <c r="A100" s="2">
        <v>97</v>
      </c>
      <c r="B100" s="5"/>
      <c r="C100" s="5"/>
      <c r="D100" s="5"/>
      <c r="E100" s="5"/>
      <c r="F100" s="5"/>
      <c r="G100" s="5"/>
      <c r="H100" s="5"/>
      <c r="I100" s="5"/>
      <c r="J100" s="5">
        <f t="shared" si="7"/>
        <v>0</v>
      </c>
      <c r="K100" s="7" t="str">
        <f t="shared" si="6"/>
        <v>terminal</v>
      </c>
      <c r="L100" s="7" t="str" cm="1">
        <f t="array" ref="L100">_xlfn.SWITCH(TRUE,$K100="PASS",TEXT($B$1,"0000"),AND($K100="STOP",E100=""),TEXT($D$1,"0000"),$K99="TERMINAL","0000",TRUE,TEXT(E100,"MMSS"))</f>
        <v>0000</v>
      </c>
      <c r="M100" s="7" t="str" cm="1">
        <f t="array" ref="M100">_xlfn.SWITCH(TRUE,$K100="PASS",TEXT($B$1,"0000"),AND($K100="STOP",F100=""),TEXT($D$1,"0000"),$K100="TERMINAL","0000",TRUE,TEXT(F100,"MMSS"))</f>
        <v>0000</v>
      </c>
      <c r="N100" t="str" cm="1">
        <f t="array" ref="N100">_xlfn.SWITCH(TRUE,AND(LEFT(L100,2)="00",K100="TERMINAL"),"00",E100="",TEXT(LEFT($D$1,2),"00"),LEFT(L100,2)="00",$D$2&amp;"",TRUE,LEFT(L100,2))</f>
        <v>00</v>
      </c>
      <c r="O100" t="str" cm="1">
        <f t="array" ref="O100">_xlfn.SWITCH(TRUE,AND(N100="00",RIGHT(L100,2)="00",K100="TERMINAL"),"00",OR(E100="",N100=LEFT($B$1,2)),TEXT(RIGHT($D$1,2),"00"),RIGHT(L100,2)="00",$D$2&amp;"",TRUE,RIGHT(L100,2))</f>
        <v>00</v>
      </c>
      <c r="P100" t="str" cm="1">
        <f t="array" ref="P100">_xlfn.SWITCH(TRUE,AND(LEFT(M100,2)="00",K100="TERMINAL"),"00",F100="",TEXT(LEFT($D$1,2),"00"),LEFT(M100,2)="00",$D$2&amp;"",TRUE,LEFT(M100,2))</f>
        <v>00</v>
      </c>
      <c r="Q100" t="str" cm="1">
        <f t="array" ref="Q100">_xlfn.SWITCH(TRUE,AND(RIGHT(M100,2)="00",K100="TERMINAL"),"00",F100="",TEXT(RIGHT($D$1,2),"00"),RIGHT(M100,2)="00",$D$2&amp;"",TRUE,RIGHT(M100,2))</f>
        <v>00</v>
      </c>
      <c r="R100" s="7" cm="1">
        <f t="array" aca="1" ref="R100" ca="1">IF(INDIRECT("$D"&amp;(ROW(R100)+$F$1-1))=0,R99,$D100)</f>
        <v>39</v>
      </c>
      <c r="S100" s="7" cm="1">
        <f t="array" aca="1" ref="S100" ca="1">IF(INDIRECT("$D"&amp;(ROW(R100)+$F$1-1))=0,S99,$D101)</f>
        <v>38</v>
      </c>
      <c r="T100" s="7" cm="1">
        <f t="array" aca="1" ref="T100" ca="1">IF(INDIRECT("$D"&amp;(ROW(R100)+$F$1-1))=0,T99,$D102)</f>
        <v>37</v>
      </c>
      <c r="U100" s="7" cm="1">
        <f t="array" aca="1" ref="U100" ca="1">IF(INDIRECT("$D"&amp;(ROW(R100)+$F$1-1))=0,U99,$D103)</f>
        <v>36</v>
      </c>
      <c r="V100" s="7" cm="1">
        <f t="array" aca="1" ref="V100" ca="1">IF(INDIRECT("$D"&amp;(ROW(R100)+$F$1-1))=0,V99,$D104)</f>
        <v>35</v>
      </c>
      <c r="W100" s="7" cm="1">
        <f t="array" aca="1" ref="W100" ca="1">IF(INDIRECT("$D"&amp;(ROW(R100)+$F$1-1))=0,W99,$D105)</f>
        <v>0</v>
      </c>
      <c r="X100" s="7" t="str" cm="1">
        <f t="array" aca="1" ref="X100" ca="1">IF(INDIRECT("$D"&amp;(ROW(R100)+$F$1-1))=0,X98,$H100&amp;$N100&amp;$O100)</f>
        <v>4630</v>
      </c>
      <c r="Y100" s="7" t="str" cm="1">
        <f t="array" aca="1" ref="Y100" ca="1">IF(INDIRECT("$D"&amp;(ROW(R100)+$F$1-1))=0,Y99,H101&amp;$N101&amp;$O101)</f>
        <v>5530</v>
      </c>
      <c r="Z100" s="7" t="str" cm="1">
        <f t="array" aca="1" ref="Z100" ca="1">IF(INDIRECT("$D"&amp;(ROW(R100)+$F$1-1))=0,Z99,H102&amp;$N102&amp;$O102)</f>
        <v>6030</v>
      </c>
      <c r="AA100" s="7" t="str" cm="1">
        <f t="array" aca="1" ref="AA100" ca="1">IF(INDIRECT("$D"&amp;(ROW(R100)+$F$1-1))=0,AA99,H103&amp;$N103&amp;$O103)</f>
        <v>0000</v>
      </c>
      <c r="AB100" s="7" t="str" cm="1">
        <f t="array" aca="1" ref="AB100" ca="1">IF(INDIRECT("$D"&amp;(ROW(R100)+$F$1-1))=0,AB99,H104&amp;$N104&amp;$O104)</f>
        <v>0560</v>
      </c>
      <c r="AC100" s="7" t="str" cm="1">
        <f t="array" aca="1" ref="AC100" ca="1">IF(INDIRECT("$D"&amp;(ROW(R100)+$F$1-1))=0,AC99,H105&amp;$N105&amp;$O105)</f>
        <v>0000</v>
      </c>
      <c r="AD100" s="7" t="str" cm="1">
        <f t="array" aca="1" ref="AD100" ca="1">IF(INDIRECT("$D"&amp;(ROW(R100)+$F$1-1))=0,AD99,I100&amp;$P100&amp;$Q100)</f>
        <v>5130</v>
      </c>
      <c r="AE100" s="7" t="str" cm="1">
        <f t="array" aca="1" ref="AE100" ca="1">IF(INDIRECT("$D"&amp;(ROW(R100)+$F$1-1))=0,AE99,I101&amp;$P101&amp;$Q101)</f>
        <v>5660</v>
      </c>
      <c r="AF100" s="7" t="str" cm="1">
        <f t="array" aca="1" ref="AF100" ca="1">IF(INDIRECT("$D"&amp;(ROW(R100)+$F$1-1))=0,AF99,I102&amp;$P102&amp;$Q102)</f>
        <v>0160</v>
      </c>
      <c r="AG100" s="7" t="str" cm="1">
        <f t="array" aca="1" ref="AG100" ca="1">IF(INDIRECT("$D"&amp;(ROW(R100)+$F$1-1))=0,AG99,I103&amp;$P103&amp;$Q103)</f>
        <v>0000</v>
      </c>
      <c r="AH100" s="7" t="str" cm="1">
        <f t="array" aca="1" ref="AH100" ca="1">IF(INDIRECT("$D"&amp;(ROW(R100)+$F$1-1))=0,AH99,I104&amp;$P104&amp;$Q104)</f>
        <v>0000</v>
      </c>
      <c r="AI100" s="7" t="str" cm="1">
        <f t="array" aca="1" ref="AI100" ca="1">IF(INDIRECT("$D"&amp;(ROW(R100)+$F$1-1))=0,AI99,I105&amp;$P105&amp;$Q105)</f>
        <v>0000</v>
      </c>
      <c r="AJ100" s="7" t="str" cm="1">
        <f t="array" ref="AJ100">TEXT($D100,"000")&amp;TEXT(IFERROR(INDEX($D$5:$D$103,_xlfn.AGGREGATE(15,6,ROW($E$5:$E$103)/(($E$5:$E$103&lt;&gt;"p")*($E$5:$E$103&lt;&gt;"t")*(ROW($E$5:$E$103)&gt;ROW($E100))),1)-ROW($E$5)+1),$D100),"000")</f>
        <v>000000</v>
      </c>
      <c r="AK100" s="22">
        <f t="shared" si="8"/>
        <v>500</v>
      </c>
      <c r="AL100" s="22" cm="1">
        <f t="array" aca="1" ref="AL100" ca="1">IF(INDIRECT("$K"&amp;(ROW(R100)+$F$1-1))="TERMINAL",1000489,489)*SIGN(AK100)</f>
        <v>1000489</v>
      </c>
      <c r="AM100" s="7" cm="1">
        <f t="array" aca="1" ref="AM100" ca="1">IF(INDIRECT("$D"&amp;(ROW(R100)+$F$1-1))=0,AM99,$G100)</f>
        <v>8</v>
      </c>
      <c r="AN100" s="7" cm="1">
        <f t="array" aca="1" ref="AN100" ca="1">IF(INDIRECT("$D"&amp;(ROW(R100)+$F$1-1))=0,AN99,$G101)</f>
        <v>0</v>
      </c>
      <c r="AO100" s="7" cm="1">
        <f t="array" aca="1" ref="AO100" ca="1">IF(INDIRECT("$D"&amp;(ROW(R100)+$F$1-1))=0,AO99,$G102)</f>
        <v>0</v>
      </c>
      <c r="AP100" s="7" cm="1">
        <f t="array" aca="1" ref="AP100" ca="1">IF(INDIRECT("$D"&amp;(ROW(R100)+$F$1-1))=0,AP99,$G103)</f>
        <v>0</v>
      </c>
      <c r="AQ100" s="7" cm="1">
        <f t="array" aca="1" ref="AQ100" ca="1">IF(INDIRECT("$D"&amp;(ROW(R100)+$F$1-1))=0,AQ99,$G104)</f>
        <v>1</v>
      </c>
      <c r="AR100" s="7" cm="1">
        <f t="array" aca="1" ref="AR100" ca="1">IF(INDIRECT("$D"&amp;(ROW(R100)+$F$1-1))=0,AR99,$G105)</f>
        <v>0</v>
      </c>
      <c r="AS100" s="7" cm="1">
        <f t="array" aca="1" ref="AS100" ca="1">IF(INDIRECT("$D"&amp;(ROW(AS100)+$F$1-1))=0,AS99+4,1)</f>
        <v>309</v>
      </c>
      <c r="AT100" s="7" cm="1">
        <f t="array" aca="1" ref="AT100" ca="1">IF(INDIRECT("$D"&amp;(ROW(AT100)+$F$1-1))=0,AT99+4,2)</f>
        <v>310</v>
      </c>
      <c r="AU100" s="7" cm="1">
        <f t="array" aca="1" ref="AU100" ca="1">IF(INDIRECT("$D"&amp;(ROW(AU100)+$F$1-1))=0,AU99+4,3)</f>
        <v>311</v>
      </c>
      <c r="AV100" s="7" cm="1">
        <f t="array" aca="1" ref="AV100" ca="1">IF(INDIRECT("$D"&amp;(ROW(AV100)+$F$1-1))=0,AV99+4,4)</f>
        <v>312</v>
      </c>
      <c r="AW100" s="22" cm="1">
        <f t="array" aca="1" ref="AW100" ca="1">_xlfn.XLOOKUP(1,INDIRECT("J"&amp;ROW(K100)+$F$1):J$103,INDIRECT("D"&amp;ROW(K100)+$F$1):D$103,0,0,1)</f>
        <v>0</v>
      </c>
      <c r="AX100" s="22">
        <f t="shared" ca="1" si="9"/>
        <v>0</v>
      </c>
      <c r="AY100" s="22" cm="1">
        <f t="array" aca="1" ref="AY100" ca="1">_xlfn.XLOOKUP(AW100,D$4:D$110,H$4:H$110&amp;N$4:N$110&amp;O$4:O$110,0,0,1)</f>
        <v>0</v>
      </c>
      <c r="AZ100" s="22" cm="1">
        <f t="array" aca="1" ref="AZ100" ca="1">_xlfn.XLOOKUP(AW100,D$4:D$110,I$4:I$110&amp;P$4:P$110&amp;Q$4:Q$110,0,0,1)</f>
        <v>0</v>
      </c>
      <c r="BA100" s="14" cm="1">
        <f t="array" ref="BA100">_xlfn.XLOOKUP(1,J$4:J99,D$4:D99,0,0,-1)</f>
        <v>35</v>
      </c>
      <c r="BB100" s="14">
        <f t="shared" si="11"/>
        <v>1</v>
      </c>
      <c r="BC100" s="14" t="str" cm="1">
        <f t="array" ref="BC100">_xlfn.SWITCH(TRUE,_xlfn.XLOOKUP(BA100,D$4:D$110,TEXT(F$4:F$110,"HH"),0,0,1)="00",B98&amp;"",_xlfn.XLOOKUP(BA100,D$4:D$110,TEXT(F$4:F$110,"HH"),0,0,1)="T","00",TRUE,_xlfn.XLOOKUP(BA100,D$4:D$110,TEXT(F$4:F$110,"HH"),0,0,1))</f>
        <v>00</v>
      </c>
      <c r="BD100" s="14" t="str">
        <f t="shared" si="10"/>
        <v>000000</v>
      </c>
    </row>
    <row r="101" spans="1:56">
      <c r="A101" s="2">
        <v>98</v>
      </c>
      <c r="B101" s="5"/>
      <c r="C101" s="5"/>
      <c r="D101" s="5"/>
      <c r="E101" s="5"/>
      <c r="F101" s="5"/>
      <c r="G101" s="5"/>
      <c r="H101" s="5"/>
      <c r="I101" s="5"/>
      <c r="J101" s="5">
        <f t="shared" si="7"/>
        <v>0</v>
      </c>
      <c r="K101" s="7" t="str">
        <f t="shared" si="6"/>
        <v>terminal</v>
      </c>
      <c r="L101" s="7" t="str" cm="1">
        <f t="array" ref="L101">_xlfn.SWITCH(TRUE,$K101="PASS",TEXT($B$1,"0000"),AND($K101="STOP",E101=""),TEXT($D$1,"0000"),$K100="TERMINAL","0000",TRUE,TEXT(E101,"MMSS"))</f>
        <v>0000</v>
      </c>
      <c r="M101" s="7" t="str" cm="1">
        <f t="array" ref="M101">_xlfn.SWITCH(TRUE,$K101="PASS",TEXT($B$1,"0000"),AND($K101="STOP",F101=""),TEXT($D$1,"0000"),$K101="TERMINAL","0000",TRUE,TEXT(F101,"MMSS"))</f>
        <v>0000</v>
      </c>
      <c r="N101" t="str" cm="1">
        <f t="array" ref="N101">_xlfn.SWITCH(TRUE,AND(LEFT(L101,2)="00",K101="TERMINAL"),"00",E101="",TEXT(LEFT($D$1,2),"00"),LEFT(L101,2)="00",$D$2&amp;"",TRUE,LEFT(L101,2))</f>
        <v>00</v>
      </c>
      <c r="O101" t="str" cm="1">
        <f t="array" ref="O101">_xlfn.SWITCH(TRUE,AND(N101="00",RIGHT(L101,2)="00",K101="TERMINAL"),"00",OR(E101="",N101=LEFT($B$1,2)),TEXT(RIGHT($D$1,2),"00"),RIGHT(L101,2)="00",$D$2&amp;"",TRUE,RIGHT(L101,2))</f>
        <v>00</v>
      </c>
      <c r="P101" t="str" cm="1">
        <f t="array" ref="P101">_xlfn.SWITCH(TRUE,AND(LEFT(M101,2)="00",K101="TERMINAL"),"00",F101="",TEXT(LEFT($D$1,2),"00"),LEFT(M101,2)="00",$D$2&amp;"",TRUE,LEFT(M101,2))</f>
        <v>00</v>
      </c>
      <c r="Q101" t="str" cm="1">
        <f t="array" ref="Q101">_xlfn.SWITCH(TRUE,AND(RIGHT(M101,2)="00",K101="TERMINAL"),"00",F101="",TEXT(RIGHT($D$1,2),"00"),RIGHT(M101,2)="00",$D$2&amp;"",TRUE,RIGHT(M101,2))</f>
        <v>00</v>
      </c>
      <c r="R101" s="7" cm="1">
        <f t="array" aca="1" ref="R101" ca="1">IF(INDIRECT("$D"&amp;(ROW(R101)+$F$1-1))=0,R100,$D101)</f>
        <v>39</v>
      </c>
      <c r="S101" s="7" cm="1">
        <f t="array" aca="1" ref="S101" ca="1">IF(INDIRECT("$D"&amp;(ROW(R101)+$F$1-1))=0,S100,$D102)</f>
        <v>38</v>
      </c>
      <c r="T101" s="7" cm="1">
        <f t="array" aca="1" ref="T101" ca="1">IF(INDIRECT("$D"&amp;(ROW(R101)+$F$1-1))=0,T100,$D103)</f>
        <v>37</v>
      </c>
      <c r="U101" s="7" cm="1">
        <f t="array" aca="1" ref="U101" ca="1">IF(INDIRECT("$D"&amp;(ROW(R101)+$F$1-1))=0,U100,$D104)</f>
        <v>36</v>
      </c>
      <c r="V101" s="7" cm="1">
        <f t="array" aca="1" ref="V101" ca="1">IF(INDIRECT("$D"&amp;(ROW(R101)+$F$1-1))=0,V100,$D105)</f>
        <v>35</v>
      </c>
      <c r="W101" s="7" cm="1">
        <f t="array" aca="1" ref="W101" ca="1">IF(INDIRECT("$D"&amp;(ROW(R101)+$F$1-1))=0,W100,$D106)</f>
        <v>0</v>
      </c>
      <c r="X101" s="7" t="str" cm="1">
        <f t="array" aca="1" ref="X101" ca="1">IF(INDIRECT("$D"&amp;(ROW(R101)+$F$1-1))=0,X99,$H101&amp;$N101&amp;$O101)</f>
        <v>5160</v>
      </c>
      <c r="Y101" s="7" t="str" cm="1">
        <f t="array" aca="1" ref="Y101" ca="1">IF(INDIRECT("$D"&amp;(ROW(R101)+$F$1-1))=0,Y100,H102&amp;$N102&amp;$O102)</f>
        <v>5530</v>
      </c>
      <c r="Z101" s="7" t="str" cm="1">
        <f t="array" aca="1" ref="Z101" ca="1">IF(INDIRECT("$D"&amp;(ROW(R101)+$F$1-1))=0,Z100,H103&amp;$N103&amp;$O103)</f>
        <v>6030</v>
      </c>
      <c r="AA101" s="7" t="str" cm="1">
        <f t="array" aca="1" ref="AA101" ca="1">IF(INDIRECT("$D"&amp;(ROW(R101)+$F$1-1))=0,AA100,H104&amp;$N104&amp;$O104)</f>
        <v>0000</v>
      </c>
      <c r="AB101" s="7" t="str" cm="1">
        <f t="array" aca="1" ref="AB101" ca="1">IF(INDIRECT("$D"&amp;(ROW(R101)+$F$1-1))=0,AB100,H105&amp;$N105&amp;$O105)</f>
        <v>0560</v>
      </c>
      <c r="AC101" s="7" t="str" cm="1">
        <f t="array" aca="1" ref="AC101" ca="1">IF(INDIRECT("$D"&amp;(ROW(R101)+$F$1-1))=0,AC100,H106&amp;$N106&amp;$O106)</f>
        <v>0000</v>
      </c>
      <c r="AD101" s="7" t="str" cm="1">
        <f t="array" aca="1" ref="AD101" ca="1">IF(INDIRECT("$D"&amp;(ROW(R101)+$F$1-1))=0,AD100,I101&amp;$P101&amp;$Q101)</f>
        <v>5130</v>
      </c>
      <c r="AE101" s="7" t="str" cm="1">
        <f t="array" aca="1" ref="AE101" ca="1">IF(INDIRECT("$D"&amp;(ROW(R101)+$F$1-1))=0,AE100,I102&amp;$P102&amp;$Q102)</f>
        <v>5660</v>
      </c>
      <c r="AF101" s="7" t="str" cm="1">
        <f t="array" aca="1" ref="AF101" ca="1">IF(INDIRECT("$D"&amp;(ROW(R101)+$F$1-1))=0,AF100,I103&amp;$P103&amp;$Q103)</f>
        <v>0160</v>
      </c>
      <c r="AG101" s="7" t="str" cm="1">
        <f t="array" aca="1" ref="AG101" ca="1">IF(INDIRECT("$D"&amp;(ROW(R101)+$F$1-1))=0,AG100,I104&amp;$P104&amp;$Q104)</f>
        <v>0000</v>
      </c>
      <c r="AH101" s="7" t="str" cm="1">
        <f t="array" aca="1" ref="AH101" ca="1">IF(INDIRECT("$D"&amp;(ROW(R101)+$F$1-1))=0,AH100,I105&amp;$P105&amp;$Q105)</f>
        <v>0000</v>
      </c>
      <c r="AI101" s="7" t="str" cm="1">
        <f t="array" aca="1" ref="AI101" ca="1">IF(INDIRECT("$D"&amp;(ROW(R101)+$F$1-1))=0,AI100,I106&amp;$P106&amp;$Q106)</f>
        <v>0000</v>
      </c>
      <c r="AJ101" s="7" t="str" cm="1">
        <f t="array" ref="AJ101">TEXT($D101,"000")&amp;TEXT(IFERROR(INDEX($D$5:$D$103,_xlfn.AGGREGATE(15,6,ROW($E$5:$E$103)/(($E$5:$E$103&lt;&gt;"p")*($E$5:$E$103&lt;&gt;"t")*(ROW($E$5:$E$103)&gt;ROW($E101))),1)-ROW($E$5)+1),$D101),"000")</f>
        <v>000000</v>
      </c>
      <c r="AK101" s="22">
        <f t="shared" si="8"/>
        <v>500</v>
      </c>
      <c r="AL101" s="22" cm="1">
        <f t="array" aca="1" ref="AL101" ca="1">IF(INDIRECT("$K"&amp;(ROW(R101)+$F$1-1))="TERMINAL",1000489,489)*SIGN(AK101)</f>
        <v>1000489</v>
      </c>
      <c r="AM101" s="7" cm="1">
        <f t="array" aca="1" ref="AM101" ca="1">IF(INDIRECT("$D"&amp;(ROW(R101)+$F$1-1))=0,AM100,$G101)</f>
        <v>8</v>
      </c>
      <c r="AN101" s="7" cm="1">
        <f t="array" aca="1" ref="AN101" ca="1">IF(INDIRECT("$D"&amp;(ROW(R101)+$F$1-1))=0,AN100,$G102)</f>
        <v>0</v>
      </c>
      <c r="AO101" s="7" cm="1">
        <f t="array" aca="1" ref="AO101" ca="1">IF(INDIRECT("$D"&amp;(ROW(R101)+$F$1-1))=0,AO100,$G103)</f>
        <v>0</v>
      </c>
      <c r="AP101" s="7" cm="1">
        <f t="array" aca="1" ref="AP101" ca="1">IF(INDIRECT("$D"&amp;(ROW(R101)+$F$1-1))=0,AP100,$G104)</f>
        <v>0</v>
      </c>
      <c r="AQ101" s="7" cm="1">
        <f t="array" aca="1" ref="AQ101" ca="1">IF(INDIRECT("$D"&amp;(ROW(R101)+$F$1-1))=0,AQ100,$G105)</f>
        <v>1</v>
      </c>
      <c r="AR101" s="7" cm="1">
        <f t="array" aca="1" ref="AR101" ca="1">IF(INDIRECT("$D"&amp;(ROW(R101)+$F$1-1))=0,AR100,$G106)</f>
        <v>0</v>
      </c>
      <c r="AS101" s="7" cm="1">
        <f t="array" aca="1" ref="AS101" ca="1">IF(INDIRECT("$D"&amp;(ROW(AS101)+$F$1-1))=0,AS100+4,1)</f>
        <v>313</v>
      </c>
      <c r="AT101" s="7" cm="1">
        <f t="array" aca="1" ref="AT101" ca="1">IF(INDIRECT("$D"&amp;(ROW(AT101)+$F$1-1))=0,AT100+4,2)</f>
        <v>314</v>
      </c>
      <c r="AU101" s="7" cm="1">
        <f t="array" aca="1" ref="AU101" ca="1">IF(INDIRECT("$D"&amp;(ROW(AU101)+$F$1-1))=0,AU100+4,3)</f>
        <v>315</v>
      </c>
      <c r="AV101" s="7" cm="1">
        <f t="array" aca="1" ref="AV101" ca="1">IF(INDIRECT("$D"&amp;(ROW(AV101)+$F$1-1))=0,AV100+4,4)</f>
        <v>316</v>
      </c>
      <c r="AW101" s="22" cm="1">
        <f t="array" aca="1" ref="AW101" ca="1">_xlfn.XLOOKUP(1,INDIRECT("J"&amp;ROW(K101)+$F$1):J$103,INDIRECT("D"&amp;ROW(K101)+$F$1):D$103,0,0,1)</f>
        <v>0</v>
      </c>
      <c r="AX101" s="22">
        <f t="shared" ca="1" si="9"/>
        <v>0</v>
      </c>
      <c r="AY101" s="22" cm="1">
        <f t="array" aca="1" ref="AY101" ca="1">_xlfn.XLOOKUP(AW101,D$4:D$110,H$4:H$110&amp;N$4:N$110&amp;O$4:O$110,0,0,1)</f>
        <v>0</v>
      </c>
      <c r="AZ101" s="22" cm="1">
        <f t="array" aca="1" ref="AZ101" ca="1">_xlfn.XLOOKUP(AW101,D$4:D$110,I$4:I$110&amp;P$4:P$110&amp;Q$4:Q$110,0,0,1)</f>
        <v>0</v>
      </c>
      <c r="BA101" s="14" cm="1">
        <f t="array" ref="BA101">_xlfn.XLOOKUP(1,J$4:J100,D$4:D100,0,0,-1)</f>
        <v>35</v>
      </c>
      <c r="BB101" s="14">
        <f t="shared" si="11"/>
        <v>1</v>
      </c>
      <c r="BC101" s="14" t="str" cm="1">
        <f t="array" ref="BC101">_xlfn.SWITCH(TRUE,_xlfn.XLOOKUP(BA101,D$4:D$110,TEXT(F$4:F$110,"HH"),0,0,1)="00",B99&amp;"",_xlfn.XLOOKUP(BA101,D$4:D$110,TEXT(F$4:F$110,"HH"),0,0,1)="T","00",TRUE,_xlfn.XLOOKUP(BA101,D$4:D$110,TEXT(F$4:F$110,"HH"),0,0,1))</f>
        <v>00</v>
      </c>
      <c r="BD101" s="14" t="str">
        <f t="shared" si="10"/>
        <v>000000</v>
      </c>
    </row>
    <row r="102" spans="1:56">
      <c r="A102" s="2">
        <v>99</v>
      </c>
      <c r="B102" s="5"/>
      <c r="C102" s="5"/>
      <c r="D102" s="5"/>
      <c r="E102" s="5"/>
      <c r="F102" s="5"/>
      <c r="G102" s="5"/>
      <c r="H102" s="5"/>
      <c r="I102" s="5"/>
      <c r="J102" s="5">
        <f t="shared" si="7"/>
        <v>0</v>
      </c>
      <c r="K102" s="7" t="str">
        <f t="shared" si="6"/>
        <v>terminal</v>
      </c>
      <c r="L102" s="7" t="str" cm="1">
        <f t="array" ref="L102">_xlfn.SWITCH(TRUE,$K102="PASS",TEXT($B$1,"0000"),AND($K102="STOP",E102=""),TEXT($D$1,"0000"),$K101="TERMINAL","0000",TRUE,TEXT(E102,"MMSS"))</f>
        <v>0000</v>
      </c>
      <c r="M102" s="7" t="str" cm="1">
        <f t="array" ref="M102">_xlfn.SWITCH(TRUE,$K102="PASS",TEXT($B$1,"0000"),AND($K102="STOP",F102=""),TEXT($D$1,"0000"),$K102="TERMINAL","0000",TRUE,TEXT(F102,"MMSS"))</f>
        <v>0000</v>
      </c>
      <c r="N102" t="str" cm="1">
        <f t="array" ref="N102">_xlfn.SWITCH(TRUE,AND(LEFT(L102,2)="00",K102="TERMINAL"),"00",E102="",TEXT(LEFT($D$1,2),"00"),LEFT(L102,2)="00",$D$2&amp;"",TRUE,LEFT(L102,2))</f>
        <v>00</v>
      </c>
      <c r="O102" t="str" cm="1">
        <f t="array" ref="O102">_xlfn.SWITCH(TRUE,AND(N102="00",RIGHT(L102,2)="00",K102="TERMINAL"),"00",OR(E102="",N102=LEFT($B$1,2)),TEXT(RIGHT($D$1,2),"00"),RIGHT(L102,2)="00",$D$2&amp;"",TRUE,RIGHT(L102,2))</f>
        <v>00</v>
      </c>
      <c r="P102" t="str" cm="1">
        <f t="array" ref="P102">_xlfn.SWITCH(TRUE,AND(LEFT(M102,2)="00",K102="TERMINAL"),"00",F102="",TEXT(LEFT($D$1,2),"00"),LEFT(M102,2)="00",$D$2&amp;"",TRUE,LEFT(M102,2))</f>
        <v>00</v>
      </c>
      <c r="Q102" t="str" cm="1">
        <f t="array" ref="Q102">_xlfn.SWITCH(TRUE,AND(RIGHT(M102,2)="00",K102="TERMINAL"),"00",F102="",TEXT(RIGHT($D$1,2),"00"),RIGHT(M102,2)="00",$D$2&amp;"",TRUE,RIGHT(M102,2))</f>
        <v>00</v>
      </c>
      <c r="R102" s="7" cm="1">
        <f t="array" aca="1" ref="R102" ca="1">IF(INDIRECT("$D"&amp;(ROW(R102)+$F$1-1))=0,R101,$D102)</f>
        <v>39</v>
      </c>
      <c r="S102" s="7" cm="1">
        <f t="array" aca="1" ref="S102" ca="1">IF(INDIRECT("$D"&amp;(ROW(R102)+$F$1-1))=0,S101,$D103)</f>
        <v>38</v>
      </c>
      <c r="T102" s="7" cm="1">
        <f t="array" aca="1" ref="T102" ca="1">IF(INDIRECT("$D"&amp;(ROW(R102)+$F$1-1))=0,T101,$D104)</f>
        <v>37</v>
      </c>
      <c r="U102" s="7" cm="1">
        <f t="array" aca="1" ref="U102" ca="1">IF(INDIRECT("$D"&amp;(ROW(R102)+$F$1-1))=0,U101,$D105)</f>
        <v>36</v>
      </c>
      <c r="V102" s="7" cm="1">
        <f t="array" aca="1" ref="V102" ca="1">IF(INDIRECT("$D"&amp;(ROW(R102)+$F$1-1))=0,V101,$D106)</f>
        <v>35</v>
      </c>
      <c r="W102" s="7" cm="1">
        <f t="array" aca="1" ref="W102" ca="1">IF(INDIRECT("$D"&amp;(ROW(R102)+$F$1-1))=0,W101,$D107)</f>
        <v>0</v>
      </c>
      <c r="X102" s="7" t="str" cm="1">
        <f t="array" aca="1" ref="X102" ca="1">IF(INDIRECT("$D"&amp;(ROW(R102)+$F$1-1))=0,X100,$H102&amp;$N102&amp;$O102)</f>
        <v>4630</v>
      </c>
      <c r="Y102" s="7" t="str" cm="1">
        <f t="array" aca="1" ref="Y102" ca="1">IF(INDIRECT("$D"&amp;(ROW(R102)+$F$1-1))=0,Y101,H103&amp;$N103&amp;$O103)</f>
        <v>5530</v>
      </c>
      <c r="Z102" s="7" t="str" cm="1">
        <f t="array" aca="1" ref="Z102" ca="1">IF(INDIRECT("$D"&amp;(ROW(R102)+$F$1-1))=0,Z101,H104&amp;$N104&amp;$O104)</f>
        <v>6030</v>
      </c>
      <c r="AA102" s="7" t="str" cm="1">
        <f t="array" aca="1" ref="AA102" ca="1">IF(INDIRECT("$D"&amp;(ROW(R102)+$F$1-1))=0,AA101,H105&amp;$N105&amp;$O105)</f>
        <v>0000</v>
      </c>
      <c r="AB102" s="7" t="str" cm="1">
        <f t="array" aca="1" ref="AB102" ca="1">IF(INDIRECT("$D"&amp;(ROW(R102)+$F$1-1))=0,AB101,H106&amp;$N106&amp;$O106)</f>
        <v>0560</v>
      </c>
      <c r="AC102" s="7" t="str" cm="1">
        <f t="array" aca="1" ref="AC102" ca="1">IF(INDIRECT("$D"&amp;(ROW(R102)+$F$1-1))=0,AC101,H107&amp;$N107&amp;$O107)</f>
        <v>0000</v>
      </c>
      <c r="AD102" s="7" t="str" cm="1">
        <f t="array" aca="1" ref="AD102" ca="1">IF(INDIRECT("$D"&amp;(ROW(R102)+$F$1-1))=0,AD101,I102&amp;$P102&amp;$Q102)</f>
        <v>5130</v>
      </c>
      <c r="AE102" s="7" t="str" cm="1">
        <f t="array" aca="1" ref="AE102" ca="1">IF(INDIRECT("$D"&amp;(ROW(R102)+$F$1-1))=0,AE101,I103&amp;$P103&amp;$Q103)</f>
        <v>5660</v>
      </c>
      <c r="AF102" s="7" t="str" cm="1">
        <f t="array" aca="1" ref="AF102" ca="1">IF(INDIRECT("$D"&amp;(ROW(R102)+$F$1-1))=0,AF101,I104&amp;$P104&amp;$Q104)</f>
        <v>0160</v>
      </c>
      <c r="AG102" s="7" t="str" cm="1">
        <f t="array" aca="1" ref="AG102" ca="1">IF(INDIRECT("$D"&amp;(ROW(R102)+$F$1-1))=0,AG101,I105&amp;$P105&amp;$Q105)</f>
        <v>0000</v>
      </c>
      <c r="AH102" s="7" t="str" cm="1">
        <f t="array" aca="1" ref="AH102" ca="1">IF(INDIRECT("$D"&amp;(ROW(R102)+$F$1-1))=0,AH101,I106&amp;$P106&amp;$Q106)</f>
        <v>0000</v>
      </c>
      <c r="AI102" s="7" t="str" cm="1">
        <f t="array" aca="1" ref="AI102" ca="1">IF(INDIRECT("$D"&amp;(ROW(R102)+$F$1-1))=0,AI101,I107&amp;$P107&amp;$Q107)</f>
        <v>0000</v>
      </c>
      <c r="AJ102" s="7" t="str" cm="1">
        <f t="array" ref="AJ102">TEXT($D102,"000")&amp;TEXT(IFERROR(INDEX($D$5:$D$103,_xlfn.AGGREGATE(15,6,ROW($E$5:$E$103)/(($E$5:$E$103&lt;&gt;"p")*($E$5:$E$103&lt;&gt;"t")*(ROW($E$5:$E$103)&gt;ROW($E102))),1)-ROW($E$5)+1),$D102),"000")</f>
        <v>000000</v>
      </c>
      <c r="AK102" s="22">
        <f t="shared" si="8"/>
        <v>500</v>
      </c>
      <c r="AL102" s="22" cm="1">
        <f t="array" aca="1" ref="AL102" ca="1">IF(INDIRECT("$K"&amp;(ROW(R102)+$F$1-1))="TERMINAL",1000489,489)*SIGN(AK102)</f>
        <v>1000489</v>
      </c>
      <c r="AM102" s="7" cm="1">
        <f t="array" aca="1" ref="AM102" ca="1">IF(INDIRECT("$D"&amp;(ROW(R102)+$F$1-1))=0,AM101,$G102)</f>
        <v>8</v>
      </c>
      <c r="AN102" s="7" cm="1">
        <f t="array" aca="1" ref="AN102" ca="1">IF(INDIRECT("$D"&amp;(ROW(R102)+$F$1-1))=0,AN101,$G103)</f>
        <v>0</v>
      </c>
      <c r="AO102" s="7" cm="1">
        <f t="array" aca="1" ref="AO102" ca="1">IF(INDIRECT("$D"&amp;(ROW(R102)+$F$1-1))=0,AO101,$G104)</f>
        <v>0</v>
      </c>
      <c r="AP102" s="7" cm="1">
        <f t="array" aca="1" ref="AP102" ca="1">IF(INDIRECT("$D"&amp;(ROW(R102)+$F$1-1))=0,AP101,$G105)</f>
        <v>0</v>
      </c>
      <c r="AQ102" s="7" cm="1">
        <f t="array" aca="1" ref="AQ102" ca="1">IF(INDIRECT("$D"&amp;(ROW(R102)+$F$1-1))=0,AQ101,$G106)</f>
        <v>1</v>
      </c>
      <c r="AR102" s="7" cm="1">
        <f t="array" aca="1" ref="AR102" ca="1">IF(INDIRECT("$D"&amp;(ROW(R102)+$F$1-1))=0,AR101,$G107)</f>
        <v>0</v>
      </c>
      <c r="AS102" s="7" cm="1">
        <f t="array" aca="1" ref="AS102" ca="1">IF(INDIRECT("$D"&amp;(ROW(AS102)+$F$1-1))=0,AS101+4,1)</f>
        <v>317</v>
      </c>
      <c r="AT102" s="7" cm="1">
        <f t="array" aca="1" ref="AT102" ca="1">IF(INDIRECT("$D"&amp;(ROW(AT102)+$F$1-1))=0,AT101+4,2)</f>
        <v>318</v>
      </c>
      <c r="AU102" s="7" cm="1">
        <f t="array" aca="1" ref="AU102" ca="1">IF(INDIRECT("$D"&amp;(ROW(AU102)+$F$1-1))=0,AU101+4,3)</f>
        <v>319</v>
      </c>
      <c r="AV102" s="7" cm="1">
        <f t="array" aca="1" ref="AV102" ca="1">IF(INDIRECT("$D"&amp;(ROW(AV102)+$F$1-1))=0,AV101+4,4)</f>
        <v>320</v>
      </c>
      <c r="AW102" s="22" cm="1">
        <f t="array" aca="1" ref="AW102" ca="1">_xlfn.XLOOKUP(1,INDIRECT("J"&amp;ROW(K102)+$F$1):J$103,INDIRECT("D"&amp;ROW(K102)+$F$1):D$103,0,0,1)</f>
        <v>0</v>
      </c>
      <c r="AX102" s="22">
        <f t="shared" ca="1" si="9"/>
        <v>0</v>
      </c>
      <c r="AY102" s="22" cm="1">
        <f t="array" aca="1" ref="AY102" ca="1">_xlfn.XLOOKUP(AW102,D$4:D$110,H$4:H$110&amp;N$4:N$110&amp;O$4:O$110,0,0,1)</f>
        <v>0</v>
      </c>
      <c r="AZ102" s="22" cm="1">
        <f t="array" aca="1" ref="AZ102" ca="1">_xlfn.XLOOKUP(AW102,D$4:D$110,I$4:I$110&amp;P$4:P$110&amp;Q$4:Q$110,0,0,1)</f>
        <v>0</v>
      </c>
      <c r="BA102" s="14" cm="1">
        <f t="array" ref="BA102">_xlfn.XLOOKUP(1,J$4:J101,D$4:D101,0,0,-1)</f>
        <v>35</v>
      </c>
      <c r="BB102" s="14">
        <f t="shared" si="11"/>
        <v>1</v>
      </c>
      <c r="BC102" s="14" t="str" cm="1">
        <f t="array" ref="BC102">_xlfn.SWITCH(TRUE,_xlfn.XLOOKUP(BA102,D$4:D$110,TEXT(F$4:F$110,"HH"),0,0,1)="00",B100&amp;"",_xlfn.XLOOKUP(BA102,D$4:D$110,TEXT(F$4:F$110,"HH"),0,0,1)="T","00",TRUE,_xlfn.XLOOKUP(BA102,D$4:D$110,TEXT(F$4:F$110,"HH"),0,0,1))</f>
        <v>00</v>
      </c>
      <c r="BD102" s="14" t="str">
        <f t="shared" si="10"/>
        <v>000000</v>
      </c>
    </row>
    <row r="103" spans="1:56">
      <c r="A103" s="2">
        <v>100</v>
      </c>
      <c r="B103" s="5"/>
      <c r="C103" s="5"/>
      <c r="D103" s="5"/>
      <c r="E103" s="5"/>
      <c r="F103" s="5"/>
      <c r="G103" s="5"/>
      <c r="H103" s="5"/>
      <c r="I103" s="5"/>
      <c r="J103" s="5">
        <f t="shared" si="7"/>
        <v>0</v>
      </c>
      <c r="K103" s="7" t="str">
        <f t="shared" si="6"/>
        <v>terminal</v>
      </c>
      <c r="L103" s="7" t="str" cm="1">
        <f t="array" ref="L103">_xlfn.SWITCH(TRUE,$K103="PASS",TEXT($B$1,"0000"),AND($K103="STOP",E103=""),TEXT($D$1,"0000"),$K102="TERMINAL","0000",TRUE,TEXT(E103,"MMSS"))</f>
        <v>0000</v>
      </c>
      <c r="M103" s="7" t="str" cm="1">
        <f t="array" ref="M103">_xlfn.SWITCH(TRUE,$K103="PASS",TEXT($B$1,"0000"),AND($K103="STOP",F103=""),TEXT($D$1,"0000"),$K103="TERMINAL","0000",TRUE,TEXT(F103,"MMSS"))</f>
        <v>0000</v>
      </c>
      <c r="N103" t="str" cm="1">
        <f t="array" ref="N103">_xlfn.SWITCH(TRUE,AND(LEFT(L103,2)="00",K103="TERMINAL"),"00",E103="",TEXT(LEFT($D$1,2),"00"),LEFT(L103,2)="00",$D$2&amp;"",TRUE,LEFT(L103,2))</f>
        <v>00</v>
      </c>
      <c r="O103" t="str" cm="1">
        <f t="array" ref="O103">_xlfn.SWITCH(TRUE,AND(N103="00",RIGHT(L103,2)="00",K103="TERMINAL"),"00",OR(E103="",N103=LEFT($B$1,2)),TEXT(RIGHT($D$1,2),"00"),RIGHT(L103,2)="00",$D$2&amp;"",TRUE,RIGHT(L103,2))</f>
        <v>00</v>
      </c>
      <c r="P103" t="str" cm="1">
        <f t="array" ref="P103">_xlfn.SWITCH(TRUE,AND(LEFT(M103,2)="00",K103="TERMINAL"),"00",F103="",TEXT(LEFT($D$1,2),"00"),LEFT(M103,2)="00",$D$2&amp;"",TRUE,LEFT(M103,2))</f>
        <v>00</v>
      </c>
      <c r="Q103" t="str" cm="1">
        <f t="array" ref="Q103">_xlfn.SWITCH(TRUE,AND(RIGHT(M103,2)="00",K103="TERMINAL"),"00",F103="",TEXT(RIGHT($D$1,2),"00"),RIGHT(M103,2)="00",$D$2&amp;"",TRUE,RIGHT(M103,2))</f>
        <v>00</v>
      </c>
      <c r="R103" s="7" cm="1">
        <f t="array" aca="1" ref="R103" ca="1">IF(INDIRECT("$D"&amp;(ROW(R103)+$F$1-1))=0,R102,$D103)</f>
        <v>39</v>
      </c>
      <c r="S103" s="7" cm="1">
        <f t="array" aca="1" ref="S103" ca="1">IF(INDIRECT("$D"&amp;(ROW(R103)+$F$1-1))=0,S102,$D104)</f>
        <v>38</v>
      </c>
      <c r="T103" s="7" cm="1">
        <f t="array" aca="1" ref="T103" ca="1">IF(INDIRECT("$D"&amp;(ROW(R103)+$F$1-1))=0,T102,$D105)</f>
        <v>37</v>
      </c>
      <c r="U103" s="7" cm="1">
        <f t="array" aca="1" ref="U103" ca="1">IF(INDIRECT("$D"&amp;(ROW(R103)+$F$1-1))=0,U102,$D106)</f>
        <v>36</v>
      </c>
      <c r="V103" s="7" cm="1">
        <f t="array" aca="1" ref="V103" ca="1">IF(INDIRECT("$D"&amp;(ROW(R103)+$F$1-1))=0,V102,$D107)</f>
        <v>35</v>
      </c>
      <c r="W103" s="7" cm="1">
        <f t="array" aca="1" ref="W103" ca="1">IF(INDIRECT("$D"&amp;(ROW(R103)+$F$1-1))=0,W102,$D108)</f>
        <v>0</v>
      </c>
      <c r="X103" s="7" t="str" cm="1">
        <f t="array" aca="1" ref="X103" ca="1">IF(INDIRECT("$D"&amp;(ROW(R103)+$F$1-1))=0,X101,$H103&amp;$N103&amp;$O103)</f>
        <v>5160</v>
      </c>
      <c r="Y103" s="7" t="str" cm="1">
        <f t="array" aca="1" ref="Y103" ca="1">IF(INDIRECT("$D"&amp;(ROW(R103)+$F$1-1))=0,Y102,H104&amp;$N104&amp;$O104)</f>
        <v>5530</v>
      </c>
      <c r="Z103" s="7" t="str" cm="1">
        <f t="array" aca="1" ref="Z103" ca="1">IF(INDIRECT("$D"&amp;(ROW(R103)+$F$1-1))=0,Z102,H105&amp;$N105&amp;$O105)</f>
        <v>6030</v>
      </c>
      <c r="AA103" s="7" t="str" cm="1">
        <f t="array" aca="1" ref="AA103" ca="1">IF(INDIRECT("$D"&amp;(ROW(R103)+$F$1-1))=0,AA102,H106&amp;$N106&amp;$O106)</f>
        <v>0000</v>
      </c>
      <c r="AB103" s="7" t="str" cm="1">
        <f t="array" aca="1" ref="AB103" ca="1">IF(INDIRECT("$D"&amp;(ROW(R103)+$F$1-1))=0,AB102,H107&amp;$N107&amp;$O107)</f>
        <v>0560</v>
      </c>
      <c r="AC103" s="7" t="str" cm="1">
        <f t="array" aca="1" ref="AC103" ca="1">IF(INDIRECT("$D"&amp;(ROW(R103)+$F$1-1))=0,AC102,H108&amp;$N108&amp;$O108)</f>
        <v>0000</v>
      </c>
      <c r="AD103" s="7" t="str" cm="1">
        <f t="array" aca="1" ref="AD103" ca="1">IF(INDIRECT("$D"&amp;(ROW(R103)+$F$1-1))=0,AD102,I103&amp;$P103&amp;$Q103)</f>
        <v>5130</v>
      </c>
      <c r="AE103" s="7" t="str" cm="1">
        <f t="array" aca="1" ref="AE103" ca="1">IF(INDIRECT("$D"&amp;(ROW(R103)+$F$1-1))=0,AE102,I104&amp;$P104&amp;$Q104)</f>
        <v>5660</v>
      </c>
      <c r="AF103" s="7" t="str" cm="1">
        <f t="array" aca="1" ref="AF103" ca="1">IF(INDIRECT("$D"&amp;(ROW(R103)+$F$1-1))=0,AF102,I105&amp;$P105&amp;$Q105)</f>
        <v>0160</v>
      </c>
      <c r="AG103" s="7" t="str" cm="1">
        <f t="array" aca="1" ref="AG103" ca="1">IF(INDIRECT("$D"&amp;(ROW(R103)+$F$1-1))=0,AG102,I106&amp;$P106&amp;$Q106)</f>
        <v>0000</v>
      </c>
      <c r="AH103" s="7" t="str" cm="1">
        <f t="array" aca="1" ref="AH103" ca="1">IF(INDIRECT("$D"&amp;(ROW(R103)+$F$1-1))=0,AH102,I107&amp;$P107&amp;$Q107)</f>
        <v>0000</v>
      </c>
      <c r="AI103" s="7" t="str" cm="1">
        <f t="array" aca="1" ref="AI103" ca="1">IF(INDIRECT("$D"&amp;(ROW(R103)+$F$1-1))=0,AI102,I108&amp;$P108&amp;$Q108)</f>
        <v>0000</v>
      </c>
      <c r="AJ103" s="7" t="str" cm="1">
        <f t="array" ref="AJ103">TEXT($D103,"000")&amp;TEXT(IFERROR(INDEX($D$5:$D$103,_xlfn.AGGREGATE(15,6,ROW($E$5:$E$103)/(($E$5:$E$103&lt;&gt;"p")*($E$5:$E$103&lt;&gt;"t")*(ROW($E$5:$E$103)&gt;ROW($E103))),1)-ROW($E$5)+1),$D103),"000")</f>
        <v>000000</v>
      </c>
      <c r="AK103" s="22">
        <f t="shared" si="8"/>
        <v>500</v>
      </c>
      <c r="AL103" s="22" cm="1">
        <f t="array" aca="1" ref="AL103" ca="1">IF(INDIRECT("$K"&amp;(ROW(R103)+$F$1-1))="TERMINAL",1000489,489)*SIGN(AK103)</f>
        <v>1000489</v>
      </c>
      <c r="AM103" s="7" cm="1">
        <f t="array" aca="1" ref="AM103" ca="1">IF(INDIRECT("$D"&amp;(ROW(R103)+$F$1-1))=0,AM102,$G103)</f>
        <v>8</v>
      </c>
      <c r="AN103" s="7" cm="1">
        <f t="array" aca="1" ref="AN103" ca="1">IF(INDIRECT("$D"&amp;(ROW(R103)+$F$1-1))=0,AN102,$G104)</f>
        <v>0</v>
      </c>
      <c r="AO103" s="7" cm="1">
        <f t="array" aca="1" ref="AO103" ca="1">IF(INDIRECT("$D"&amp;(ROW(R103)+$F$1-1))=0,AO102,$G105)</f>
        <v>0</v>
      </c>
      <c r="AP103" s="7" cm="1">
        <f t="array" aca="1" ref="AP103" ca="1">IF(INDIRECT("$D"&amp;(ROW(R103)+$F$1-1))=0,AP102,$G106)</f>
        <v>0</v>
      </c>
      <c r="AQ103" s="7" cm="1">
        <f t="array" aca="1" ref="AQ103" ca="1">IF(INDIRECT("$D"&amp;(ROW(R103)+$F$1-1))=0,AQ102,$G107)</f>
        <v>1</v>
      </c>
      <c r="AR103" s="7" cm="1">
        <f t="array" aca="1" ref="AR103" ca="1">IF(INDIRECT("$D"&amp;(ROW(R103)+$F$1-1))=0,AR102,$G108)</f>
        <v>0</v>
      </c>
      <c r="AS103" s="7" cm="1">
        <f t="array" aca="1" ref="AS103" ca="1">IF(INDIRECT("$D"&amp;(ROW(AS103)+$F$1-1))=0,AS102+4,1)</f>
        <v>321</v>
      </c>
      <c r="AT103" s="7" cm="1">
        <f t="array" aca="1" ref="AT103" ca="1">IF(INDIRECT("$D"&amp;(ROW(AT103)+$F$1-1))=0,AT102+4,2)</f>
        <v>322</v>
      </c>
      <c r="AU103" s="7" cm="1">
        <f t="array" aca="1" ref="AU103" ca="1">IF(INDIRECT("$D"&amp;(ROW(AU103)+$F$1-1))=0,AU102+4,3)</f>
        <v>323</v>
      </c>
      <c r="AV103" s="7" cm="1">
        <f t="array" aca="1" ref="AV103" ca="1">IF(INDIRECT("$D"&amp;(ROW(AV103)+$F$1-1))=0,AV102+4,4)</f>
        <v>324</v>
      </c>
      <c r="AW103" s="22" cm="1">
        <f t="array" aca="1" ref="AW103" ca="1">_xlfn.XLOOKUP(1,INDIRECT("J"&amp;ROW(K103)+$F$1):J$103,INDIRECT("D"&amp;ROW(K103)+$F$1):D$103,0,0,1)</f>
        <v>0</v>
      </c>
      <c r="AX103" s="22">
        <f t="shared" ca="1" si="9"/>
        <v>0</v>
      </c>
      <c r="AY103" s="22" cm="1">
        <f t="array" aca="1" ref="AY103" ca="1">_xlfn.XLOOKUP(AW103,D$4:D$110,H$4:H$110&amp;N$4:N$110&amp;O$4:O$110,0,0,1)</f>
        <v>0</v>
      </c>
      <c r="AZ103" s="22" cm="1">
        <f t="array" aca="1" ref="AZ103" ca="1">_xlfn.XLOOKUP(AW103,D$4:D$110,I$4:I$110&amp;P$4:P$110&amp;Q$4:Q$110,0,0,1)</f>
        <v>0</v>
      </c>
      <c r="BA103" s="14" cm="1">
        <f t="array" ref="BA103">_xlfn.XLOOKUP(1,J$4:J102,D$4:D102,0,0,-1)</f>
        <v>35</v>
      </c>
      <c r="BB103" s="14">
        <f t="shared" si="11"/>
        <v>1</v>
      </c>
      <c r="BC103" s="14" t="str" cm="1">
        <f t="array" ref="BC103">_xlfn.SWITCH(TRUE,_xlfn.XLOOKUP(BA103,D$4:D$110,TEXT(F$4:F$110,"HH"),0,0,1)="00",B101&amp;"",_xlfn.XLOOKUP(BA103,D$4:D$110,TEXT(F$4:F$110,"HH"),0,0,1)="T","00",TRUE,_xlfn.XLOOKUP(BA103,D$4:D$110,TEXT(F$4:F$110,"HH"),0,0,1))</f>
        <v>00</v>
      </c>
      <c r="BD103" s="14" t="str">
        <f t="shared" si="10"/>
        <v>000000</v>
      </c>
    </row>
    <row r="104" spans="1:56">
      <c r="A104" s="2"/>
      <c r="B104" s="2"/>
      <c r="C104" s="2"/>
      <c r="D104" s="2"/>
      <c r="E104" s="4"/>
      <c r="F104" s="4"/>
      <c r="G104" s="2"/>
      <c r="H104" s="2"/>
      <c r="I104" s="2"/>
      <c r="K104" s="7" t="str">
        <f t="shared" ref="K104:K110" si="12">IF(E103="着(hh:mm:ss)","start",IF(E104="p","pass",IF(OR(F104="t",K103="terminal"),"terminal","stop")))</f>
        <v>terminal</v>
      </c>
      <c r="L104" s="7" t="str" cm="1">
        <f t="array" ref="L104">_xlfn.SWITCH(TRUE,$K104="PASS",TEXT($B$1,"0000"),AND($K104="STOP",E104=""),TEXT($D$1,"0000"),$K103="TERMINAL","0000",TRUE,TEXT(E104,"MMSS"))</f>
        <v>0000</v>
      </c>
      <c r="M104" s="7" t="str" cm="1">
        <f t="array" ref="M104">_xlfn.SWITCH(TRUE,$K104="PASS",TEXT($B$1,"0000"),AND($K104="STOP",F104=""),TEXT($D$1,"0000"),$K104="TERMINAL","0000",TRUE,TEXT(F104,"MMSS"))</f>
        <v>0000</v>
      </c>
      <c r="N104" t="str" cm="1">
        <f t="array" ref="N104">_xlfn.SWITCH(TRUE,AND(LEFT(L104,2)="00",K104="TERMINAL"),"00",E104="",TEXT(LEFT($D$1,2),"00"),LEFT(L104,2)="00",$D$2&amp;"",TRUE,LEFT(L104,2))</f>
        <v>00</v>
      </c>
      <c r="O104" t="str" cm="1">
        <f t="array" ref="O104">_xlfn.SWITCH(TRUE,AND(N104="00",RIGHT(L104,2)="00",K104="TERMINAL"),"00",OR(E104="",N104=LEFT($B$1,2)),TEXT(RIGHT($D$1,2),"00"),RIGHT(L104,2)="00",$D$2&amp;"",TRUE,RIGHT(L104,2))</f>
        <v>00</v>
      </c>
      <c r="P104" t="str" cm="1">
        <f t="array" ref="P104">_xlfn.SWITCH(TRUE,AND(LEFT(M104,2)="00",K104="TERMINAL"),"00",F104="",TEXT(LEFT($D$1,2),"00"),LEFT(M104,2)="00",$D$2&amp;"",TRUE,LEFT(M104,2))</f>
        <v>00</v>
      </c>
      <c r="Q104" t="str" cm="1">
        <f t="array" ref="Q104">_xlfn.SWITCH(TRUE,AND(RIGHT(M104,2)="00",K104="TERMINAL"),"00",F104="",TEXT(RIGHT($D$1,2),"00"),RIGHT(M104,2)="00",$D$2&amp;"",TRUE,RIGHT(M104,2))</f>
        <v>00</v>
      </c>
      <c r="R104" s="7" cm="1">
        <f t="array" aca="1" ref="R104" ca="1">IF(INDIRECT("$D"&amp;(ROW(R104)+$F$1-1))=0,R103,$D104)</f>
        <v>39</v>
      </c>
      <c r="S104" s="7" cm="1">
        <f t="array" aca="1" ref="S104" ca="1">IF(INDIRECT("$D"&amp;(ROW(R104)+$F$1-1))=0,S103,$D105)</f>
        <v>38</v>
      </c>
      <c r="T104" s="7" cm="1">
        <f t="array" aca="1" ref="T104" ca="1">IF(INDIRECT("$D"&amp;(ROW(R104)+$F$1-1))=0,T103,$D106)</f>
        <v>37</v>
      </c>
      <c r="U104" s="7" cm="1">
        <f t="array" aca="1" ref="U104" ca="1">IF(INDIRECT("$D"&amp;(ROW(R104)+$F$1-1))=0,U103,$D107)</f>
        <v>36</v>
      </c>
      <c r="V104" s="7" cm="1">
        <f t="array" aca="1" ref="V104" ca="1">IF(INDIRECT("$D"&amp;(ROW(R104)+$F$1-1))=0,V103,$D108)</f>
        <v>35</v>
      </c>
      <c r="W104" s="7" cm="1">
        <f t="array" aca="1" ref="W104" ca="1">IF(INDIRECT("$D"&amp;(ROW(R104)+$F$1-1))=0,W103,$D109)</f>
        <v>0</v>
      </c>
      <c r="X104" s="7" t="str" cm="1">
        <f t="array" aca="1" ref="X104" ca="1">IF(INDIRECT("$D"&amp;(ROW(R104)+$F$1-1))=0,X102,$H104&amp;$N104&amp;$O104)</f>
        <v>4630</v>
      </c>
      <c r="Y104" s="7" t="str" cm="1">
        <f t="array" aca="1" ref="Y104" ca="1">IF(INDIRECT("$D"&amp;(ROW(R104)+$F$1-1))=0,Y103,H105&amp;$N105&amp;$O105)</f>
        <v>5530</v>
      </c>
      <c r="Z104" s="7" t="str" cm="1">
        <f t="array" aca="1" ref="Z104" ca="1">IF(INDIRECT("$D"&amp;(ROW(R104)+$F$1-1))=0,Z103,H106&amp;$N106&amp;$O106)</f>
        <v>6030</v>
      </c>
      <c r="AA104" s="7" t="str" cm="1">
        <f t="array" aca="1" ref="AA104" ca="1">IF(INDIRECT("$D"&amp;(ROW(R104)+$F$1-1))=0,AA103,H107&amp;$N107&amp;$O107)</f>
        <v>0000</v>
      </c>
      <c r="AB104" s="7" t="str" cm="1">
        <f t="array" aca="1" ref="AB104" ca="1">IF(INDIRECT("$D"&amp;(ROW(R104)+$F$1-1))=0,AB103,H108&amp;$N108&amp;$O108)</f>
        <v>0560</v>
      </c>
      <c r="AC104" s="7" t="str" cm="1">
        <f t="array" aca="1" ref="AC104" ca="1">IF(INDIRECT("$D"&amp;(ROW(R104)+$F$1-1))=0,AC103,H109&amp;$N109&amp;$O109)</f>
        <v>0000</v>
      </c>
      <c r="AD104" s="7" t="str" cm="1">
        <f t="array" aca="1" ref="AD104" ca="1">IF(INDIRECT("$D"&amp;(ROW(R104)+$F$1-1))=0,AD103,I104&amp;$P104&amp;$Q104)</f>
        <v>5130</v>
      </c>
      <c r="AE104" s="7" t="str" cm="1">
        <f t="array" aca="1" ref="AE104" ca="1">IF(INDIRECT("$D"&amp;(ROW(R104)+$F$1-1))=0,AE103,I105&amp;$P105&amp;$Q105)</f>
        <v>5660</v>
      </c>
      <c r="AF104" s="7" t="str" cm="1">
        <f t="array" aca="1" ref="AF104" ca="1">IF(INDIRECT("$D"&amp;(ROW(R104)+$F$1-1))=0,AF103,I106&amp;$P106&amp;$Q106)</f>
        <v>0160</v>
      </c>
      <c r="AG104" s="7" t="str" cm="1">
        <f t="array" aca="1" ref="AG104" ca="1">IF(INDIRECT("$D"&amp;(ROW(R104)+$F$1-1))=0,AG103,I107&amp;$P107&amp;$Q107)</f>
        <v>0000</v>
      </c>
      <c r="AH104" s="7" t="str" cm="1">
        <f t="array" aca="1" ref="AH104" ca="1">IF(INDIRECT("$D"&amp;(ROW(R104)+$F$1-1))=0,AH103,I108&amp;$P108&amp;$Q108)</f>
        <v>0000</v>
      </c>
      <c r="AI104" s="7" t="str" cm="1">
        <f t="array" aca="1" ref="AI104" ca="1">IF(INDIRECT("$D"&amp;(ROW(R104)+$F$1-1))=0,AI103,I109&amp;$P109&amp;$Q109)</f>
        <v>0000</v>
      </c>
      <c r="AJ104" s="7" t="str" cm="1">
        <f t="array" ref="AJ104">TEXT($D104,"000")&amp;TEXT(IFERROR(INDEX($D$5:$D$103,_xlfn.AGGREGATE(15,6,ROW($E$5:$E$103)/(($E$5:$E$103&lt;&gt;"p")*($E$5:$E$103&lt;&gt;"t")*(ROW($E$5:$E$103)&gt;ROW($E104))),1)-ROW($E$5)+1),$D104),"000")</f>
        <v>000000</v>
      </c>
      <c r="AK104" s="22">
        <f t="shared" si="8"/>
        <v>500</v>
      </c>
      <c r="AL104" s="22" cm="1">
        <f t="array" aca="1" ref="AL104" ca="1">IF(INDIRECT("$K"&amp;(ROW(R104)+$F$1-1))="TERMINAL",1000489,489)*SIGN(AK104)</f>
        <v>1000489</v>
      </c>
      <c r="AM104" s="7" cm="1">
        <f t="array" aca="1" ref="AM104" ca="1">IF(INDIRECT("$D"&amp;(ROW(R104)+$F$1-1))=0,AM103,$G104)</f>
        <v>8</v>
      </c>
      <c r="AN104" s="7" cm="1">
        <f t="array" aca="1" ref="AN104" ca="1">IF(INDIRECT("$D"&amp;(ROW(R104)+$F$1-1))=0,AN103,$G105)</f>
        <v>0</v>
      </c>
      <c r="AO104" s="7" cm="1">
        <f t="array" aca="1" ref="AO104" ca="1">IF(INDIRECT("$D"&amp;(ROW(R104)+$F$1-1))=0,AO103,$G106)</f>
        <v>0</v>
      </c>
      <c r="AP104" s="7" cm="1">
        <f t="array" aca="1" ref="AP104" ca="1">IF(INDIRECT("$D"&amp;(ROW(R104)+$F$1-1))=0,AP103,$G107)</f>
        <v>0</v>
      </c>
      <c r="AQ104" s="7" cm="1">
        <f t="array" aca="1" ref="AQ104" ca="1">IF(INDIRECT("$D"&amp;(ROW(R104)+$F$1-1))=0,AQ103,$G108)</f>
        <v>1</v>
      </c>
      <c r="AR104" s="7" cm="1">
        <f t="array" aca="1" ref="AR104" ca="1">IF(INDIRECT("$D"&amp;(ROW(R104)+$F$1-1))=0,AR103,$G109)</f>
        <v>0</v>
      </c>
      <c r="AS104" s="7" cm="1">
        <f t="array" aca="1" ref="AS104" ca="1">IF(INDIRECT("$D"&amp;(ROW(AS104)+$F$1-1))=0,AS103+4,1)</f>
        <v>325</v>
      </c>
      <c r="AT104" s="7" cm="1">
        <f t="array" aca="1" ref="AT104" ca="1">IF(INDIRECT("$D"&amp;(ROW(AT104)+$F$1-1))=0,AT103+4,2)</f>
        <v>326</v>
      </c>
      <c r="AU104" s="7" cm="1">
        <f t="array" aca="1" ref="AU104" ca="1">IF(INDIRECT("$D"&amp;(ROW(AU104)+$F$1-1))=0,AU103+4,3)</f>
        <v>327</v>
      </c>
      <c r="AV104" s="7" cm="1">
        <f t="array" aca="1" ref="AV104" ca="1">IF(INDIRECT("$D"&amp;(ROW(AV104)+$F$1-1))=0,AV103+4,4)</f>
        <v>328</v>
      </c>
      <c r="AW104" s="22" cm="1">
        <f t="array" aca="1" ref="AW104" ca="1">_xlfn.XLOOKUP(1,INDIRECT("J"&amp;ROW(K104)+$F$1):J$103,INDIRECT("D"&amp;ROW(K104)+$F$1):D$103,0,0,1)</f>
        <v>0</v>
      </c>
      <c r="AX104" s="22">
        <f t="shared" ca="1" si="9"/>
        <v>0</v>
      </c>
      <c r="AY104" s="22" cm="1">
        <f t="array" aca="1" ref="AY104" ca="1">_xlfn.XLOOKUP(AW104,D$4:D$110,H$4:H$110&amp;N$4:N$110&amp;O$4:O$110,0,0,1)</f>
        <v>0</v>
      </c>
      <c r="AZ104" s="22" cm="1">
        <f t="array" aca="1" ref="AZ104" ca="1">_xlfn.XLOOKUP(AW104,D$4:D$110,I$4:I$110&amp;P$4:P$110&amp;Q$4:Q$110,0,0,1)</f>
        <v>0</v>
      </c>
      <c r="BA104" s="14" cm="1">
        <f t="array" ref="BA104">_xlfn.XLOOKUP(1,J$4:J103,D$4:D103,0,0,-1)</f>
        <v>35</v>
      </c>
      <c r="BB104" s="14">
        <f t="shared" si="11"/>
        <v>1</v>
      </c>
      <c r="BC104" s="14" t="str" cm="1">
        <f t="array" ref="BC104">_xlfn.SWITCH(TRUE,_xlfn.XLOOKUP(BA104,D$4:D$110,TEXT(F$4:F$110,"HH"),0,0,1)="00",B102&amp;"",_xlfn.XLOOKUP(BA104,D$4:D$110,TEXT(F$4:F$110,"HH"),0,0,1)="T","00",TRUE,_xlfn.XLOOKUP(BA104,D$4:D$110,TEXT(F$4:F$110,"HH"),0,0,1))</f>
        <v>00</v>
      </c>
      <c r="BD104" s="14" t="str">
        <f t="shared" si="10"/>
        <v>000000</v>
      </c>
    </row>
    <row r="105" spans="1:56">
      <c r="A105" s="2"/>
      <c r="B105" s="2"/>
      <c r="C105" s="2"/>
      <c r="D105" s="2"/>
      <c r="E105" s="3"/>
      <c r="F105" s="3"/>
      <c r="G105" s="2"/>
      <c r="H105" s="2"/>
      <c r="I105" s="2"/>
      <c r="K105" s="7" t="str">
        <f t="shared" si="12"/>
        <v>terminal</v>
      </c>
      <c r="L105" s="7" t="str" cm="1">
        <f t="array" ref="L105">_xlfn.SWITCH(TRUE,$K105="PASS",TEXT($B$1,"0000"),AND($K105="STOP",E105=""),TEXT($D$1,"0000"),$K104="TERMINAL","0000",TRUE,TEXT(E105,"MMSS"))</f>
        <v>0000</v>
      </c>
      <c r="M105" s="7" t="str" cm="1">
        <f t="array" ref="M105">_xlfn.SWITCH(TRUE,$K105="PASS",TEXT($B$1,"0000"),AND($K105="STOP",F105=""),TEXT($D$1,"0000"),$K105="TERMINAL","0000",TRUE,TEXT(F105,"MMSS"))</f>
        <v>0000</v>
      </c>
      <c r="N105" t="str" cm="1">
        <f t="array" ref="N105">_xlfn.SWITCH(TRUE,AND(LEFT(L105,2)="00",K105="TERMINAL"),"00",E105="",TEXT(LEFT($D$1,2),"00"),LEFT(L105,2)="00",$D$2&amp;"",TRUE,LEFT(L105,2))</f>
        <v>00</v>
      </c>
      <c r="O105" t="str" cm="1">
        <f t="array" ref="O105">_xlfn.SWITCH(TRUE,AND(N105="00",RIGHT(L105,2)="00",K105="TERMINAL"),"00",OR(E105="",N105=LEFT($B$1,2)),TEXT(RIGHT($D$1,2),"00"),RIGHT(L105,2)="00",$D$2&amp;"",TRUE,RIGHT(L105,2))</f>
        <v>00</v>
      </c>
      <c r="P105" t="str" cm="1">
        <f t="array" ref="P105">_xlfn.SWITCH(TRUE,AND(LEFT(M105,2)="00",K105="TERMINAL"),"00",F105="",TEXT(LEFT($D$1,2),"00"),LEFT(M105,2)="00",$D$2&amp;"",TRUE,LEFT(M105,2))</f>
        <v>00</v>
      </c>
      <c r="Q105" t="str" cm="1">
        <f t="array" ref="Q105">_xlfn.SWITCH(TRUE,AND(RIGHT(M105,2)="00",K105="TERMINAL"),"00",F105="",TEXT(RIGHT($D$1,2),"00"),RIGHT(M105,2)="00",$D$2&amp;"",TRUE,RIGHT(M105,2))</f>
        <v>00</v>
      </c>
      <c r="R105" s="7" cm="1">
        <f t="array" aca="1" ref="R105" ca="1">IF(INDIRECT("$D"&amp;(ROW(R105)+$F$1-1))=0,R104,$D105)</f>
        <v>39</v>
      </c>
      <c r="S105" s="7" cm="1">
        <f t="array" aca="1" ref="S105" ca="1">IF(INDIRECT("$D"&amp;(ROW(R105)+$F$1-1))=0,S104,$D106)</f>
        <v>38</v>
      </c>
      <c r="T105" s="7" cm="1">
        <f t="array" aca="1" ref="T105" ca="1">IF(INDIRECT("$D"&amp;(ROW(R105)+$F$1-1))=0,T104,$D107)</f>
        <v>37</v>
      </c>
      <c r="U105" s="7" cm="1">
        <f t="array" aca="1" ref="U105" ca="1">IF(INDIRECT("$D"&amp;(ROW(R105)+$F$1-1))=0,U104,$D108)</f>
        <v>36</v>
      </c>
      <c r="V105" s="7" cm="1">
        <f t="array" aca="1" ref="V105" ca="1">IF(INDIRECT("$D"&amp;(ROW(R105)+$F$1-1))=0,V104,$D109)</f>
        <v>35</v>
      </c>
      <c r="W105" s="7" cm="1">
        <f t="array" aca="1" ref="W105" ca="1">IF(INDIRECT("$D"&amp;(ROW(R105)+$F$1-1))=0,W104,$D110)</f>
        <v>0</v>
      </c>
      <c r="X105" s="7" t="str" cm="1">
        <f t="array" aca="1" ref="X105" ca="1">IF(INDIRECT("$D"&amp;(ROW(R105)+$F$1-1))=0,X103,$H105&amp;$N105&amp;$O105)</f>
        <v>5160</v>
      </c>
      <c r="Y105" s="7" t="str" cm="1">
        <f t="array" aca="1" ref="Y105" ca="1">IF(INDIRECT("$D"&amp;(ROW(R105)+$F$1-1))=0,Y104,H106&amp;$N106&amp;$O106)</f>
        <v>5530</v>
      </c>
      <c r="Z105" s="7" t="str" cm="1">
        <f t="array" aca="1" ref="Z105" ca="1">IF(INDIRECT("$D"&amp;(ROW(R105)+$F$1-1))=0,Z104,H107&amp;$N107&amp;$O107)</f>
        <v>6030</v>
      </c>
      <c r="AA105" s="7" t="str" cm="1">
        <f t="array" aca="1" ref="AA105" ca="1">IF(INDIRECT("$D"&amp;(ROW(R105)+$F$1-1))=0,AA104,H108&amp;$N108&amp;$O108)</f>
        <v>0000</v>
      </c>
      <c r="AB105" s="7" t="str" cm="1">
        <f t="array" aca="1" ref="AB105" ca="1">IF(INDIRECT("$D"&amp;(ROW(R105)+$F$1-1))=0,AB104,H109&amp;$N109&amp;$O109)</f>
        <v>0560</v>
      </c>
      <c r="AC105" s="7" t="str" cm="1">
        <f t="array" aca="1" ref="AC105" ca="1">IF(INDIRECT("$D"&amp;(ROW(R105)+$F$1-1))=0,AC104,H110&amp;$N110&amp;$O110)</f>
        <v>0000</v>
      </c>
      <c r="AD105" s="7" t="str" cm="1">
        <f t="array" aca="1" ref="AD105" ca="1">IF(INDIRECT("$D"&amp;(ROW(R105)+$F$1-1))=0,AD104,I105&amp;$P105&amp;$Q105)</f>
        <v>5130</v>
      </c>
      <c r="AE105" s="7" t="str" cm="1">
        <f t="array" aca="1" ref="AE105" ca="1">IF(INDIRECT("$D"&amp;(ROW(R105)+$F$1-1))=0,AE104,I106&amp;$P106&amp;$Q106)</f>
        <v>5660</v>
      </c>
      <c r="AF105" s="7" t="str" cm="1">
        <f t="array" aca="1" ref="AF105" ca="1">IF(INDIRECT("$D"&amp;(ROW(R105)+$F$1-1))=0,AF104,I107&amp;$P107&amp;$Q107)</f>
        <v>0160</v>
      </c>
      <c r="AG105" s="7" t="str" cm="1">
        <f t="array" aca="1" ref="AG105" ca="1">IF(INDIRECT("$D"&amp;(ROW(R105)+$F$1-1))=0,AG104,I108&amp;$P108&amp;$Q108)</f>
        <v>0000</v>
      </c>
      <c r="AH105" s="7" t="str" cm="1">
        <f t="array" aca="1" ref="AH105" ca="1">IF(INDIRECT("$D"&amp;(ROW(R105)+$F$1-1))=0,AH104,I109&amp;$P109&amp;$Q109)</f>
        <v>0000</v>
      </c>
      <c r="AI105" s="7" t="str" cm="1">
        <f t="array" aca="1" ref="AI105" ca="1">IF(INDIRECT("$D"&amp;(ROW(R105)+$F$1-1))=0,AI104,I110&amp;$P110&amp;$Q110)</f>
        <v>0000</v>
      </c>
      <c r="AJ105" s="7" t="str" cm="1">
        <f t="array" ref="AJ105">TEXT($D105,"000")&amp;TEXT(IFERROR(INDEX($D$5:$D$103,_xlfn.AGGREGATE(15,6,ROW($E$5:$E$103)/(($E$5:$E$103&lt;&gt;"p")*($E$5:$E$103&lt;&gt;"t")*(ROW($E$5:$E$103)&gt;ROW($E105))),1)-ROW($E$5)+1),$D105),"000")</f>
        <v>000000</v>
      </c>
      <c r="AK105" s="22">
        <f t="shared" si="8"/>
        <v>500</v>
      </c>
      <c r="AL105" s="22" cm="1">
        <f t="array" aca="1" ref="AL105" ca="1">IF(INDIRECT("$K"&amp;(ROW(R105)+$F$1-1))="TERMINAL",1000489,489)*SIGN(AK105)</f>
        <v>1000489</v>
      </c>
      <c r="AM105" s="7" cm="1">
        <f t="array" aca="1" ref="AM105" ca="1">IF(INDIRECT("$D"&amp;(ROW(R105)+$F$1-1))=0,AM104,$G105)</f>
        <v>8</v>
      </c>
      <c r="AN105" s="7" cm="1">
        <f t="array" aca="1" ref="AN105" ca="1">IF(INDIRECT("$D"&amp;(ROW(R105)+$F$1-1))=0,AN104,$G106)</f>
        <v>0</v>
      </c>
      <c r="AO105" s="7" cm="1">
        <f t="array" aca="1" ref="AO105" ca="1">IF(INDIRECT("$D"&amp;(ROW(R105)+$F$1-1))=0,AO104,$G107)</f>
        <v>0</v>
      </c>
      <c r="AP105" s="7" cm="1">
        <f t="array" aca="1" ref="AP105" ca="1">IF(INDIRECT("$D"&amp;(ROW(R105)+$F$1-1))=0,AP104,$G108)</f>
        <v>0</v>
      </c>
      <c r="AQ105" s="7" cm="1">
        <f t="array" aca="1" ref="AQ105" ca="1">IF(INDIRECT("$D"&amp;(ROW(R105)+$F$1-1))=0,AQ104,$G109)</f>
        <v>1</v>
      </c>
      <c r="AR105" s="7" cm="1">
        <f t="array" aca="1" ref="AR105" ca="1">IF(INDIRECT("$D"&amp;(ROW(R105)+$F$1-1))=0,AR104,$G110)</f>
        <v>0</v>
      </c>
      <c r="AS105" s="7" cm="1">
        <f t="array" aca="1" ref="AS105" ca="1">IF(INDIRECT("$D"&amp;(ROW(AS105)+$F$1-1))=0,AS104+4,1)</f>
        <v>329</v>
      </c>
      <c r="AT105" s="7" cm="1">
        <f t="array" aca="1" ref="AT105" ca="1">IF(INDIRECT("$D"&amp;(ROW(AT105)+$F$1-1))=0,AT104+4,2)</f>
        <v>330</v>
      </c>
      <c r="AU105" s="7" cm="1">
        <f t="array" aca="1" ref="AU105" ca="1">IF(INDIRECT("$D"&amp;(ROW(AU105)+$F$1-1))=0,AU104+4,3)</f>
        <v>331</v>
      </c>
      <c r="AV105" s="7" cm="1">
        <f t="array" aca="1" ref="AV105" ca="1">IF(INDIRECT("$D"&amp;(ROW(AV105)+$F$1-1))=0,AV104+4,4)</f>
        <v>332</v>
      </c>
      <c r="AW105" s="22" cm="1">
        <f t="array" aca="1" ref="AW105" ca="1">_xlfn.XLOOKUP(1,INDIRECT("J"&amp;ROW(K105)+$F$1):J$103,INDIRECT("D"&amp;ROW(K105)+$F$1):D$103,0,0,1)</f>
        <v>0</v>
      </c>
      <c r="AX105" s="22">
        <f t="shared" ca="1" si="9"/>
        <v>0</v>
      </c>
      <c r="AY105" s="22" cm="1">
        <f t="array" aca="1" ref="AY105" ca="1">_xlfn.XLOOKUP(AW105,D$4:D$110,H$4:H$110&amp;N$4:N$110&amp;O$4:O$110,0,0,1)</f>
        <v>0</v>
      </c>
      <c r="AZ105" s="22" cm="1">
        <f t="array" aca="1" ref="AZ105" ca="1">_xlfn.XLOOKUP(AW105,D$4:D$110,I$4:I$110&amp;P$4:P$110&amp;Q$4:Q$110,0,0,1)</f>
        <v>0</v>
      </c>
      <c r="BA105" s="14" cm="1">
        <f t="array" ref="BA105">_xlfn.XLOOKUP(1,J$4:J104,D$4:D104,0,0,-1)</f>
        <v>35</v>
      </c>
      <c r="BB105" s="14">
        <f t="shared" si="11"/>
        <v>1</v>
      </c>
      <c r="BC105" s="14" t="str" cm="1">
        <f t="array" ref="BC105">_xlfn.SWITCH(TRUE,_xlfn.XLOOKUP(BA105,D$4:D$110,TEXT(F$4:F$110,"HH"),0,0,1)="00",B103&amp;"",_xlfn.XLOOKUP(BA105,D$4:D$110,TEXT(F$4:F$110,"HH"),0,0,1)="T","00",TRUE,_xlfn.XLOOKUP(BA105,D$4:D$110,TEXT(F$4:F$110,"HH"),0,0,1))</f>
        <v>00</v>
      </c>
      <c r="BD105" s="14" t="str">
        <f t="shared" si="10"/>
        <v>000000</v>
      </c>
    </row>
    <row r="106" spans="1:56">
      <c r="A106" s="2"/>
      <c r="B106" s="2"/>
      <c r="C106" s="2"/>
      <c r="D106" s="2"/>
      <c r="E106" s="3"/>
      <c r="F106" s="3"/>
      <c r="G106" s="2"/>
      <c r="H106" s="2"/>
      <c r="I106" s="2"/>
      <c r="K106" s="7" t="str">
        <f t="shared" si="12"/>
        <v>terminal</v>
      </c>
      <c r="L106" s="7" t="str" cm="1">
        <f t="array" ref="L106">_xlfn.SWITCH(TRUE,$K106="PASS",TEXT($B$1,"0000"),AND($K106="STOP",E106=""),TEXT($D$1,"0000"),$K105="TERMINAL","0000",TRUE,TEXT(E106,"MMSS"))</f>
        <v>0000</v>
      </c>
      <c r="M106" s="7" t="str" cm="1">
        <f t="array" ref="M106">_xlfn.SWITCH(TRUE,$K106="PASS",TEXT($B$1,"0000"),AND($K106="STOP",F106=""),TEXT($D$1,"0000"),$K106="TERMINAL","0000",TRUE,TEXT(F106,"MMSS"))</f>
        <v>0000</v>
      </c>
      <c r="N106" t="str" cm="1">
        <f t="array" ref="N106">_xlfn.SWITCH(TRUE,AND(LEFT(L106,2)="00",K106="TERMINAL"),"00",E106="",TEXT(LEFT($D$1,2),"00"),LEFT(L106,2)="00",$D$2&amp;"",TRUE,LEFT(L106,2))</f>
        <v>00</v>
      </c>
      <c r="O106" t="str" cm="1">
        <f t="array" ref="O106">_xlfn.SWITCH(TRUE,AND(N106="00",RIGHT(L106,2)="00",K106="TERMINAL"),"00",OR(E106="",N106=LEFT($B$1,2)),TEXT(RIGHT($D$1,2),"00"),RIGHT(L106,2)="00",$D$2&amp;"",TRUE,RIGHT(L106,2))</f>
        <v>00</v>
      </c>
      <c r="P106" t="str" cm="1">
        <f t="array" ref="P106">_xlfn.SWITCH(TRUE,AND(LEFT(M106,2)="00",K106="TERMINAL"),"00",F106="",TEXT(LEFT($D$1,2),"00"),LEFT(M106,2)="00",$D$2&amp;"",TRUE,LEFT(M106,2))</f>
        <v>00</v>
      </c>
      <c r="Q106" t="str" cm="1">
        <f t="array" ref="Q106">_xlfn.SWITCH(TRUE,AND(RIGHT(M106,2)="00",K106="TERMINAL"),"00",F106="",TEXT(RIGHT($D$1,2),"00"),RIGHT(M106,2)="00",$D$2&amp;"",TRUE,RIGHT(M106,2))</f>
        <v>00</v>
      </c>
      <c r="R106" s="7" cm="1">
        <f t="array" aca="1" ref="R106" ca="1">IF(INDIRECT("$D"&amp;(ROW(R106)+$F$1-1))=0,R105,$D106)</f>
        <v>39</v>
      </c>
      <c r="S106" s="7" cm="1">
        <f t="array" aca="1" ref="S106" ca="1">IF(INDIRECT("$D"&amp;(ROW(R106)+$F$1-1))=0,S105,$D107)</f>
        <v>38</v>
      </c>
      <c r="T106" s="7" cm="1">
        <f t="array" aca="1" ref="T106" ca="1">IF(INDIRECT("$D"&amp;(ROW(R106)+$F$1-1))=0,T105,$D108)</f>
        <v>37</v>
      </c>
      <c r="U106" s="7" cm="1">
        <f t="array" aca="1" ref="U106" ca="1">IF(INDIRECT("$D"&amp;(ROW(R106)+$F$1-1))=0,U105,$D109)</f>
        <v>36</v>
      </c>
      <c r="V106" s="7" cm="1">
        <f t="array" aca="1" ref="V106" ca="1">IF(INDIRECT("$D"&amp;(ROW(R106)+$F$1-1))=0,V105,$D110)</f>
        <v>35</v>
      </c>
      <c r="W106" s="7" cm="1">
        <f t="array" aca="1" ref="W106" ca="1">IF(INDIRECT("$D"&amp;(ROW(R106)+$F$1-1))=0,W105,$D111)</f>
        <v>0</v>
      </c>
      <c r="X106" s="7" t="str" cm="1">
        <f t="array" aca="1" ref="X106" ca="1">IF(INDIRECT("$D"&amp;(ROW(R106)+$F$1-1))=0,X104,$H106&amp;$N106&amp;$O106)</f>
        <v>4630</v>
      </c>
      <c r="Y106" s="7" t="str" cm="1">
        <f t="array" aca="1" ref="Y106" ca="1">IF(INDIRECT("$D"&amp;(ROW(R106)+$F$1-1))=0,Y105,H107&amp;$N107&amp;$O107)</f>
        <v>5530</v>
      </c>
      <c r="Z106" s="7" t="str" cm="1">
        <f t="array" aca="1" ref="Z106" ca="1">IF(INDIRECT("$D"&amp;(ROW(R106)+$F$1-1))=0,Z105,H108&amp;$N108&amp;$O108)</f>
        <v>6030</v>
      </c>
      <c r="AA106" s="7" t="str" cm="1">
        <f t="array" aca="1" ref="AA106" ca="1">IF(INDIRECT("$D"&amp;(ROW(R106)+$F$1-1))=0,AA105,H109&amp;$N109&amp;$O109)</f>
        <v>0000</v>
      </c>
      <c r="AB106" s="7" t="str" cm="1">
        <f t="array" aca="1" ref="AB106" ca="1">IF(INDIRECT("$D"&amp;(ROW(R106)+$F$1-1))=0,AB105,H110&amp;$N110&amp;$O110)</f>
        <v>0560</v>
      </c>
      <c r="AC106" s="7" t="str" cm="1">
        <f t="array" aca="1" ref="AC106" ca="1">IF(INDIRECT("$D"&amp;(ROW(R106)+$F$1-1))=0,AC105,H111&amp;$N111&amp;$O111)</f>
        <v>0000</v>
      </c>
      <c r="AD106" s="7" t="str" cm="1">
        <f t="array" aca="1" ref="AD106" ca="1">IF(INDIRECT("$D"&amp;(ROW(R106)+$F$1-1))=0,AD105,I106&amp;$P106&amp;$Q106)</f>
        <v>5130</v>
      </c>
      <c r="AE106" s="7" t="str" cm="1">
        <f t="array" aca="1" ref="AE106" ca="1">IF(INDIRECT("$D"&amp;(ROW(R106)+$F$1-1))=0,AE105,I107&amp;$P107&amp;$Q107)</f>
        <v>5660</v>
      </c>
      <c r="AF106" s="7" t="str" cm="1">
        <f t="array" aca="1" ref="AF106" ca="1">IF(INDIRECT("$D"&amp;(ROW(R106)+$F$1-1))=0,AF105,I108&amp;$P108&amp;$Q108)</f>
        <v>0160</v>
      </c>
      <c r="AG106" s="7" t="str" cm="1">
        <f t="array" aca="1" ref="AG106" ca="1">IF(INDIRECT("$D"&amp;(ROW(R106)+$F$1-1))=0,AG105,I109&amp;$P109&amp;$Q109)</f>
        <v>0000</v>
      </c>
      <c r="AH106" s="7" t="str" cm="1">
        <f t="array" aca="1" ref="AH106" ca="1">IF(INDIRECT("$D"&amp;(ROW(R106)+$F$1-1))=0,AH105,I110&amp;$P110&amp;$Q110)</f>
        <v>0000</v>
      </c>
      <c r="AI106" s="7" t="str" cm="1">
        <f t="array" aca="1" ref="AI106" ca="1">IF(INDIRECT("$D"&amp;(ROW(R106)+$F$1-1))=0,AI105,I111&amp;$P111&amp;$Q111)</f>
        <v>0000</v>
      </c>
      <c r="AJ106" s="7" t="str" cm="1">
        <f t="array" ref="AJ106">TEXT($D106,"000")&amp;TEXT(IFERROR(INDEX($D$5:$D$103,_xlfn.AGGREGATE(15,6,ROW($E$5:$E$103)/(($E$5:$E$103&lt;&gt;"p")*($E$5:$E$103&lt;&gt;"t")*(ROW($E$5:$E$103)&gt;ROW($E106))),1)-ROW($E$5)+1),$D106),"000")</f>
        <v>000000</v>
      </c>
      <c r="AK106" s="22">
        <f t="shared" si="8"/>
        <v>500</v>
      </c>
      <c r="AL106" s="22" cm="1">
        <f t="array" aca="1" ref="AL106" ca="1">IF(INDIRECT("$K"&amp;(ROW(R106)+$F$1-1))="TERMINAL",1000489,489)*SIGN(AK106)</f>
        <v>1000489</v>
      </c>
      <c r="AM106" s="7" cm="1">
        <f t="array" aca="1" ref="AM106" ca="1">IF(INDIRECT("$D"&amp;(ROW(R106)+$F$1-1))=0,AM105,$G106)</f>
        <v>8</v>
      </c>
      <c r="AN106" s="7" cm="1">
        <f t="array" aca="1" ref="AN106" ca="1">IF(INDIRECT("$D"&amp;(ROW(R106)+$F$1-1))=0,AN105,$G107)</f>
        <v>0</v>
      </c>
      <c r="AO106" s="7" cm="1">
        <f t="array" aca="1" ref="AO106" ca="1">IF(INDIRECT("$D"&amp;(ROW(R106)+$F$1-1))=0,AO105,$G108)</f>
        <v>0</v>
      </c>
      <c r="AP106" s="7" cm="1">
        <f t="array" aca="1" ref="AP106" ca="1">IF(INDIRECT("$D"&amp;(ROW(R106)+$F$1-1))=0,AP105,$G109)</f>
        <v>0</v>
      </c>
      <c r="AQ106" s="7" cm="1">
        <f t="array" aca="1" ref="AQ106" ca="1">IF(INDIRECT("$D"&amp;(ROW(R106)+$F$1-1))=0,AQ105,$G110)</f>
        <v>1</v>
      </c>
      <c r="AR106" s="7" cm="1">
        <f t="array" aca="1" ref="AR106" ca="1">IF(INDIRECT("$D"&amp;(ROW(R106)+$F$1-1))=0,AR105,$G111)</f>
        <v>0</v>
      </c>
      <c r="AS106" s="7" cm="1">
        <f t="array" aca="1" ref="AS106" ca="1">IF(INDIRECT("$D"&amp;(ROW(AS106)+$F$1-1))=0,AS105+4,1)</f>
        <v>333</v>
      </c>
      <c r="AT106" s="7" cm="1">
        <f t="array" aca="1" ref="AT106" ca="1">IF(INDIRECT("$D"&amp;(ROW(AT106)+$F$1-1))=0,AT105+4,2)</f>
        <v>334</v>
      </c>
      <c r="AU106" s="7" cm="1">
        <f t="array" aca="1" ref="AU106" ca="1">IF(INDIRECT("$D"&amp;(ROW(AU106)+$F$1-1))=0,AU105+4,3)</f>
        <v>335</v>
      </c>
      <c r="AV106" s="7" cm="1">
        <f t="array" aca="1" ref="AV106" ca="1">IF(INDIRECT("$D"&amp;(ROW(AV106)+$F$1-1))=0,AV105+4,4)</f>
        <v>336</v>
      </c>
      <c r="AW106" s="22" cm="1">
        <f t="array" aca="1" ref="AW106" ca="1">_xlfn.XLOOKUP(1,INDIRECT("J"&amp;ROW(K106)+$F$1):J$103,INDIRECT("D"&amp;ROW(K106)+$F$1):D$103,0,0,1)</f>
        <v>0</v>
      </c>
      <c r="AX106" s="22">
        <f t="shared" ca="1" si="9"/>
        <v>0</v>
      </c>
      <c r="AY106" s="22" cm="1">
        <f t="array" aca="1" ref="AY106" ca="1">_xlfn.XLOOKUP(AW106,D$4:D$110,H$4:H$110&amp;N$4:N$110&amp;O$4:O$110,0,0,1)</f>
        <v>0</v>
      </c>
      <c r="AZ106" s="22" cm="1">
        <f t="array" aca="1" ref="AZ106" ca="1">_xlfn.XLOOKUP(AW106,D$4:D$110,I$4:I$110&amp;P$4:P$110&amp;Q$4:Q$110,0,0,1)</f>
        <v>0</v>
      </c>
      <c r="BA106" s="14" cm="1">
        <f t="array" ref="BA106">_xlfn.XLOOKUP(1,J$4:J105,D$4:D105,0,0,-1)</f>
        <v>35</v>
      </c>
      <c r="BB106" s="14">
        <f t="shared" si="11"/>
        <v>1</v>
      </c>
      <c r="BC106" s="14" t="str" cm="1">
        <f t="array" ref="BC106">_xlfn.SWITCH(TRUE,_xlfn.XLOOKUP(BA106,D$4:D$110,TEXT(F$4:F$110,"HH"),0,0,1)="00",B104&amp;"",_xlfn.XLOOKUP(BA106,D$4:D$110,TEXT(F$4:F$110,"HH"),0,0,1)="T","00",TRUE,_xlfn.XLOOKUP(BA106,D$4:D$110,TEXT(F$4:F$110,"HH"),0,0,1))</f>
        <v>00</v>
      </c>
      <c r="BD106" s="14" t="str">
        <f t="shared" si="10"/>
        <v>000000</v>
      </c>
    </row>
    <row r="107" spans="1:56">
      <c r="A107" s="2"/>
      <c r="B107" s="2"/>
      <c r="C107" s="2"/>
      <c r="D107" s="2"/>
      <c r="E107" s="3"/>
      <c r="F107" s="3"/>
      <c r="G107" s="2"/>
      <c r="H107" s="2"/>
      <c r="I107" s="2"/>
      <c r="K107" s="7" t="str">
        <f t="shared" si="12"/>
        <v>terminal</v>
      </c>
      <c r="L107" s="7" t="str" cm="1">
        <f t="array" ref="L107">_xlfn.SWITCH(TRUE,$K107="PASS",TEXT($B$1,"0000"),AND($K107="STOP",E107=""),TEXT($D$1,"0000"),$K106="TERMINAL","0000",TRUE,TEXT(E107,"MMSS"))</f>
        <v>0000</v>
      </c>
      <c r="M107" s="7" t="str" cm="1">
        <f t="array" ref="M107">_xlfn.SWITCH(TRUE,$K107="PASS",TEXT($B$1,"0000"),AND($K107="STOP",F107=""),TEXT($D$1,"0000"),$K107="TERMINAL","0000",TRUE,TEXT(F107,"MMSS"))</f>
        <v>0000</v>
      </c>
      <c r="N107" t="str" cm="1">
        <f t="array" ref="N107">_xlfn.SWITCH(TRUE,AND(LEFT(L107,2)="00",K107="TERMINAL"),"00",E107="",TEXT(LEFT($D$1,2),"00"),LEFT(L107,2)="00",$D$2&amp;"",TRUE,LEFT(L107,2))</f>
        <v>00</v>
      </c>
      <c r="O107" t="str" cm="1">
        <f t="array" ref="O107">_xlfn.SWITCH(TRUE,AND(N107="00",RIGHT(L107,2)="00",K107="TERMINAL"),"00",OR(E107="",N107=LEFT($B$1,2)),TEXT(RIGHT($D$1,2),"00"),RIGHT(L107,2)="00",$D$2&amp;"",TRUE,RIGHT(L107,2))</f>
        <v>00</v>
      </c>
      <c r="P107" t="str" cm="1">
        <f t="array" ref="P107">_xlfn.SWITCH(TRUE,AND(LEFT(M107,2)="00",K107="TERMINAL"),"00",F107="",TEXT(LEFT($D$1,2),"00"),LEFT(M107,2)="00",$D$2&amp;"",TRUE,LEFT(M107,2))</f>
        <v>00</v>
      </c>
      <c r="Q107" t="str" cm="1">
        <f t="array" ref="Q107">_xlfn.SWITCH(TRUE,AND(RIGHT(M107,2)="00",K107="TERMINAL"),"00",F107="",TEXT(RIGHT($D$1,2),"00"),RIGHT(M107,2)="00",$D$2&amp;"",TRUE,RIGHT(M107,2))</f>
        <v>00</v>
      </c>
      <c r="R107" s="7" cm="1">
        <f t="array" aca="1" ref="R107" ca="1">IF(INDIRECT("$D"&amp;(ROW(R107)+$F$1-1))=0,R106,$D107)</f>
        <v>39</v>
      </c>
      <c r="S107" s="7" cm="1">
        <f t="array" aca="1" ref="S107" ca="1">IF(INDIRECT("$D"&amp;(ROW(R107)+$F$1-1))=0,S106,$D108)</f>
        <v>38</v>
      </c>
      <c r="T107" s="7" cm="1">
        <f t="array" aca="1" ref="T107" ca="1">IF(INDIRECT("$D"&amp;(ROW(R107)+$F$1-1))=0,T106,$D109)</f>
        <v>37</v>
      </c>
      <c r="U107" s="7" cm="1">
        <f t="array" aca="1" ref="U107" ca="1">IF(INDIRECT("$D"&amp;(ROW(R107)+$F$1-1))=0,U106,$D110)</f>
        <v>36</v>
      </c>
      <c r="V107" s="7" cm="1">
        <f t="array" aca="1" ref="V107" ca="1">IF(INDIRECT("$D"&amp;(ROW(R107)+$F$1-1))=0,V106,$D111)</f>
        <v>35</v>
      </c>
      <c r="W107" s="7" cm="1">
        <f t="array" aca="1" ref="W107" ca="1">IF(INDIRECT("$D"&amp;(ROW(R107)+$F$1-1))=0,W106,$D112)</f>
        <v>0</v>
      </c>
      <c r="X107" s="7" t="str" cm="1">
        <f t="array" aca="1" ref="X107" ca="1">IF(INDIRECT("$D"&amp;(ROW(R107)+$F$1-1))=0,X105,$H107&amp;$N107&amp;$O107)</f>
        <v>5160</v>
      </c>
      <c r="Y107" s="7" t="str" cm="1">
        <f t="array" aca="1" ref="Y107" ca="1">IF(INDIRECT("$D"&amp;(ROW(R107)+$F$1-1))=0,Y106,H108&amp;$N108&amp;$O108)</f>
        <v>5530</v>
      </c>
      <c r="Z107" s="7" t="str" cm="1">
        <f t="array" aca="1" ref="Z107" ca="1">IF(INDIRECT("$D"&amp;(ROW(R107)+$F$1-1))=0,Z106,H109&amp;$N109&amp;$O109)</f>
        <v>6030</v>
      </c>
      <c r="AA107" s="7" t="str" cm="1">
        <f t="array" aca="1" ref="AA107" ca="1">IF(INDIRECT("$D"&amp;(ROW(R107)+$F$1-1))=0,AA106,H110&amp;$N110&amp;$O110)</f>
        <v>0000</v>
      </c>
      <c r="AB107" s="7" t="str" cm="1">
        <f t="array" aca="1" ref="AB107" ca="1">IF(INDIRECT("$D"&amp;(ROW(R107)+$F$1-1))=0,AB106,H111&amp;$N111&amp;$O111)</f>
        <v>0560</v>
      </c>
      <c r="AC107" s="7" t="str" cm="1">
        <f t="array" aca="1" ref="AC107" ca="1">IF(INDIRECT("$D"&amp;(ROW(R107)+$F$1-1))=0,AC106,H112&amp;$N112&amp;$O112)</f>
        <v>0000</v>
      </c>
      <c r="AD107" s="7" t="str" cm="1">
        <f t="array" aca="1" ref="AD107" ca="1">IF(INDIRECT("$D"&amp;(ROW(R107)+$F$1-1))=0,AD106,I107&amp;$P107&amp;$Q107)</f>
        <v>5130</v>
      </c>
      <c r="AE107" s="7" t="str" cm="1">
        <f t="array" aca="1" ref="AE107" ca="1">IF(INDIRECT("$D"&amp;(ROW(R107)+$F$1-1))=0,AE106,I108&amp;$P108&amp;$Q108)</f>
        <v>5660</v>
      </c>
      <c r="AF107" s="7" t="str" cm="1">
        <f t="array" aca="1" ref="AF107" ca="1">IF(INDIRECT("$D"&amp;(ROW(R107)+$F$1-1))=0,AF106,I109&amp;$P109&amp;$Q109)</f>
        <v>0160</v>
      </c>
      <c r="AG107" s="7" t="str" cm="1">
        <f t="array" aca="1" ref="AG107" ca="1">IF(INDIRECT("$D"&amp;(ROW(R107)+$F$1-1))=0,AG106,I110&amp;$P110&amp;$Q110)</f>
        <v>0000</v>
      </c>
      <c r="AH107" s="7" t="str" cm="1">
        <f t="array" aca="1" ref="AH107" ca="1">IF(INDIRECT("$D"&amp;(ROW(R107)+$F$1-1))=0,AH106,I111&amp;$P111&amp;$Q111)</f>
        <v>0000</v>
      </c>
      <c r="AI107" s="7" t="str" cm="1">
        <f t="array" aca="1" ref="AI107" ca="1">IF(INDIRECT("$D"&amp;(ROW(R107)+$F$1-1))=0,AI106,I112&amp;$P112&amp;$Q112)</f>
        <v>0000</v>
      </c>
      <c r="AJ107" s="7" t="str" cm="1">
        <f t="array" ref="AJ107">TEXT($D107,"000")&amp;TEXT(IFERROR(INDEX($D$5:$D$103,_xlfn.AGGREGATE(15,6,ROW($E$5:$E$103)/(($E$5:$E$103&lt;&gt;"p")*($E$5:$E$103&lt;&gt;"t")*(ROW($E$5:$E$103)&gt;ROW($E107))),1)-ROW($E$5)+1),$D107),"000")</f>
        <v>000000</v>
      </c>
      <c r="AK107" s="22">
        <f t="shared" si="8"/>
        <v>500</v>
      </c>
      <c r="AL107" s="22" cm="1">
        <f t="array" aca="1" ref="AL107" ca="1">IF(INDIRECT("$K"&amp;(ROW(R107)+$F$1-1))="TERMINAL",1000489,489)*SIGN(AK107)</f>
        <v>489</v>
      </c>
      <c r="AM107" s="7" cm="1">
        <f t="array" aca="1" ref="AM107" ca="1">IF(INDIRECT("$D"&amp;(ROW(R107)+$F$1-1))=0,AM106,$G107)</f>
        <v>8</v>
      </c>
      <c r="AN107" s="7" cm="1">
        <f t="array" aca="1" ref="AN107" ca="1">IF(INDIRECT("$D"&amp;(ROW(R107)+$F$1-1))=0,AN106,$G108)</f>
        <v>0</v>
      </c>
      <c r="AO107" s="7" cm="1">
        <f t="array" aca="1" ref="AO107" ca="1">IF(INDIRECT("$D"&amp;(ROW(R107)+$F$1-1))=0,AO106,$G109)</f>
        <v>0</v>
      </c>
      <c r="AP107" s="7" cm="1">
        <f t="array" aca="1" ref="AP107" ca="1">IF(INDIRECT("$D"&amp;(ROW(R107)+$F$1-1))=0,AP106,$G110)</f>
        <v>0</v>
      </c>
      <c r="AQ107" s="7" cm="1">
        <f t="array" aca="1" ref="AQ107" ca="1">IF(INDIRECT("$D"&amp;(ROW(R107)+$F$1-1))=0,AQ106,$G111)</f>
        <v>1</v>
      </c>
      <c r="AR107" s="7" cm="1">
        <f t="array" aca="1" ref="AR107" ca="1">IF(INDIRECT("$D"&amp;(ROW(R107)+$F$1-1))=0,AR106,$G112)</f>
        <v>0</v>
      </c>
      <c r="AS107" s="7" cm="1">
        <f t="array" aca="1" ref="AS107" ca="1">IF(INDIRECT("$D"&amp;(ROW(AS107)+$F$1-1))=0,AS106+4,1)</f>
        <v>337</v>
      </c>
      <c r="AT107" s="7" cm="1">
        <f t="array" aca="1" ref="AT107" ca="1">IF(INDIRECT("$D"&amp;(ROW(AT107)+$F$1-1))=0,AT106+4,2)</f>
        <v>338</v>
      </c>
      <c r="AU107" s="7" cm="1">
        <f t="array" aca="1" ref="AU107" ca="1">IF(INDIRECT("$D"&amp;(ROW(AU107)+$F$1-1))=0,AU106+4,3)</f>
        <v>339</v>
      </c>
      <c r="AV107" s="7" cm="1">
        <f t="array" aca="1" ref="AV107" ca="1">IF(INDIRECT("$D"&amp;(ROW(AV107)+$F$1-1))=0,AV106+4,4)</f>
        <v>340</v>
      </c>
      <c r="AW107" s="22" cm="1">
        <f t="array" aca="1" ref="AW107" ca="1">_xlfn.XLOOKUP(1,INDIRECT("J"&amp;ROW(K107)+$F$1):J$103,INDIRECT("D"&amp;ROW(K107)+$F$1):D$103,0,0,1)</f>
        <v>0</v>
      </c>
      <c r="AX107" s="22">
        <f t="shared" ca="1" si="9"/>
        <v>0</v>
      </c>
      <c r="AY107" s="22" cm="1">
        <f t="array" aca="1" ref="AY107" ca="1">_xlfn.XLOOKUP(AW107,D$4:D$110,H$4:H$110&amp;N$4:N$110&amp;O$4:O$110,0,0,1)</f>
        <v>0</v>
      </c>
      <c r="AZ107" s="22" cm="1">
        <f t="array" aca="1" ref="AZ107" ca="1">_xlfn.XLOOKUP(AW107,D$4:D$110,I$4:I$110&amp;P$4:P$110&amp;Q$4:Q$110,0,0,1)</f>
        <v>0</v>
      </c>
      <c r="BA107" s="14" cm="1">
        <f t="array" ref="BA107">_xlfn.XLOOKUP(1,J$4:J106,D$4:D106,0,0,-1)</f>
        <v>35</v>
      </c>
      <c r="BB107" s="14">
        <f t="shared" si="11"/>
        <v>1</v>
      </c>
      <c r="BC107" s="14" t="str" cm="1">
        <f t="array" ref="BC107">_xlfn.SWITCH(TRUE,_xlfn.XLOOKUP(BA107,D$4:D$110,TEXT(F$4:F$110,"HH"),0,0,1)="00",B105&amp;"",_xlfn.XLOOKUP(BA107,D$4:D$110,TEXT(F$4:F$110,"HH"),0,0,1)="T","00",TRUE,_xlfn.XLOOKUP(BA107,D$4:D$110,TEXT(F$4:F$110,"HH"),0,0,1))</f>
        <v>00</v>
      </c>
      <c r="BD107" s="14" t="str">
        <f t="shared" si="10"/>
        <v>000000</v>
      </c>
    </row>
    <row r="108" spans="1:56">
      <c r="A108" s="2"/>
      <c r="B108" s="2"/>
      <c r="C108" s="2"/>
      <c r="D108" s="2"/>
      <c r="E108" s="3"/>
      <c r="F108" s="3"/>
      <c r="G108" s="2"/>
      <c r="H108" s="2"/>
      <c r="I108" s="2"/>
      <c r="K108" s="7" t="str">
        <f t="shared" si="12"/>
        <v>terminal</v>
      </c>
      <c r="L108" s="7" t="str" cm="1">
        <f t="array" ref="L108">_xlfn.SWITCH(TRUE,$K108="PASS",TEXT($B$1,"0000"),AND($K108="STOP",E108=""),TEXT($D$1,"0000"),$K107="TERMINAL","0000",TRUE,TEXT(E108,"MMSS"))</f>
        <v>0000</v>
      </c>
      <c r="M108" s="7" t="str" cm="1">
        <f t="array" ref="M108">_xlfn.SWITCH(TRUE,$K108="PASS",TEXT($B$1,"0000"),AND($K108="STOP",F108=""),TEXT($D$1,"0000"),$K108="TERMINAL","0000",TRUE,TEXT(F108,"MMSS"))</f>
        <v>0000</v>
      </c>
      <c r="N108" t="str" cm="1">
        <f t="array" ref="N108">_xlfn.SWITCH(TRUE,AND(LEFT(L108,2)="00",K108="TERMINAL"),"00",E108="",TEXT(LEFT($D$1,2),"00"),LEFT(L108,2)="00",$D$2&amp;"",TRUE,LEFT(L108,2))</f>
        <v>00</v>
      </c>
      <c r="O108" t="str" cm="1">
        <f t="array" ref="O108">_xlfn.SWITCH(TRUE,AND(N108="00",RIGHT(L108,2)="00",K108="TERMINAL"),"00",OR(E108="",N108=LEFT($B$1,2)),TEXT(RIGHT($D$1,2),"00"),RIGHT(L108,2)="00",$D$2&amp;"",TRUE,RIGHT(L108,2))</f>
        <v>00</v>
      </c>
      <c r="P108" t="str" cm="1">
        <f t="array" ref="P108">_xlfn.SWITCH(TRUE,AND(LEFT(M108,2)="00",K108="TERMINAL"),"00",F108="",TEXT(LEFT($D$1,2),"00"),LEFT(M108,2)="00",$D$2&amp;"",TRUE,LEFT(M108,2))</f>
        <v>00</v>
      </c>
      <c r="Q108" t="str" cm="1">
        <f t="array" ref="Q108">_xlfn.SWITCH(TRUE,AND(RIGHT(M108,2)="00",K108="TERMINAL"),"00",F108="",TEXT(RIGHT($D$1,2),"00"),RIGHT(M108,2)="00",$D$2&amp;"",TRUE,RIGHT(M108,2))</f>
        <v>00</v>
      </c>
      <c r="R108" s="7" cm="1">
        <f t="array" aca="1" ref="R108" ca="1">IF(INDIRECT("$D"&amp;(ROW(R108)+$F$1-1))=0,R107,$D108)</f>
        <v>39</v>
      </c>
      <c r="S108" s="7" cm="1">
        <f t="array" aca="1" ref="S108" ca="1">IF(INDIRECT("$D"&amp;(ROW(R108)+$F$1-1))=0,S107,$D109)</f>
        <v>38</v>
      </c>
      <c r="T108" s="7" cm="1">
        <f t="array" aca="1" ref="T108" ca="1">IF(INDIRECT("$D"&amp;(ROW(R108)+$F$1-1))=0,T107,$D110)</f>
        <v>37</v>
      </c>
      <c r="U108" s="7" cm="1">
        <f t="array" aca="1" ref="U108" ca="1">IF(INDIRECT("$D"&amp;(ROW(R108)+$F$1-1))=0,U107,$D111)</f>
        <v>36</v>
      </c>
      <c r="V108" s="7" cm="1">
        <f t="array" aca="1" ref="V108" ca="1">IF(INDIRECT("$D"&amp;(ROW(R108)+$F$1-1))=0,V107,$D112)</f>
        <v>35</v>
      </c>
      <c r="W108" s="7" cm="1">
        <f t="array" aca="1" ref="W108" ca="1">IF(INDIRECT("$D"&amp;(ROW(R108)+$F$1-1))=0,W107,$D113)</f>
        <v>0</v>
      </c>
      <c r="X108" s="7" t="str" cm="1">
        <f t="array" aca="1" ref="X108" ca="1">IF(INDIRECT("$D"&amp;(ROW(R108)+$F$1-1))=0,X106,$H108&amp;$N108&amp;$O108)</f>
        <v>4630</v>
      </c>
      <c r="Y108" s="7" t="str" cm="1">
        <f t="array" aca="1" ref="Y108" ca="1">IF(INDIRECT("$D"&amp;(ROW(R108)+$F$1-1))=0,Y107,H109&amp;$N109&amp;$O109)</f>
        <v>5530</v>
      </c>
      <c r="Z108" s="7" t="str" cm="1">
        <f t="array" aca="1" ref="Z108" ca="1">IF(INDIRECT("$D"&amp;(ROW(R108)+$F$1-1))=0,Z107,H110&amp;$N110&amp;$O110)</f>
        <v>6030</v>
      </c>
      <c r="AA108" s="7" t="str" cm="1">
        <f t="array" aca="1" ref="AA108" ca="1">IF(INDIRECT("$D"&amp;(ROW(R108)+$F$1-1))=0,AA107,H111&amp;$N111&amp;$O111)</f>
        <v>0000</v>
      </c>
      <c r="AB108" s="7" t="str" cm="1">
        <f t="array" aca="1" ref="AB108" ca="1">IF(INDIRECT("$D"&amp;(ROW(R108)+$F$1-1))=0,AB107,H112&amp;$N112&amp;$O112)</f>
        <v>0560</v>
      </c>
      <c r="AC108" s="7" t="str" cm="1">
        <f t="array" aca="1" ref="AC108" ca="1">IF(INDIRECT("$D"&amp;(ROW(R108)+$F$1-1))=0,AC107,H113&amp;$N113&amp;$O113)</f>
        <v>0000</v>
      </c>
      <c r="AD108" s="7" t="str" cm="1">
        <f t="array" aca="1" ref="AD108" ca="1">IF(INDIRECT("$D"&amp;(ROW(R108)+$F$1-1))=0,AD107,I108&amp;$P108&amp;$Q108)</f>
        <v>5130</v>
      </c>
      <c r="AE108" s="7" t="str" cm="1">
        <f t="array" aca="1" ref="AE108" ca="1">IF(INDIRECT("$D"&amp;(ROW(R108)+$F$1-1))=0,AE107,I109&amp;$P109&amp;$Q109)</f>
        <v>5660</v>
      </c>
      <c r="AF108" s="7" t="str" cm="1">
        <f t="array" aca="1" ref="AF108" ca="1">IF(INDIRECT("$D"&amp;(ROW(R108)+$F$1-1))=0,AF107,I110&amp;$P110&amp;$Q110)</f>
        <v>0160</v>
      </c>
      <c r="AG108" s="7" t="str" cm="1">
        <f t="array" aca="1" ref="AG108" ca="1">IF(INDIRECT("$D"&amp;(ROW(R108)+$F$1-1))=0,AG107,I111&amp;$P111&amp;$Q111)</f>
        <v>0000</v>
      </c>
      <c r="AH108" s="7" t="str" cm="1">
        <f t="array" aca="1" ref="AH108" ca="1">IF(INDIRECT("$D"&amp;(ROW(R108)+$F$1-1))=0,AH107,I112&amp;$P112&amp;$Q112)</f>
        <v>0000</v>
      </c>
      <c r="AI108" s="7" t="str" cm="1">
        <f t="array" aca="1" ref="AI108" ca="1">IF(INDIRECT("$D"&amp;(ROW(R108)+$F$1-1))=0,AI107,I113&amp;$P113&amp;$Q113)</f>
        <v>0000</v>
      </c>
      <c r="AJ108" s="7" t="str" cm="1">
        <f t="array" ref="AJ108">TEXT($D108,"000")&amp;TEXT(IFERROR(INDEX($D$5:$D$103,_xlfn.AGGREGATE(15,6,ROW($E$5:$E$103)/(($E$5:$E$103&lt;&gt;"p")*($E$5:$E$103&lt;&gt;"t")*(ROW($E$5:$E$103)&gt;ROW($E108))),1)-ROW($E$5)+1),$D108),"000")</f>
        <v>000000</v>
      </c>
      <c r="AK108" s="22">
        <f t="shared" si="8"/>
        <v>500</v>
      </c>
      <c r="AL108" s="22" cm="1">
        <f t="array" aca="1" ref="AL108" ca="1">IF(INDIRECT("$K"&amp;(ROW(R108)+$F$1-1))="TERMINAL",1000489,489)*SIGN(AK108)</f>
        <v>489</v>
      </c>
      <c r="AM108" s="7" cm="1">
        <f t="array" aca="1" ref="AM108" ca="1">IF(INDIRECT("$D"&amp;(ROW(R108)+$F$1-1))=0,AM107,$G108)</f>
        <v>8</v>
      </c>
      <c r="AN108" s="7" cm="1">
        <f t="array" aca="1" ref="AN108" ca="1">IF(INDIRECT("$D"&amp;(ROW(R108)+$F$1-1))=0,AN107,$G109)</f>
        <v>0</v>
      </c>
      <c r="AO108" s="7" cm="1">
        <f t="array" aca="1" ref="AO108" ca="1">IF(INDIRECT("$D"&amp;(ROW(R108)+$F$1-1))=0,AO107,$G110)</f>
        <v>0</v>
      </c>
      <c r="AP108" s="7" cm="1">
        <f t="array" aca="1" ref="AP108" ca="1">IF(INDIRECT("$D"&amp;(ROW(R108)+$F$1-1))=0,AP107,$G111)</f>
        <v>0</v>
      </c>
      <c r="AQ108" s="7" cm="1">
        <f t="array" aca="1" ref="AQ108" ca="1">IF(INDIRECT("$D"&amp;(ROW(R108)+$F$1-1))=0,AQ107,$G112)</f>
        <v>1</v>
      </c>
      <c r="AR108" s="7" cm="1">
        <f t="array" aca="1" ref="AR108" ca="1">IF(INDIRECT("$D"&amp;(ROW(R108)+$F$1-1))=0,AR107,$G113)</f>
        <v>0</v>
      </c>
      <c r="AS108" s="7" cm="1">
        <f t="array" aca="1" ref="AS108" ca="1">IF(INDIRECT("$D"&amp;(ROW(AS108)+$F$1-1))=0,AS107+4,1)</f>
        <v>341</v>
      </c>
      <c r="AT108" s="7" cm="1">
        <f t="array" aca="1" ref="AT108" ca="1">IF(INDIRECT("$D"&amp;(ROW(AT108)+$F$1-1))=0,AT107+4,2)</f>
        <v>342</v>
      </c>
      <c r="AU108" s="7" cm="1">
        <f t="array" aca="1" ref="AU108" ca="1">IF(INDIRECT("$D"&amp;(ROW(AU108)+$F$1-1))=0,AU107+4,3)</f>
        <v>343</v>
      </c>
      <c r="AV108" s="7" cm="1">
        <f t="array" aca="1" ref="AV108" ca="1">IF(INDIRECT("$D"&amp;(ROW(AV108)+$F$1-1))=0,AV107+4,4)</f>
        <v>344</v>
      </c>
      <c r="AW108" s="22" cm="1">
        <f t="array" aca="1" ref="AW108" ca="1">_xlfn.XLOOKUP(1,INDIRECT("J"&amp;ROW(K108)+$F$1):J$103,INDIRECT("D"&amp;ROW(K108)+$F$1):D$103,0,0,1)</f>
        <v>0</v>
      </c>
      <c r="AX108" s="22">
        <f t="shared" ca="1" si="9"/>
        <v>0</v>
      </c>
      <c r="AY108" s="22" cm="1">
        <f t="array" aca="1" ref="AY108" ca="1">_xlfn.XLOOKUP(AW108,D$4:D$110,H$4:H$110&amp;N$4:N$110&amp;O$4:O$110,0,0,1)</f>
        <v>0</v>
      </c>
      <c r="AZ108" s="22" cm="1">
        <f t="array" aca="1" ref="AZ108" ca="1">_xlfn.XLOOKUP(AW108,D$4:D$110,I$4:I$110&amp;P$4:P$110&amp;Q$4:Q$110,0,0,1)</f>
        <v>0</v>
      </c>
      <c r="BA108" s="14" cm="1">
        <f t="array" ref="BA108">_xlfn.XLOOKUP(1,J$4:J107,D$4:D107,0,0,-1)</f>
        <v>35</v>
      </c>
      <c r="BB108" s="14">
        <f t="shared" si="11"/>
        <v>1</v>
      </c>
      <c r="BC108" s="14" t="str" cm="1">
        <f t="array" ref="BC108">_xlfn.SWITCH(TRUE,_xlfn.XLOOKUP(BA108,D$4:D$110,TEXT(F$4:F$110,"HH"),0,0,1)="00",B106&amp;"",_xlfn.XLOOKUP(BA108,D$4:D$110,TEXT(F$4:F$110,"HH"),0,0,1)="T","00",TRUE,_xlfn.XLOOKUP(BA108,D$4:D$110,TEXT(F$4:F$110,"HH"),0,0,1))</f>
        <v>00</v>
      </c>
      <c r="BD108" s="14" t="str">
        <f t="shared" si="10"/>
        <v>000000</v>
      </c>
    </row>
    <row r="109" spans="1:56">
      <c r="A109" s="2"/>
      <c r="B109" s="2"/>
      <c r="C109" s="2"/>
      <c r="D109" s="2"/>
      <c r="E109" s="3"/>
      <c r="F109" s="3"/>
      <c r="G109" s="2"/>
      <c r="H109" s="2"/>
      <c r="I109" s="2"/>
      <c r="K109" s="7" t="str">
        <f t="shared" si="12"/>
        <v>terminal</v>
      </c>
      <c r="L109" s="7" t="str" cm="1">
        <f t="array" ref="L109">_xlfn.SWITCH(TRUE,$K109="PASS",TEXT($B$1,"0000"),AND($K109="STOP",E109=""),TEXT($D$1,"0000"),$K108="TERMINAL","0000",TRUE,TEXT(E109,"MMSS"))</f>
        <v>0000</v>
      </c>
      <c r="M109" s="7" t="str" cm="1">
        <f t="array" ref="M109">_xlfn.SWITCH(TRUE,$K109="PASS",TEXT($B$1,"0000"),AND($K109="STOP",F109=""),TEXT($D$1,"0000"),$K109="TERMINAL","0000",TRUE,TEXT(F109,"MMSS"))</f>
        <v>0000</v>
      </c>
      <c r="N109" t="str" cm="1">
        <f t="array" ref="N109">_xlfn.SWITCH(TRUE,AND(LEFT(L109,2)="00",K109="TERMINAL"),"00",E109="",TEXT(LEFT($D$1,2),"00"),LEFT(L109,2)="00",$D$2&amp;"",TRUE,LEFT(L109,2))</f>
        <v>00</v>
      </c>
      <c r="O109" t="str" cm="1">
        <f t="array" ref="O109">_xlfn.SWITCH(TRUE,AND(N109="00",RIGHT(L109,2)="00",K109="TERMINAL"),"00",OR(E109="",N109=LEFT($B$1,2)),TEXT(RIGHT($D$1,2),"00"),RIGHT(L109,2)="00",$D$2&amp;"",TRUE,RIGHT(L109,2))</f>
        <v>00</v>
      </c>
      <c r="P109" t="str" cm="1">
        <f t="array" ref="P109">_xlfn.SWITCH(TRUE,AND(LEFT(M109,2)="00",K109="TERMINAL"),"00",F109="",TEXT(LEFT($D$1,2),"00"),LEFT(M109,2)="00",$D$2&amp;"",TRUE,LEFT(M109,2))</f>
        <v>00</v>
      </c>
      <c r="Q109" t="str" cm="1">
        <f t="array" ref="Q109">_xlfn.SWITCH(TRUE,AND(RIGHT(M109,2)="00",K109="TERMINAL"),"00",F109="",TEXT(RIGHT($D$1,2),"00"),RIGHT(M109,2)="00",$D$2&amp;"",TRUE,RIGHT(M109,2))</f>
        <v>00</v>
      </c>
      <c r="R109" s="7" cm="1">
        <f t="array" aca="1" ref="R109" ca="1">IF(INDIRECT("$D"&amp;(ROW(R109)+$F$1-1))=0,R108,$D109)</f>
        <v>39</v>
      </c>
      <c r="S109" s="7" cm="1">
        <f t="array" aca="1" ref="S109" ca="1">IF(INDIRECT("$D"&amp;(ROW(R109)+$F$1-1))=0,S108,$D110)</f>
        <v>38</v>
      </c>
      <c r="T109" s="7" cm="1">
        <f t="array" aca="1" ref="T109" ca="1">IF(INDIRECT("$D"&amp;(ROW(R109)+$F$1-1))=0,T108,$D111)</f>
        <v>37</v>
      </c>
      <c r="U109" s="7" cm="1">
        <f t="array" aca="1" ref="U109" ca="1">IF(INDIRECT("$D"&amp;(ROW(R109)+$F$1-1))=0,U108,$D112)</f>
        <v>36</v>
      </c>
      <c r="V109" s="7" cm="1">
        <f t="array" aca="1" ref="V109" ca="1">IF(INDIRECT("$D"&amp;(ROW(R109)+$F$1-1))=0,V108,$D113)</f>
        <v>35</v>
      </c>
      <c r="W109" s="7" cm="1">
        <f t="array" aca="1" ref="W109" ca="1">IF(INDIRECT("$D"&amp;(ROW(R109)+$F$1-1))=0,W108,$D114)</f>
        <v>0</v>
      </c>
      <c r="X109" s="7" t="str" cm="1">
        <f t="array" aca="1" ref="X109" ca="1">IF(INDIRECT("$D"&amp;(ROW(R109)+$F$1-1))=0,X107,$H109&amp;$N109&amp;$O109)</f>
        <v>5160</v>
      </c>
      <c r="Y109" s="7" t="str" cm="1">
        <f t="array" aca="1" ref="Y109" ca="1">IF(INDIRECT("$D"&amp;(ROW(R109)+$F$1-1))=0,Y108,H110&amp;$N110&amp;$O110)</f>
        <v>5530</v>
      </c>
      <c r="Z109" s="7" t="str" cm="1">
        <f t="array" aca="1" ref="Z109" ca="1">IF(INDIRECT("$D"&amp;(ROW(R109)+$F$1-1))=0,Z108,H111&amp;$N111&amp;$O111)</f>
        <v>6030</v>
      </c>
      <c r="AA109" s="7" t="str" cm="1">
        <f t="array" aca="1" ref="AA109" ca="1">IF(INDIRECT("$D"&amp;(ROW(R109)+$F$1-1))=0,AA108,H112&amp;$N112&amp;$O112)</f>
        <v>0000</v>
      </c>
      <c r="AB109" s="7" t="str" cm="1">
        <f t="array" aca="1" ref="AB109" ca="1">IF(INDIRECT("$D"&amp;(ROW(R109)+$F$1-1))=0,AB108,H113&amp;$N113&amp;$O113)</f>
        <v>0560</v>
      </c>
      <c r="AC109" s="7" t="str" cm="1">
        <f t="array" aca="1" ref="AC109" ca="1">IF(INDIRECT("$D"&amp;(ROW(R109)+$F$1-1))=0,AC108,H114&amp;$N114&amp;$O114)</f>
        <v>0000</v>
      </c>
      <c r="AD109" s="7" t="str" cm="1">
        <f t="array" aca="1" ref="AD109" ca="1">IF(INDIRECT("$D"&amp;(ROW(R109)+$F$1-1))=0,AD108,I109&amp;$P109&amp;$Q109)</f>
        <v>5130</v>
      </c>
      <c r="AE109" s="7" t="str" cm="1">
        <f t="array" aca="1" ref="AE109" ca="1">IF(INDIRECT("$D"&amp;(ROW(R109)+$F$1-1))=0,AE108,I110&amp;$P110&amp;$Q110)</f>
        <v>5660</v>
      </c>
      <c r="AF109" s="7" t="str" cm="1">
        <f t="array" aca="1" ref="AF109" ca="1">IF(INDIRECT("$D"&amp;(ROW(R109)+$F$1-1))=0,AF108,I111&amp;$P111&amp;$Q111)</f>
        <v>0160</v>
      </c>
      <c r="AG109" s="7" t="str" cm="1">
        <f t="array" aca="1" ref="AG109" ca="1">IF(INDIRECT("$D"&amp;(ROW(R109)+$F$1-1))=0,AG108,I112&amp;$P112&amp;$Q112)</f>
        <v>0000</v>
      </c>
      <c r="AH109" s="7" t="str" cm="1">
        <f t="array" aca="1" ref="AH109" ca="1">IF(INDIRECT("$D"&amp;(ROW(R109)+$F$1-1))=0,AH108,I113&amp;$P113&amp;$Q113)</f>
        <v>0000</v>
      </c>
      <c r="AI109" s="7" t="str" cm="1">
        <f t="array" aca="1" ref="AI109" ca="1">IF(INDIRECT("$D"&amp;(ROW(R109)+$F$1-1))=0,AI108,I114&amp;$P114&amp;$Q114)</f>
        <v>0000</v>
      </c>
      <c r="AJ109" s="7" t="str" cm="1">
        <f t="array" ref="AJ109">TEXT($D109,"000")&amp;TEXT(IFERROR(INDEX($D$5:$D$103,_xlfn.AGGREGATE(15,6,ROW($E$5:$E$103)/(($E$5:$E$103&lt;&gt;"p")*($E$5:$E$103&lt;&gt;"t")*(ROW($E$5:$E$103)&gt;ROW($E109))),1)-ROW($E$5)+1),$D109),"000")</f>
        <v>000000</v>
      </c>
      <c r="AK109" s="22">
        <f t="shared" si="8"/>
        <v>500</v>
      </c>
      <c r="AL109" s="22" cm="1">
        <f t="array" aca="1" ref="AL109" ca="1">IF(INDIRECT("$K"&amp;(ROW(R109)+$F$1-1))="TERMINAL",1000489,489)*SIGN(AK109)</f>
        <v>489</v>
      </c>
      <c r="AM109" s="7" cm="1">
        <f t="array" aca="1" ref="AM109" ca="1">IF(INDIRECT("$D"&amp;(ROW(R109)+$F$1-1))=0,AM108,$G109)</f>
        <v>8</v>
      </c>
      <c r="AN109" s="7" cm="1">
        <f t="array" aca="1" ref="AN109" ca="1">IF(INDIRECT("$D"&amp;(ROW(R109)+$F$1-1))=0,AN108,$G110)</f>
        <v>0</v>
      </c>
      <c r="AO109" s="7" cm="1">
        <f t="array" aca="1" ref="AO109" ca="1">IF(INDIRECT("$D"&amp;(ROW(R109)+$F$1-1))=0,AO108,$G111)</f>
        <v>0</v>
      </c>
      <c r="AP109" s="7" cm="1">
        <f t="array" aca="1" ref="AP109" ca="1">IF(INDIRECT("$D"&amp;(ROW(R109)+$F$1-1))=0,AP108,$G112)</f>
        <v>0</v>
      </c>
      <c r="AQ109" s="7" cm="1">
        <f t="array" aca="1" ref="AQ109" ca="1">IF(INDIRECT("$D"&amp;(ROW(R109)+$F$1-1))=0,AQ108,$G113)</f>
        <v>1</v>
      </c>
      <c r="AR109" s="7" cm="1">
        <f t="array" aca="1" ref="AR109" ca="1">IF(INDIRECT("$D"&amp;(ROW(R109)+$F$1-1))=0,AR108,$G114)</f>
        <v>0</v>
      </c>
      <c r="AS109" s="7" cm="1">
        <f t="array" aca="1" ref="AS109" ca="1">IF(INDIRECT("$D"&amp;(ROW(AS109)+$F$1-1))=0,AS108+4,1)</f>
        <v>345</v>
      </c>
      <c r="AT109" s="7" cm="1">
        <f t="array" aca="1" ref="AT109" ca="1">IF(INDIRECT("$D"&amp;(ROW(AT109)+$F$1-1))=0,AT108+4,2)</f>
        <v>346</v>
      </c>
      <c r="AU109" s="7" cm="1">
        <f t="array" aca="1" ref="AU109" ca="1">IF(INDIRECT("$D"&amp;(ROW(AU109)+$F$1-1))=0,AU108+4,3)</f>
        <v>347</v>
      </c>
      <c r="AV109" s="7" cm="1">
        <f t="array" aca="1" ref="AV109" ca="1">IF(INDIRECT("$D"&amp;(ROW(AV109)+$F$1-1))=0,AV108+4,4)</f>
        <v>348</v>
      </c>
      <c r="AW109" s="22" cm="1">
        <f t="array" aca="1" ref="AW109" ca="1">_xlfn.XLOOKUP(1,INDIRECT("J"&amp;ROW(K109)+$F$1):J$103,INDIRECT("D"&amp;ROW(K109)+$F$1):D$103,0,0,1)</f>
        <v>0</v>
      </c>
      <c r="AX109" s="22">
        <f t="shared" ca="1" si="9"/>
        <v>0</v>
      </c>
      <c r="AY109" s="22" cm="1">
        <f t="array" aca="1" ref="AY109" ca="1">_xlfn.XLOOKUP(AW109,D$4:D$110,H$4:H$110&amp;N$4:N$110&amp;O$4:O$110,0,0,1)</f>
        <v>0</v>
      </c>
      <c r="AZ109" s="22" cm="1">
        <f t="array" aca="1" ref="AZ109" ca="1">_xlfn.XLOOKUP(AW109,D$4:D$110,I$4:I$110&amp;P$4:P$110&amp;Q$4:Q$110,0,0,1)</f>
        <v>0</v>
      </c>
      <c r="BA109" s="14" cm="1">
        <f t="array" ref="BA109">_xlfn.XLOOKUP(1,J$4:J108,D$4:D108,0,0,-1)</f>
        <v>35</v>
      </c>
      <c r="BB109" s="14">
        <f t="shared" si="11"/>
        <v>1</v>
      </c>
      <c r="BC109" s="14" t="str" cm="1">
        <f t="array" ref="BC109">_xlfn.SWITCH(TRUE,_xlfn.XLOOKUP(BA109,D$4:D$110,TEXT(F$4:F$110,"HH"),0,0,1)="00",B107&amp;"",_xlfn.XLOOKUP(BA109,D$4:D$110,TEXT(F$4:F$110,"HH"),0,0,1)="T","00",TRUE,_xlfn.XLOOKUP(BA109,D$4:D$110,TEXT(F$4:F$110,"HH"),0,0,1))</f>
        <v>00</v>
      </c>
      <c r="BD109" s="14" t="str">
        <f t="shared" si="10"/>
        <v>000000</v>
      </c>
    </row>
    <row r="110" spans="1:56">
      <c r="A110" s="2"/>
      <c r="B110" s="2"/>
      <c r="C110" s="2"/>
      <c r="D110" s="2"/>
      <c r="E110" s="3"/>
      <c r="F110" s="3"/>
      <c r="G110" s="2"/>
      <c r="H110" s="2"/>
      <c r="I110" s="2"/>
      <c r="K110" s="7" t="str">
        <f t="shared" si="12"/>
        <v>terminal</v>
      </c>
      <c r="L110" s="7" t="str" cm="1">
        <f t="array" ref="L110">_xlfn.SWITCH(TRUE,$K110="PASS",TEXT($B$1,"0000"),AND($K110="STOP",E110=""),TEXT($D$1,"0000"),$K109="TERMINAL","0000",TRUE,TEXT(E110,"MMSS"))</f>
        <v>0000</v>
      </c>
      <c r="M110" s="7" t="str" cm="1">
        <f t="array" ref="M110">_xlfn.SWITCH(TRUE,$K110="PASS",TEXT($B$1,"0000"),AND($K110="STOP",F110=""),TEXT($D$1,"0000"),$K110="TERMINAL","0000",TRUE,TEXT(F110,"MMSS"))</f>
        <v>0000</v>
      </c>
      <c r="N110" t="str" cm="1">
        <f t="array" ref="N110">_xlfn.SWITCH(TRUE,AND(LEFT(L110,2)="00",K110="TERMINAL"),"00",E110="",TEXT(LEFT($D$1,2),"00"),LEFT(L110,2)="00",$D$2&amp;"",TRUE,LEFT(L110,2))</f>
        <v>00</v>
      </c>
      <c r="O110" t="str" cm="1">
        <f t="array" ref="O110">_xlfn.SWITCH(TRUE,AND(N110="00",RIGHT(L110,2)="00",K110="TERMINAL"),"00",OR(E110="",N110=LEFT($B$1,2)),TEXT(RIGHT($D$1,2),"00"),RIGHT(L110,2)="00",$D$2&amp;"",TRUE,RIGHT(L110,2))</f>
        <v>00</v>
      </c>
      <c r="P110" t="str" cm="1">
        <f t="array" ref="P110">_xlfn.SWITCH(TRUE,AND(LEFT(M110,2)="00",K110="TERMINAL"),"00",F110="",TEXT(LEFT($D$1,2),"00"),LEFT(M110,2)="00",$D$2&amp;"",TRUE,LEFT(M110,2))</f>
        <v>00</v>
      </c>
      <c r="Q110" t="str" cm="1">
        <f t="array" ref="Q110">_xlfn.SWITCH(TRUE,AND(RIGHT(M110,2)="00",K110="TERMINAL"),"00",F110="",TEXT(RIGHT($D$1,2),"00"),RIGHT(M110,2)="00",$D$2&amp;"",TRUE,RIGHT(M110,2))</f>
        <v>00</v>
      </c>
      <c r="R110" s="7" cm="1">
        <f t="array" aca="1" ref="R110" ca="1">IF(INDIRECT("$D"&amp;(ROW(R110)+$F$1-1))=0,R109,$D110)</f>
        <v>39</v>
      </c>
      <c r="S110" s="7" cm="1">
        <f t="array" aca="1" ref="S110" ca="1">IF(INDIRECT("$D"&amp;(ROW(R110)+$F$1-1))=0,S109,$D111)</f>
        <v>38</v>
      </c>
      <c r="T110" s="7" cm="1">
        <f t="array" aca="1" ref="T110" ca="1">IF(INDIRECT("$D"&amp;(ROW(R110)+$F$1-1))=0,T109,$D112)</f>
        <v>37</v>
      </c>
      <c r="U110" s="7" cm="1">
        <f t="array" aca="1" ref="U110" ca="1">IF(INDIRECT("$D"&amp;(ROW(R110)+$F$1-1))=0,U109,$D113)</f>
        <v>36</v>
      </c>
      <c r="V110" s="7" cm="1">
        <f t="array" aca="1" ref="V110" ca="1">IF(INDIRECT("$D"&amp;(ROW(R110)+$F$1-1))=0,V109,$D114)</f>
        <v>35</v>
      </c>
      <c r="W110" s="7" cm="1">
        <f t="array" aca="1" ref="W110" ca="1">IF(INDIRECT("$D"&amp;(ROW(R110)+$F$1-1))=0,W109,$D115)</f>
        <v>0</v>
      </c>
      <c r="X110" s="7" t="str" cm="1">
        <f t="array" aca="1" ref="X110" ca="1">IF(INDIRECT("$D"&amp;(ROW(R110)+$F$1-1))=0,X108,$H110&amp;$N110&amp;$O110)</f>
        <v>4630</v>
      </c>
      <c r="Y110" s="7" t="str" cm="1">
        <f t="array" aca="1" ref="Y110" ca="1">IF(INDIRECT("$D"&amp;(ROW(R110)+$F$1-1))=0,Y109,H111&amp;$N111&amp;$O111)</f>
        <v>5530</v>
      </c>
      <c r="Z110" s="7" t="str" cm="1">
        <f t="array" aca="1" ref="Z110" ca="1">IF(INDIRECT("$D"&amp;(ROW(R110)+$F$1-1))=0,Z109,H112&amp;$N112&amp;$O112)</f>
        <v>6030</v>
      </c>
      <c r="AA110" s="7" t="str" cm="1">
        <f t="array" aca="1" ref="AA110" ca="1">IF(INDIRECT("$D"&amp;(ROW(R110)+$F$1-1))=0,AA109,H113&amp;$N113&amp;$O113)</f>
        <v>0000</v>
      </c>
      <c r="AB110" s="7" t="str" cm="1">
        <f t="array" aca="1" ref="AB110" ca="1">IF(INDIRECT("$D"&amp;(ROW(R110)+$F$1-1))=0,AB109,H114&amp;$N114&amp;$O114)</f>
        <v>0560</v>
      </c>
      <c r="AC110" s="7" t="str" cm="1">
        <f t="array" aca="1" ref="AC110" ca="1">IF(INDIRECT("$D"&amp;(ROW(R110)+$F$1-1))=0,AC109,H115&amp;$N115&amp;$O115)</f>
        <v>0000</v>
      </c>
      <c r="AD110" s="7" t="str" cm="1">
        <f t="array" aca="1" ref="AD110" ca="1">IF(INDIRECT("$D"&amp;(ROW(R110)+$F$1-1))=0,AD109,I110&amp;$P110&amp;$Q110)</f>
        <v>5130</v>
      </c>
      <c r="AE110" s="7" t="str" cm="1">
        <f t="array" aca="1" ref="AE110" ca="1">IF(INDIRECT("$D"&amp;(ROW(R110)+$F$1-1))=0,AE109,I111&amp;$P111&amp;$Q111)</f>
        <v>5660</v>
      </c>
      <c r="AF110" s="7" t="str" cm="1">
        <f t="array" aca="1" ref="AF110" ca="1">IF(INDIRECT("$D"&amp;(ROW(R110)+$F$1-1))=0,AF109,I112&amp;$P112&amp;$Q112)</f>
        <v>0160</v>
      </c>
      <c r="AG110" s="7" t="str" cm="1">
        <f t="array" aca="1" ref="AG110" ca="1">IF(INDIRECT("$D"&amp;(ROW(R110)+$F$1-1))=0,AG109,I113&amp;$P113&amp;$Q113)</f>
        <v>0000</v>
      </c>
      <c r="AH110" s="7" t="str" cm="1">
        <f t="array" aca="1" ref="AH110" ca="1">IF(INDIRECT("$D"&amp;(ROW(R110)+$F$1-1))=0,AH109,I114&amp;$P114&amp;$Q114)</f>
        <v>0000</v>
      </c>
      <c r="AI110" s="7" t="str" cm="1">
        <f t="array" aca="1" ref="AI110" ca="1">IF(INDIRECT("$D"&amp;(ROW(R110)+$F$1-1))=0,AI109,I115&amp;$P115&amp;$Q115)</f>
        <v>0000</v>
      </c>
      <c r="AJ110" s="7" t="str" cm="1">
        <f t="array" ref="AJ110">TEXT($D110,"000")&amp;TEXT(IFERROR(INDEX($D$5:$D$103,_xlfn.AGGREGATE(15,6,ROW($E$5:$E$103)/(($E$5:$E$103&lt;&gt;"p")*($E$5:$E$103&lt;&gt;"t")*(ROW($E$5:$E$103)&gt;ROW($E110))),1)-ROW($E$5)+1),$D110),"000")</f>
        <v>000000</v>
      </c>
      <c r="AK110" s="22">
        <f t="shared" si="8"/>
        <v>500</v>
      </c>
      <c r="AL110" s="22" cm="1">
        <f t="array" aca="1" ref="AL110" ca="1">IF(INDIRECT("$K"&amp;(ROW(R110)+$F$1-1))="TERMINAL",1000489,489)*SIGN(AK110)</f>
        <v>489</v>
      </c>
      <c r="AM110" s="7" cm="1">
        <f t="array" aca="1" ref="AM110" ca="1">IF(INDIRECT("$D"&amp;(ROW(R110)+$F$1-1))=0,AM109,$G110)</f>
        <v>8</v>
      </c>
      <c r="AN110" s="7" cm="1">
        <f t="array" aca="1" ref="AN110" ca="1">IF(INDIRECT("$D"&amp;(ROW(R110)+$F$1-1))=0,AN109,$G111)</f>
        <v>0</v>
      </c>
      <c r="AO110" s="7" cm="1">
        <f t="array" aca="1" ref="AO110" ca="1">IF(INDIRECT("$D"&amp;(ROW(R110)+$F$1-1))=0,AO109,$G112)</f>
        <v>0</v>
      </c>
      <c r="AP110" s="7" cm="1">
        <f t="array" aca="1" ref="AP110" ca="1">IF(INDIRECT("$D"&amp;(ROW(R110)+$F$1-1))=0,AP109,$G113)</f>
        <v>0</v>
      </c>
      <c r="AQ110" s="7" cm="1">
        <f t="array" aca="1" ref="AQ110" ca="1">IF(INDIRECT("$D"&amp;(ROW(R110)+$F$1-1))=0,AQ109,$G114)</f>
        <v>1</v>
      </c>
      <c r="AR110" s="7" cm="1">
        <f t="array" aca="1" ref="AR110" ca="1">IF(INDIRECT("$D"&amp;(ROW(R110)+$F$1-1))=0,AR109,$G115)</f>
        <v>0</v>
      </c>
      <c r="AS110" s="7" cm="1">
        <f t="array" aca="1" ref="AS110" ca="1">IF(INDIRECT("$D"&amp;(ROW(AS110)+$F$1-1))=0,AS109+4,1)</f>
        <v>349</v>
      </c>
      <c r="AT110" s="7" cm="1">
        <f t="array" aca="1" ref="AT110" ca="1">IF(INDIRECT("$D"&amp;(ROW(AT110)+$F$1-1))=0,AT109+4,2)</f>
        <v>350</v>
      </c>
      <c r="AU110" s="7" cm="1">
        <f t="array" aca="1" ref="AU110" ca="1">IF(INDIRECT("$D"&amp;(ROW(AU110)+$F$1-1))=0,AU109+4,3)</f>
        <v>351</v>
      </c>
      <c r="AV110" s="7" cm="1">
        <f t="array" aca="1" ref="AV110" ca="1">IF(INDIRECT("$D"&amp;(ROW(AV110)+$F$1-1))=0,AV109+4,4)</f>
        <v>352</v>
      </c>
      <c r="AW110" s="22" cm="1">
        <f t="array" aca="1" ref="AW110" ca="1">_xlfn.XLOOKUP(1,INDIRECT("J"&amp;ROW(K110)+$F$1):J$103,INDIRECT("D"&amp;ROW(K110)+$F$1):D$103,0,0,1)</f>
        <v>0</v>
      </c>
      <c r="AX110" s="22">
        <f t="shared" ca="1" si="9"/>
        <v>0</v>
      </c>
      <c r="AY110" s="22" cm="1">
        <f t="array" aca="1" ref="AY110" ca="1">_xlfn.XLOOKUP(AW110,D$4:D$110,H$4:H$110&amp;N$4:N$110&amp;O$4:O$110,0,0,1)</f>
        <v>0</v>
      </c>
      <c r="AZ110" s="22" cm="1">
        <f t="array" aca="1" ref="AZ110" ca="1">_xlfn.XLOOKUP(AW110,D$4:D$110,I$4:I$110&amp;P$4:P$110&amp;Q$4:Q$110,0,0,1)</f>
        <v>0</v>
      </c>
      <c r="BA110" s="14" cm="1">
        <f t="array" ref="BA110">_xlfn.XLOOKUP(1,J$4:J109,D$4:D109,0,0,-1)</f>
        <v>35</v>
      </c>
      <c r="BB110" s="14">
        <f t="shared" si="11"/>
        <v>1</v>
      </c>
      <c r="BC110" s="14" t="str" cm="1">
        <f t="array" ref="BC110">_xlfn.SWITCH(TRUE,_xlfn.XLOOKUP(BA110,D$4:D$110,TEXT(F$4:F$110,"HH"),0,0,1)="00",B108&amp;"",_xlfn.XLOOKUP(BA110,D$4:D$110,TEXT(F$4:F$110,"HH"),0,0,1)="T","00",TRUE,_xlfn.XLOOKUP(BA110,D$4:D$110,TEXT(F$4:F$110,"HH"),0,0,1))</f>
        <v>00</v>
      </c>
      <c r="BD110" s="14" t="str">
        <f t="shared" si="10"/>
        <v>000000</v>
      </c>
    </row>
  </sheetData>
  <mergeCells count="10">
    <mergeCell ref="R1:W1"/>
    <mergeCell ref="R2:W2"/>
    <mergeCell ref="X2:AC2"/>
    <mergeCell ref="AD2:AI2"/>
    <mergeCell ref="AM1:AR1"/>
    <mergeCell ref="AS1:AV1"/>
    <mergeCell ref="X1:AC1"/>
    <mergeCell ref="AD1:AI1"/>
    <mergeCell ref="AM2:AR2"/>
    <mergeCell ref="AS2:AV2"/>
  </mergeCells>
  <pageMargins left="0.7" right="0.7" top="0.75" bottom="0.75" header="0.3" footer="0.3"/>
  <pageSetup paperSize="9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DFC22C-6C9C-4D32-89E9-AC40D47CC118}">
  <dimension ref="A1:G102"/>
  <sheetViews>
    <sheetView workbookViewId="0">
      <selection activeCell="B2" sqref="B2"/>
    </sheetView>
  </sheetViews>
  <sheetFormatPr defaultRowHeight="14.4"/>
  <cols>
    <col min="1" max="1" width="14.21875" bestFit="1" customWidth="1"/>
    <col min="2" max="7" width="21.109375" bestFit="1" customWidth="1"/>
  </cols>
  <sheetData>
    <row r="1" spans="1:7">
      <c r="A1" t="s">
        <v>37</v>
      </c>
    </row>
    <row r="2" spans="1:7">
      <c r="A2" t="s">
        <v>38</v>
      </c>
    </row>
    <row r="3" spans="1:7">
      <c r="A3" t="str">
        <f>M電入力!C4&amp;";"</f>
        <v>3790;</v>
      </c>
      <c r="B3" t="str">
        <f>"Beacon.Put(110,0,1"&amp;TEXT(M電入力!$D4,"000")&amp;");"</f>
        <v>Beacon.Put(110,0,1050);</v>
      </c>
      <c r="C3" t="str">
        <f>"Beacon.Put(110,0,2"&amp;TEXT(M電入力!$D5,"000")&amp;");"</f>
        <v>Beacon.Put(110,0,2051);</v>
      </c>
      <c r="D3" t="str">
        <f>"Beacon.Put(110,0,3"&amp;TEXT(M電入力!$D6,"000")&amp;");"</f>
        <v>Beacon.Put(110,0,3052);</v>
      </c>
      <c r="E3" t="str">
        <f>"Beacon.Put(110,0,4"&amp;TEXT(M電入力!$D7,"000")&amp;");"</f>
        <v>Beacon.Put(110,0,4053);</v>
      </c>
      <c r="F3" t="str">
        <f>"Beacon.Put(110,0,5"&amp;TEXT(M電入力!$D8,"000")&amp;");"</f>
        <v>Beacon.Put(110,0,5065);</v>
      </c>
      <c r="G3" t="str">
        <f>"Beacon.Put(110,0,6"&amp;TEXT(M電入力!$D9,"000")&amp;");"</f>
        <v>Beacon.Put(110,0,6066);</v>
      </c>
    </row>
    <row r="4" spans="1:7">
      <c r="A4" t="str">
        <f>M電入力!C5&amp;"+25;"</f>
        <v>6875+25;</v>
      </c>
      <c r="B4" t="str">
        <f>"Beacon.Put(110,0,1"&amp;TEXT(M電入力!$D5,"000")&amp;");"</f>
        <v>Beacon.Put(110,0,1051);</v>
      </c>
      <c r="C4" t="str">
        <f>"Beacon.Put(110,0,2"&amp;TEXT(M電入力!$D6,"000")&amp;");"</f>
        <v>Beacon.Put(110,0,2052);</v>
      </c>
      <c r="D4" t="str">
        <f>"Beacon.Put(110,0,3"&amp;TEXT(M電入力!$D7,"000")&amp;");"</f>
        <v>Beacon.Put(110,0,3053);</v>
      </c>
      <c r="E4" t="str">
        <f>"Beacon.Put(110,0,4"&amp;TEXT(M電入力!$D8,"000")&amp;");"</f>
        <v>Beacon.Put(110,0,4065);</v>
      </c>
      <c r="F4" t="str">
        <f>"Beacon.Put(110,0,5"&amp;TEXT(M電入力!$D9,"000")&amp;");"</f>
        <v>Beacon.Put(110,0,5066);</v>
      </c>
      <c r="G4" t="str">
        <f>"Beacon.Put(110,0,6"&amp;TEXT(M電入力!$D10,"000")&amp;");"</f>
        <v>Beacon.Put(110,0,6067);</v>
      </c>
    </row>
    <row r="5" spans="1:7">
      <c r="A5" t="str">
        <f>M電入力!C6&amp;"+25;"</f>
        <v>8460+25;</v>
      </c>
      <c r="B5" t="str">
        <f>"Beacon.Put(110,0,1"&amp;TEXT(M電入力!$D6,"000")&amp;");"</f>
        <v>Beacon.Put(110,0,1052);</v>
      </c>
      <c r="C5" t="str">
        <f>"Beacon.Put(110,0,2"&amp;TEXT(M電入力!$D7,"000")&amp;");"</f>
        <v>Beacon.Put(110,0,2053);</v>
      </c>
      <c r="D5" t="str">
        <f>"Beacon.Put(110,0,3"&amp;TEXT(M電入力!$D8,"000")&amp;");"</f>
        <v>Beacon.Put(110,0,3065);</v>
      </c>
      <c r="E5" t="str">
        <f>"Beacon.Put(110,0,4"&amp;TEXT(M電入力!$D9,"000")&amp;");"</f>
        <v>Beacon.Put(110,0,4066);</v>
      </c>
      <c r="F5" t="str">
        <f>"Beacon.Put(110,0,5"&amp;TEXT(M電入力!$D10,"000")&amp;");"</f>
        <v>Beacon.Put(110,0,5067);</v>
      </c>
      <c r="G5" t="str">
        <f>"Beacon.Put(110,0,6"&amp;TEXT(M電入力!$D11,"000")&amp;");"</f>
        <v>Beacon.Put(110,0,6069);</v>
      </c>
    </row>
    <row r="6" spans="1:7">
      <c r="A6" t="str">
        <f>M電入力!C7&amp;"+25;"</f>
        <v>13240+25;</v>
      </c>
      <c r="B6" t="str">
        <f>"Beacon.Put(110,0,1"&amp;TEXT(M電入力!$D7,"000")&amp;");"</f>
        <v>Beacon.Put(110,0,1053);</v>
      </c>
      <c r="C6" t="str">
        <f>"Beacon.Put(110,0,2"&amp;TEXT(M電入力!$D8,"000")&amp;");"</f>
        <v>Beacon.Put(110,0,2065);</v>
      </c>
      <c r="D6" t="str">
        <f>"Beacon.Put(110,0,3"&amp;TEXT(M電入力!$D9,"000")&amp;");"</f>
        <v>Beacon.Put(110,0,3066);</v>
      </c>
      <c r="E6" t="str">
        <f>"Beacon.Put(110,0,4"&amp;TEXT(M電入力!$D10,"000")&amp;");"</f>
        <v>Beacon.Put(110,0,4067);</v>
      </c>
      <c r="F6" t="str">
        <f>"Beacon.Put(110,0,5"&amp;TEXT(M電入力!$D11,"000")&amp;");"</f>
        <v>Beacon.Put(110,0,5069);</v>
      </c>
      <c r="G6" t="str">
        <f>"Beacon.Put(110,0,6"&amp;TEXT(M電入力!$D12,"000")&amp;");"</f>
        <v>Beacon.Put(110,0,6070);</v>
      </c>
    </row>
    <row r="7" spans="1:7">
      <c r="A7" t="str">
        <f>M電入力!C8&amp;"+25;"</f>
        <v>15880+25;</v>
      </c>
      <c r="B7" t="str">
        <f>"Beacon.Put(110,0,1"&amp;TEXT(M電入力!$D8,"000")&amp;");"</f>
        <v>Beacon.Put(110,0,1065);</v>
      </c>
      <c r="C7" t="str">
        <f>"Beacon.Put(110,0,2"&amp;TEXT(M電入力!$D9,"000")&amp;");"</f>
        <v>Beacon.Put(110,0,2066);</v>
      </c>
      <c r="D7" t="str">
        <f>"Beacon.Put(110,0,3"&amp;TEXT(M電入力!$D10,"000")&amp;");"</f>
        <v>Beacon.Put(110,0,3067);</v>
      </c>
      <c r="E7" t="str">
        <f>"Beacon.Put(110,0,4"&amp;TEXT(M電入力!$D11,"000")&amp;");"</f>
        <v>Beacon.Put(110,0,4069);</v>
      </c>
      <c r="F7" t="str">
        <f>"Beacon.Put(110,0,5"&amp;TEXT(M電入力!$D12,"000")&amp;");"</f>
        <v>Beacon.Put(110,0,5070);</v>
      </c>
      <c r="G7" t="str">
        <f>"Beacon.Put(110,0,6"&amp;TEXT(M電入力!$D13,"000")&amp;");"</f>
        <v>Beacon.Put(110,0,6072);</v>
      </c>
    </row>
    <row r="8" spans="1:7">
      <c r="A8" t="str">
        <f>M電入力!C9&amp;"+25;"</f>
        <v>24240+25;</v>
      </c>
      <c r="B8" t="str">
        <f>"Beacon.Put(110,0,1"&amp;TEXT(M電入力!$D9,"000")&amp;");"</f>
        <v>Beacon.Put(110,0,1066);</v>
      </c>
      <c r="C8" t="str">
        <f>"Beacon.Put(110,0,2"&amp;TEXT(M電入力!$D10,"000")&amp;");"</f>
        <v>Beacon.Put(110,0,2067);</v>
      </c>
      <c r="D8" t="str">
        <f>"Beacon.Put(110,0,3"&amp;TEXT(M電入力!$D11,"000")&amp;");"</f>
        <v>Beacon.Put(110,0,3069);</v>
      </c>
      <c r="E8" t="str">
        <f>"Beacon.Put(110,0,4"&amp;TEXT(M電入力!$D12,"000")&amp;");"</f>
        <v>Beacon.Put(110,0,4070);</v>
      </c>
      <c r="F8" t="str">
        <f>"Beacon.Put(110,0,5"&amp;TEXT(M電入力!$D13,"000")&amp;");"</f>
        <v>Beacon.Put(110,0,5072);</v>
      </c>
      <c r="G8" t="str">
        <f>"Beacon.Put(110,0,6"&amp;TEXT(M電入力!$D14,"000")&amp;");"</f>
        <v>Beacon.Put(110,0,6073);</v>
      </c>
    </row>
    <row r="9" spans="1:7">
      <c r="A9" t="str">
        <f>M電入力!C10&amp;"+25;"</f>
        <v>28915+25;</v>
      </c>
      <c r="B9" t="str">
        <f>"Beacon.Put(110,0,1"&amp;TEXT(M電入力!$D10,"000")&amp;");"</f>
        <v>Beacon.Put(110,0,1067);</v>
      </c>
      <c r="C9" t="str">
        <f>"Beacon.Put(110,0,2"&amp;TEXT(M電入力!$D11,"000")&amp;");"</f>
        <v>Beacon.Put(110,0,2069);</v>
      </c>
      <c r="D9" t="str">
        <f>"Beacon.Put(110,0,3"&amp;TEXT(M電入力!$D12,"000")&amp;");"</f>
        <v>Beacon.Put(110,0,3070);</v>
      </c>
      <c r="E9" t="str">
        <f>"Beacon.Put(110,0,4"&amp;TEXT(M電入力!$D13,"000")&amp;");"</f>
        <v>Beacon.Put(110,0,4072);</v>
      </c>
      <c r="F9" t="str">
        <f>"Beacon.Put(110,0,5"&amp;TEXT(M電入力!$D14,"000")&amp;");"</f>
        <v>Beacon.Put(110,0,5073);</v>
      </c>
      <c r="G9" t="str">
        <f>"Beacon.Put(110,0,6"&amp;TEXT(M電入力!$D15,"000")&amp;");"</f>
        <v>Beacon.Put(110,0,6074);</v>
      </c>
    </row>
    <row r="10" spans="1:7">
      <c r="A10" t="str">
        <f>M電入力!C11&amp;"+25;"</f>
        <v>30560+25;</v>
      </c>
      <c r="B10" t="str">
        <f>"Beacon.Put(110,0,1"&amp;TEXT(M電入力!$D11,"000")&amp;");"</f>
        <v>Beacon.Put(110,0,1069);</v>
      </c>
      <c r="C10" t="str">
        <f>"Beacon.Put(110,0,2"&amp;TEXT(M電入力!$D12,"000")&amp;");"</f>
        <v>Beacon.Put(110,0,2070);</v>
      </c>
      <c r="D10" t="str">
        <f>"Beacon.Put(110,0,3"&amp;TEXT(M電入力!$D13,"000")&amp;");"</f>
        <v>Beacon.Put(110,0,3072);</v>
      </c>
      <c r="E10" t="str">
        <f>"Beacon.Put(110,0,4"&amp;TEXT(M電入力!$D14,"000")&amp;");"</f>
        <v>Beacon.Put(110,0,4073);</v>
      </c>
      <c r="F10" t="str">
        <f>"Beacon.Put(110,0,5"&amp;TEXT(M電入力!$D15,"000")&amp;");"</f>
        <v>Beacon.Put(110,0,5074);</v>
      </c>
      <c r="G10" t="str">
        <f>"Beacon.Put(110,0,6"&amp;TEXT(M電入力!$D16,"000")&amp;");"</f>
        <v>Beacon.Put(110,0,6075);</v>
      </c>
    </row>
    <row r="11" spans="1:7">
      <c r="A11" t="str">
        <f>M電入力!C12&amp;"+25;"</f>
        <v>33570+25;</v>
      </c>
      <c r="B11" t="str">
        <f>"Beacon.Put(110,0,1"&amp;TEXT(M電入力!$D12,"000")&amp;");"</f>
        <v>Beacon.Put(110,0,1070);</v>
      </c>
      <c r="C11" t="str">
        <f>"Beacon.Put(110,0,2"&amp;TEXT(M電入力!$D13,"000")&amp;");"</f>
        <v>Beacon.Put(110,0,2072);</v>
      </c>
      <c r="D11" t="str">
        <f>"Beacon.Put(110,0,3"&amp;TEXT(M電入力!$D14,"000")&amp;");"</f>
        <v>Beacon.Put(110,0,3073);</v>
      </c>
      <c r="E11" t="str">
        <f>"Beacon.Put(110,0,4"&amp;TEXT(M電入力!$D15,"000")&amp;");"</f>
        <v>Beacon.Put(110,0,4074);</v>
      </c>
      <c r="F11" t="str">
        <f>"Beacon.Put(110,0,5"&amp;TEXT(M電入力!$D16,"000")&amp;");"</f>
        <v>Beacon.Put(110,0,5075);</v>
      </c>
      <c r="G11" t="str">
        <f>"Beacon.Put(110,0,6"&amp;TEXT(M電入力!$D17,"000")&amp;");"</f>
        <v>Beacon.Put(110,0,6076);</v>
      </c>
    </row>
    <row r="12" spans="1:7">
      <c r="A12" t="str">
        <f>M電入力!C13&amp;"+25;"</f>
        <v>35668+25;</v>
      </c>
      <c r="B12" t="str">
        <f>"Beacon.Put(110,0,1"&amp;TEXT(M電入力!$D13,"000")&amp;");"</f>
        <v>Beacon.Put(110,0,1072);</v>
      </c>
      <c r="C12" t="str">
        <f>"Beacon.Put(110,0,2"&amp;TEXT(M電入力!$D14,"000")&amp;");"</f>
        <v>Beacon.Put(110,0,2073);</v>
      </c>
      <c r="D12" t="str">
        <f>"Beacon.Put(110,0,3"&amp;TEXT(M電入力!$D15,"000")&amp;");"</f>
        <v>Beacon.Put(110,0,3074);</v>
      </c>
      <c r="E12" t="str">
        <f>"Beacon.Put(110,0,4"&amp;TEXT(M電入力!$D16,"000")&amp;");"</f>
        <v>Beacon.Put(110,0,4075);</v>
      </c>
      <c r="F12" t="str">
        <f>"Beacon.Put(110,0,5"&amp;TEXT(M電入力!$D17,"000")&amp;");"</f>
        <v>Beacon.Put(110,0,5076);</v>
      </c>
      <c r="G12" t="str">
        <f>"Beacon.Put(110,0,6"&amp;TEXT(M電入力!$D18,"000")&amp;");"</f>
        <v>Beacon.Put(110,0,6077);</v>
      </c>
    </row>
    <row r="13" spans="1:7">
      <c r="A13" t="str">
        <f>M電入力!C14&amp;"+25;"</f>
        <v>39538+25;</v>
      </c>
      <c r="B13" t="str">
        <f>"Beacon.Put(110,0,1"&amp;TEXT(M電入力!$D14,"000")&amp;");"</f>
        <v>Beacon.Put(110,0,1073);</v>
      </c>
      <c r="C13" t="str">
        <f>"Beacon.Put(110,0,2"&amp;TEXT(M電入力!$D15,"000")&amp;");"</f>
        <v>Beacon.Put(110,0,2074);</v>
      </c>
      <c r="D13" t="str">
        <f>"Beacon.Put(110,0,3"&amp;TEXT(M電入力!$D16,"000")&amp;");"</f>
        <v>Beacon.Put(110,0,3075);</v>
      </c>
      <c r="E13" t="str">
        <f>"Beacon.Put(110,0,4"&amp;TEXT(M電入力!$D17,"000")&amp;");"</f>
        <v>Beacon.Put(110,0,4076);</v>
      </c>
      <c r="F13" t="str">
        <f>"Beacon.Put(110,0,5"&amp;TEXT(M電入力!$D18,"000")&amp;");"</f>
        <v>Beacon.Put(110,0,5077);</v>
      </c>
      <c r="G13" t="str">
        <f>"Beacon.Put(110,0,6"&amp;TEXT(M電入力!$D19,"000")&amp;");"</f>
        <v>Beacon.Put(110,0,6078);</v>
      </c>
    </row>
    <row r="14" spans="1:7">
      <c r="A14" t="str">
        <f>M電入力!C15&amp;"+25;"</f>
        <v>43818+25;</v>
      </c>
      <c r="B14" t="str">
        <f>"Beacon.Put(110,0,1"&amp;TEXT(M電入力!$D15,"000")&amp;");"</f>
        <v>Beacon.Put(110,0,1074);</v>
      </c>
      <c r="C14" t="str">
        <f>"Beacon.Put(110,0,2"&amp;TEXT(M電入力!$D16,"000")&amp;");"</f>
        <v>Beacon.Put(110,0,2075);</v>
      </c>
      <c r="D14" t="str">
        <f>"Beacon.Put(110,0,3"&amp;TEXT(M電入力!$D17,"000")&amp;");"</f>
        <v>Beacon.Put(110,0,3076);</v>
      </c>
      <c r="E14" t="str">
        <f>"Beacon.Put(110,0,4"&amp;TEXT(M電入力!$D18,"000")&amp;");"</f>
        <v>Beacon.Put(110,0,4077);</v>
      </c>
      <c r="F14" t="str">
        <f>"Beacon.Put(110,0,5"&amp;TEXT(M電入力!$D19,"000")&amp;");"</f>
        <v>Beacon.Put(110,0,5078);</v>
      </c>
      <c r="G14" t="str">
        <f>"Beacon.Put(110,0,6"&amp;TEXT(M電入力!$D20,"000")&amp;");"</f>
        <v>Beacon.Put(110,0,6079);</v>
      </c>
    </row>
    <row r="15" spans="1:7">
      <c r="A15" t="str">
        <f>M電入力!C16&amp;"+25;"</f>
        <v>46196+25;</v>
      </c>
      <c r="B15" t="str">
        <f>"Beacon.Put(110,0,1"&amp;TEXT(M電入力!$D16,"000")&amp;");"</f>
        <v>Beacon.Put(110,0,1075);</v>
      </c>
      <c r="C15" t="str">
        <f>"Beacon.Put(110,0,2"&amp;TEXT(M電入力!$D17,"000")&amp;");"</f>
        <v>Beacon.Put(110,0,2076);</v>
      </c>
      <c r="D15" t="str">
        <f>"Beacon.Put(110,0,3"&amp;TEXT(M電入力!$D18,"000")&amp;");"</f>
        <v>Beacon.Put(110,0,3077);</v>
      </c>
      <c r="E15" t="str">
        <f>"Beacon.Put(110,0,4"&amp;TEXT(M電入力!$D19,"000")&amp;");"</f>
        <v>Beacon.Put(110,0,4078);</v>
      </c>
      <c r="F15" t="str">
        <f>"Beacon.Put(110,0,5"&amp;TEXT(M電入力!$D20,"000")&amp;");"</f>
        <v>Beacon.Put(110,0,5079);</v>
      </c>
      <c r="G15" t="str">
        <f>"Beacon.Put(110,0,6"&amp;TEXT(M電入力!$D21,"000")&amp;");"</f>
        <v>Beacon.Put(110,0,6080);</v>
      </c>
    </row>
    <row r="16" spans="1:7">
      <c r="A16" t="str">
        <f>M電入力!C17&amp;"+25;"</f>
        <v>49193+25;</v>
      </c>
      <c r="B16" t="str">
        <f>"Beacon.Put(110,0,1"&amp;TEXT(M電入力!$D17,"000")&amp;");"</f>
        <v>Beacon.Put(110,0,1076);</v>
      </c>
      <c r="C16" t="str">
        <f>"Beacon.Put(110,0,2"&amp;TEXT(M電入力!$D18,"000")&amp;");"</f>
        <v>Beacon.Put(110,0,2077);</v>
      </c>
      <c r="D16" t="str">
        <f>"Beacon.Put(110,0,3"&amp;TEXT(M電入力!$D19,"000")&amp;");"</f>
        <v>Beacon.Put(110,0,3078);</v>
      </c>
      <c r="E16" t="str">
        <f>"Beacon.Put(110,0,4"&amp;TEXT(M電入力!$D20,"000")&amp;");"</f>
        <v>Beacon.Put(110,0,4079);</v>
      </c>
      <c r="F16" t="str">
        <f>"Beacon.Put(110,0,5"&amp;TEXT(M電入力!$D21,"000")&amp;");"</f>
        <v>Beacon.Put(110,0,5080);</v>
      </c>
      <c r="G16" t="str">
        <f>"Beacon.Put(110,0,6"&amp;TEXT(M電入力!$D22,"000")&amp;");"</f>
        <v>Beacon.Put(110,0,6081);</v>
      </c>
    </row>
    <row r="17" spans="1:7">
      <c r="A17" t="str">
        <f>M電入力!C18&amp;"+25;"</f>
        <v>51971+25;</v>
      </c>
      <c r="B17" t="str">
        <f>"Beacon.Put(110,0,1"&amp;TEXT(M電入力!$D18,"000")&amp;");"</f>
        <v>Beacon.Put(110,0,1077);</v>
      </c>
      <c r="C17" t="str">
        <f>"Beacon.Put(110,0,2"&amp;TEXT(M電入力!$D19,"000")&amp;");"</f>
        <v>Beacon.Put(110,0,2078);</v>
      </c>
      <c r="D17" t="str">
        <f>"Beacon.Put(110,0,3"&amp;TEXT(M電入力!$D20,"000")&amp;");"</f>
        <v>Beacon.Put(110,0,3079);</v>
      </c>
      <c r="E17" t="str">
        <f>"Beacon.Put(110,0,4"&amp;TEXT(M電入力!$D21,"000")&amp;");"</f>
        <v>Beacon.Put(110,0,4080);</v>
      </c>
      <c r="F17" t="str">
        <f>"Beacon.Put(110,0,5"&amp;TEXT(M電入力!$D22,"000")&amp;");"</f>
        <v>Beacon.Put(110,0,5081);</v>
      </c>
      <c r="G17" t="str">
        <f>"Beacon.Put(110,0,6"&amp;TEXT(M電入力!$D23,"000")&amp;");"</f>
        <v>Beacon.Put(110,0,6082);</v>
      </c>
    </row>
    <row r="18" spans="1:7">
      <c r="A18" t="str">
        <f>M電入力!C19&amp;"+25;"</f>
        <v>57590+25;</v>
      </c>
      <c r="B18" t="str">
        <f>"Beacon.Put(110,0,1"&amp;TEXT(M電入力!$D19,"000")&amp;");"</f>
        <v>Beacon.Put(110,0,1078);</v>
      </c>
      <c r="C18" t="str">
        <f>"Beacon.Put(110,0,2"&amp;TEXT(M電入力!$D20,"000")&amp;");"</f>
        <v>Beacon.Put(110,0,2079);</v>
      </c>
      <c r="D18" t="str">
        <f>"Beacon.Put(110,0,3"&amp;TEXT(M電入力!$D21,"000")&amp;");"</f>
        <v>Beacon.Put(110,0,3080);</v>
      </c>
      <c r="E18" t="str">
        <f>"Beacon.Put(110,0,4"&amp;TEXT(M電入力!$D22,"000")&amp;");"</f>
        <v>Beacon.Put(110,0,4081);</v>
      </c>
      <c r="F18" t="str">
        <f>"Beacon.Put(110,0,5"&amp;TEXT(M電入力!$D23,"000")&amp;");"</f>
        <v>Beacon.Put(110,0,5082);</v>
      </c>
      <c r="G18" t="str">
        <f>"Beacon.Put(110,0,6"&amp;TEXT(M電入力!$D24,"000")&amp;");"</f>
        <v>Beacon.Put(110,0,6083);</v>
      </c>
    </row>
    <row r="19" spans="1:7">
      <c r="A19" t="str">
        <f>M電入力!C20&amp;"+25;"</f>
        <v>65015+25;</v>
      </c>
      <c r="B19" t="str">
        <f>"Beacon.Put(110,0,1"&amp;TEXT(M電入力!$D20,"000")&amp;");"</f>
        <v>Beacon.Put(110,0,1079);</v>
      </c>
      <c r="C19" t="str">
        <f>"Beacon.Put(110,0,2"&amp;TEXT(M電入力!$D21,"000")&amp;");"</f>
        <v>Beacon.Put(110,0,2080);</v>
      </c>
      <c r="D19" t="str">
        <f>"Beacon.Put(110,0,3"&amp;TEXT(M電入力!$D22,"000")&amp;");"</f>
        <v>Beacon.Put(110,0,3081);</v>
      </c>
      <c r="E19" t="str">
        <f>"Beacon.Put(110,0,4"&amp;TEXT(M電入力!$D23,"000")&amp;");"</f>
        <v>Beacon.Put(110,0,4082);</v>
      </c>
      <c r="F19" t="str">
        <f>"Beacon.Put(110,0,5"&amp;TEXT(M電入力!$D24,"000")&amp;");"</f>
        <v>Beacon.Put(110,0,5083);</v>
      </c>
      <c r="G19" t="str">
        <f>"Beacon.Put(110,0,6"&amp;TEXT(M電入力!$D25,"000")&amp;");"</f>
        <v>Beacon.Put(110,0,6084);</v>
      </c>
    </row>
    <row r="20" spans="1:7">
      <c r="A20" t="str">
        <f>M電入力!C21&amp;"+25;"</f>
        <v>69762+25;</v>
      </c>
      <c r="B20" t="str">
        <f>"Beacon.Put(110,0,1"&amp;TEXT(M電入力!$D21,"000")&amp;");"</f>
        <v>Beacon.Put(110,0,1080);</v>
      </c>
      <c r="C20" t="str">
        <f>"Beacon.Put(110,0,2"&amp;TEXT(M電入力!$D22,"000")&amp;");"</f>
        <v>Beacon.Put(110,0,2081);</v>
      </c>
      <c r="D20" t="str">
        <f>"Beacon.Put(110,0,3"&amp;TEXT(M電入力!$D23,"000")&amp;");"</f>
        <v>Beacon.Put(110,0,3082);</v>
      </c>
      <c r="E20" t="str">
        <f>"Beacon.Put(110,0,4"&amp;TEXT(M電入力!$D24,"000")&amp;");"</f>
        <v>Beacon.Put(110,0,4083);</v>
      </c>
      <c r="F20" t="str">
        <f>"Beacon.Put(110,0,5"&amp;TEXT(M電入力!$D25,"000")&amp;");"</f>
        <v>Beacon.Put(110,0,5084);</v>
      </c>
      <c r="G20" t="str">
        <f>"Beacon.Put(110,0,6"&amp;TEXT(M電入力!$D26,"000")&amp;");"</f>
        <v>Beacon.Put(110,0,6085);</v>
      </c>
    </row>
    <row r="21" spans="1:7">
      <c r="A21" t="str">
        <f>M電入力!C22&amp;"+25;"</f>
        <v>73595+25;</v>
      </c>
      <c r="B21" t="str">
        <f>"Beacon.Put(110,0,1"&amp;TEXT(M電入力!$D22,"000")&amp;");"</f>
        <v>Beacon.Put(110,0,1081);</v>
      </c>
      <c r="C21" t="str">
        <f>"Beacon.Put(110,0,2"&amp;TEXT(M電入力!$D23,"000")&amp;");"</f>
        <v>Beacon.Put(110,0,2082);</v>
      </c>
      <c r="D21" t="str">
        <f>"Beacon.Put(110,0,3"&amp;TEXT(M電入力!$D24,"000")&amp;");"</f>
        <v>Beacon.Put(110,0,3083);</v>
      </c>
      <c r="E21" t="str">
        <f>"Beacon.Put(110,0,4"&amp;TEXT(M電入力!$D25,"000")&amp;");"</f>
        <v>Beacon.Put(110,0,4084);</v>
      </c>
      <c r="F21" t="str">
        <f>"Beacon.Put(110,0,5"&amp;TEXT(M電入力!$D26,"000")&amp;");"</f>
        <v>Beacon.Put(110,0,5085);</v>
      </c>
      <c r="G21" t="str">
        <f>"Beacon.Put(110,0,6"&amp;TEXT(M電入力!$D27,"000")&amp;");"</f>
        <v>Beacon.Put(110,0,6086);</v>
      </c>
    </row>
    <row r="22" spans="1:7">
      <c r="A22" t="str">
        <f>M電入力!C23&amp;"+25;"</f>
        <v>80960+25;</v>
      </c>
      <c r="B22" t="str">
        <f>"Beacon.Put(110,0,1"&amp;TEXT(M電入力!$D23,"000")&amp;");"</f>
        <v>Beacon.Put(110,0,1082);</v>
      </c>
      <c r="C22" t="str">
        <f>"Beacon.Put(110,0,2"&amp;TEXT(M電入力!$D24,"000")&amp;");"</f>
        <v>Beacon.Put(110,0,2083);</v>
      </c>
      <c r="D22" t="str">
        <f>"Beacon.Put(110,0,3"&amp;TEXT(M電入力!$D25,"000")&amp;");"</f>
        <v>Beacon.Put(110,0,3084);</v>
      </c>
      <c r="E22" t="str">
        <f>"Beacon.Put(110,0,4"&amp;TEXT(M電入力!$D26,"000")&amp;");"</f>
        <v>Beacon.Put(110,0,4085);</v>
      </c>
      <c r="F22" t="str">
        <f>"Beacon.Put(110,0,5"&amp;TEXT(M電入力!$D27,"000")&amp;");"</f>
        <v>Beacon.Put(110,0,5086);</v>
      </c>
      <c r="G22" t="str">
        <f>"Beacon.Put(110,0,6"&amp;TEXT(M電入力!$D28,"000")&amp;");"</f>
        <v>Beacon.Put(110,0,6087);</v>
      </c>
    </row>
    <row r="23" spans="1:7">
      <c r="A23" t="str">
        <f>M電入力!C24&amp;"+25;"</f>
        <v>88412+25;</v>
      </c>
      <c r="B23" t="str">
        <f>"Beacon.Put(110,0,1"&amp;TEXT(M電入力!$D24,"000")&amp;");"</f>
        <v>Beacon.Put(110,0,1083);</v>
      </c>
      <c r="C23" t="str">
        <f>"Beacon.Put(110,0,2"&amp;TEXT(M電入力!$D25,"000")&amp;");"</f>
        <v>Beacon.Put(110,0,2084);</v>
      </c>
      <c r="D23" t="str">
        <f>"Beacon.Put(110,0,3"&amp;TEXT(M電入力!$D26,"000")&amp;");"</f>
        <v>Beacon.Put(110,0,3085);</v>
      </c>
      <c r="E23" t="str">
        <f>"Beacon.Put(110,0,4"&amp;TEXT(M電入力!$D27,"000")&amp;");"</f>
        <v>Beacon.Put(110,0,4086);</v>
      </c>
      <c r="F23" t="str">
        <f>"Beacon.Put(110,0,5"&amp;TEXT(M電入力!$D28,"000")&amp;");"</f>
        <v>Beacon.Put(110,0,5087);</v>
      </c>
      <c r="G23" t="str">
        <f>"Beacon.Put(110,0,6"&amp;TEXT(M電入力!$D29,"000")&amp;");"</f>
        <v>Beacon.Put(110,0,6088);</v>
      </c>
    </row>
    <row r="24" spans="1:7">
      <c r="A24" t="str">
        <f>M電入力!C25&amp;"+25;"</f>
        <v>91012+25;</v>
      </c>
      <c r="B24" t="str">
        <f>"Beacon.Put(110,0,1"&amp;TEXT(M電入力!$D25,"000")&amp;");"</f>
        <v>Beacon.Put(110,0,1084);</v>
      </c>
      <c r="C24" t="str">
        <f>"Beacon.Put(110,0,2"&amp;TEXT(M電入力!$D26,"000")&amp;");"</f>
        <v>Beacon.Put(110,0,2085);</v>
      </c>
      <c r="D24" t="str">
        <f>"Beacon.Put(110,0,3"&amp;TEXT(M電入力!$D27,"000")&amp;");"</f>
        <v>Beacon.Put(110,0,3086);</v>
      </c>
      <c r="E24" t="str">
        <f>"Beacon.Put(110,0,4"&amp;TEXT(M電入力!$D28,"000")&amp;");"</f>
        <v>Beacon.Put(110,0,4087);</v>
      </c>
      <c r="F24" t="str">
        <f>"Beacon.Put(110,0,5"&amp;TEXT(M電入力!$D29,"000")&amp;");"</f>
        <v>Beacon.Put(110,0,5088);</v>
      </c>
      <c r="G24" t="str">
        <f>"Beacon.Put(110,0,6"&amp;TEXT(M電入力!$D30,"000")&amp;");"</f>
        <v>Beacon.Put(110,0,6000);</v>
      </c>
    </row>
    <row r="25" spans="1:7">
      <c r="A25" t="str">
        <f>M電入力!C26&amp;"+25;"</f>
        <v>95735+25;</v>
      </c>
      <c r="B25" t="str">
        <f>"Beacon.Put(110,0,1"&amp;TEXT(M電入力!$D26,"000")&amp;");"</f>
        <v>Beacon.Put(110,0,1085);</v>
      </c>
      <c r="C25" t="str">
        <f>"Beacon.Put(110,0,2"&amp;TEXT(M電入力!$D27,"000")&amp;");"</f>
        <v>Beacon.Put(110,0,2086);</v>
      </c>
      <c r="D25" t="str">
        <f>"Beacon.Put(110,0,3"&amp;TEXT(M電入力!$D28,"000")&amp;");"</f>
        <v>Beacon.Put(110,0,3087);</v>
      </c>
      <c r="E25" t="str">
        <f>"Beacon.Put(110,0,4"&amp;TEXT(M電入力!$D29,"000")&amp;");"</f>
        <v>Beacon.Put(110,0,4088);</v>
      </c>
      <c r="F25" t="str">
        <f>"Beacon.Put(110,0,5"&amp;TEXT(M電入力!$D30,"000")&amp;");"</f>
        <v>Beacon.Put(110,0,5000);</v>
      </c>
      <c r="G25" t="str">
        <f>"Beacon.Put(110,0,6"&amp;TEXT(M電入力!$D31,"000")&amp;");"</f>
        <v>Beacon.Put(110,0,6000);</v>
      </c>
    </row>
    <row r="26" spans="1:7">
      <c r="A26" t="str">
        <f>M電入力!C27&amp;"+25;"</f>
        <v>98975+25;</v>
      </c>
      <c r="B26" t="str">
        <f>"Beacon.Put(110,0,1"&amp;TEXT(M電入力!$D27,"000")&amp;");"</f>
        <v>Beacon.Put(110,0,1086);</v>
      </c>
      <c r="C26" t="str">
        <f>"Beacon.Put(110,0,2"&amp;TEXT(M電入力!$D28,"000")&amp;");"</f>
        <v>Beacon.Put(110,0,2087);</v>
      </c>
      <c r="D26" t="str">
        <f>"Beacon.Put(110,0,3"&amp;TEXT(M電入力!$D29,"000")&amp;");"</f>
        <v>Beacon.Put(110,0,3088);</v>
      </c>
      <c r="E26" t="str">
        <f>"Beacon.Put(110,0,4"&amp;TEXT(M電入力!$D30,"000")&amp;");"</f>
        <v>Beacon.Put(110,0,4000);</v>
      </c>
      <c r="F26" t="str">
        <f>"Beacon.Put(110,0,5"&amp;TEXT(M電入力!$D31,"000")&amp;");"</f>
        <v>Beacon.Put(110,0,5000);</v>
      </c>
      <c r="G26" t="str">
        <f>"Beacon.Put(110,0,6"&amp;TEXT(M電入力!$D32,"000")&amp;");"</f>
        <v>Beacon.Put(110,0,6000);</v>
      </c>
    </row>
    <row r="27" spans="1:7">
      <c r="A27" t="str">
        <f>M電入力!C28&amp;"+25;"</f>
        <v>102162+25;</v>
      </c>
      <c r="B27" t="str">
        <f>"Beacon.Put(110,0,1"&amp;TEXT(M電入力!$D28,"000")&amp;");"</f>
        <v>Beacon.Put(110,0,1087);</v>
      </c>
      <c r="C27" t="str">
        <f>"Beacon.Put(110,0,2"&amp;TEXT(M電入力!$D29,"000")&amp;");"</f>
        <v>Beacon.Put(110,0,2088);</v>
      </c>
      <c r="D27" t="str">
        <f>"Beacon.Put(110,0,3"&amp;TEXT(M電入力!$D30,"000")&amp;");"</f>
        <v>Beacon.Put(110,0,3000);</v>
      </c>
      <c r="E27" t="str">
        <f>"Beacon.Put(110,0,4"&amp;TEXT(M電入力!$D31,"000")&amp;");"</f>
        <v>Beacon.Put(110,0,4000);</v>
      </c>
      <c r="F27" t="str">
        <f>"Beacon.Put(110,0,5"&amp;TEXT(M電入力!$D32,"000")&amp;");"</f>
        <v>Beacon.Put(110,0,5000);</v>
      </c>
      <c r="G27" t="str">
        <f>"Beacon.Put(110,0,6"&amp;TEXT(M電入力!$D33,"000")&amp;");"</f>
        <v>Beacon.Put(110,0,6000);</v>
      </c>
    </row>
    <row r="28" spans="1:7">
      <c r="A28" t="str">
        <f>M電入力!C29&amp;"+25;"</f>
        <v>109904+25;</v>
      </c>
      <c r="B28" t="str">
        <f>"Beacon.Put(110,0,1"&amp;TEXT(M電入力!$D29,"000")&amp;");"</f>
        <v>Beacon.Put(110,0,1088);</v>
      </c>
      <c r="C28" t="str">
        <f>"Beacon.Put(110,0,2"&amp;TEXT(M電入力!$D30,"000")&amp;");"</f>
        <v>Beacon.Put(110,0,2000);</v>
      </c>
      <c r="D28" t="str">
        <f>"Beacon.Put(110,0,3"&amp;TEXT(M電入力!$D31,"000")&amp;");"</f>
        <v>Beacon.Put(110,0,3000);</v>
      </c>
      <c r="E28" t="str">
        <f>"Beacon.Put(110,0,4"&amp;TEXT(M電入力!$D32,"000")&amp;");"</f>
        <v>Beacon.Put(110,0,4000);</v>
      </c>
      <c r="F28" t="str">
        <f>"Beacon.Put(110,0,5"&amp;TEXT(M電入力!$D33,"000")&amp;");"</f>
        <v>Beacon.Put(110,0,5000);</v>
      </c>
      <c r="G28" t="str">
        <f>"Beacon.Put(110,0,6"&amp;TEXT(M電入力!$D34,"000")&amp;");"</f>
        <v>Beacon.Put(110,0,6000);</v>
      </c>
    </row>
    <row r="29" spans="1:7">
      <c r="A29" t="str">
        <f>M電入力!C30&amp;"+25;"</f>
        <v>+25;</v>
      </c>
      <c r="B29" t="str">
        <f>"Beacon.Put(110,0,1"&amp;TEXT(M電入力!$D30,"000")&amp;");"</f>
        <v>Beacon.Put(110,0,1000);</v>
      </c>
      <c r="C29" t="str">
        <f>"Beacon.Put(110,0,2"&amp;TEXT(M電入力!$D31,"000")&amp;");"</f>
        <v>Beacon.Put(110,0,2000);</v>
      </c>
      <c r="D29" t="str">
        <f>"Beacon.Put(110,0,3"&amp;TEXT(M電入力!$D32,"000")&amp;");"</f>
        <v>Beacon.Put(110,0,3000);</v>
      </c>
      <c r="E29" t="str">
        <f>"Beacon.Put(110,0,4"&amp;TEXT(M電入力!$D33,"000")&amp;");"</f>
        <v>Beacon.Put(110,0,4000);</v>
      </c>
      <c r="F29" t="str">
        <f>"Beacon.Put(110,0,5"&amp;TEXT(M電入力!$D34,"000")&amp;");"</f>
        <v>Beacon.Put(110,0,5000);</v>
      </c>
      <c r="G29" t="str">
        <f>"Beacon.Put(110,0,6"&amp;TEXT(M電入力!$D35,"000")&amp;");"</f>
        <v>Beacon.Put(110,0,6000);</v>
      </c>
    </row>
    <row r="30" spans="1:7">
      <c r="A30" t="str">
        <f>M電入力!C31&amp;"+25;"</f>
        <v>+25;</v>
      </c>
      <c r="B30" t="str">
        <f>"Beacon.Put(110,0,1"&amp;TEXT(M電入力!$D31,"000")&amp;");"</f>
        <v>Beacon.Put(110,0,1000);</v>
      </c>
      <c r="C30" t="str">
        <f>"Beacon.Put(110,0,2"&amp;TEXT(M電入力!$D32,"000")&amp;");"</f>
        <v>Beacon.Put(110,0,2000);</v>
      </c>
      <c r="D30" t="str">
        <f>"Beacon.Put(110,0,3"&amp;TEXT(M電入力!$D33,"000")&amp;");"</f>
        <v>Beacon.Put(110,0,3000);</v>
      </c>
      <c r="E30" t="str">
        <f>"Beacon.Put(110,0,4"&amp;TEXT(M電入力!$D34,"000")&amp;");"</f>
        <v>Beacon.Put(110,0,4000);</v>
      </c>
      <c r="F30" t="str">
        <f>"Beacon.Put(110,0,5"&amp;TEXT(M電入力!$D35,"000")&amp;");"</f>
        <v>Beacon.Put(110,0,5000);</v>
      </c>
      <c r="G30" t="str">
        <f>"Beacon.Put(110,0,6"&amp;TEXT(M電入力!$D36,"000")&amp;");"</f>
        <v>Beacon.Put(110,0,6000);</v>
      </c>
    </row>
    <row r="31" spans="1:7">
      <c r="A31" t="str">
        <f>M電入力!C32&amp;"+25;"</f>
        <v>+25;</v>
      </c>
      <c r="B31" t="str">
        <f>"Beacon.Put(110,0,1"&amp;TEXT(M電入力!$D32,"000")&amp;");"</f>
        <v>Beacon.Put(110,0,1000);</v>
      </c>
      <c r="C31" t="str">
        <f>"Beacon.Put(110,0,2"&amp;TEXT(M電入力!$D33,"000")&amp;");"</f>
        <v>Beacon.Put(110,0,2000);</v>
      </c>
      <c r="D31" t="str">
        <f>"Beacon.Put(110,0,3"&amp;TEXT(M電入力!$D34,"000")&amp;");"</f>
        <v>Beacon.Put(110,0,3000);</v>
      </c>
      <c r="E31" t="str">
        <f>"Beacon.Put(110,0,4"&amp;TEXT(M電入力!$D35,"000")&amp;");"</f>
        <v>Beacon.Put(110,0,4000);</v>
      </c>
      <c r="F31" t="str">
        <f>"Beacon.Put(110,0,5"&amp;TEXT(M電入力!$D36,"000")&amp;");"</f>
        <v>Beacon.Put(110,0,5000);</v>
      </c>
      <c r="G31" t="str">
        <f>"Beacon.Put(110,0,6"&amp;TEXT(M電入力!$D37,"000")&amp;");"</f>
        <v>Beacon.Put(110,0,6000);</v>
      </c>
    </row>
    <row r="32" spans="1:7">
      <c r="A32" t="str">
        <f>M電入力!C33&amp;"+25;"</f>
        <v>+25;</v>
      </c>
      <c r="B32" t="str">
        <f>"Beacon.Put(110,0,1"&amp;TEXT(M電入力!$D33,"000")&amp;");"</f>
        <v>Beacon.Put(110,0,1000);</v>
      </c>
      <c r="C32" t="str">
        <f>"Beacon.Put(110,0,2"&amp;TEXT(M電入力!$D34,"000")&amp;");"</f>
        <v>Beacon.Put(110,0,2000);</v>
      </c>
      <c r="D32" t="str">
        <f>"Beacon.Put(110,0,3"&amp;TEXT(M電入力!$D35,"000")&amp;");"</f>
        <v>Beacon.Put(110,0,3000);</v>
      </c>
      <c r="E32" t="str">
        <f>"Beacon.Put(110,0,4"&amp;TEXT(M電入力!$D36,"000")&amp;");"</f>
        <v>Beacon.Put(110,0,4000);</v>
      </c>
      <c r="F32" t="str">
        <f>"Beacon.Put(110,0,5"&amp;TEXT(M電入力!$D37,"000")&amp;");"</f>
        <v>Beacon.Put(110,0,5000);</v>
      </c>
      <c r="G32" t="str">
        <f>"Beacon.Put(110,0,6"&amp;TEXT(M電入力!$D38,"000")&amp;");"</f>
        <v>Beacon.Put(110,0,6000);</v>
      </c>
    </row>
    <row r="33" spans="1:7">
      <c r="A33" t="str">
        <f>M電入力!C34&amp;"+25;"</f>
        <v>+25;</v>
      </c>
      <c r="B33" t="str">
        <f>"Beacon.Put(110,0,1"&amp;TEXT(M電入力!$D34,"000")&amp;");"</f>
        <v>Beacon.Put(110,0,1000);</v>
      </c>
      <c r="C33" t="str">
        <f>"Beacon.Put(110,0,2"&amp;TEXT(M電入力!$D35,"000")&amp;");"</f>
        <v>Beacon.Put(110,0,2000);</v>
      </c>
      <c r="D33" t="str">
        <f>"Beacon.Put(110,0,3"&amp;TEXT(M電入力!$D36,"000")&amp;");"</f>
        <v>Beacon.Put(110,0,3000);</v>
      </c>
      <c r="E33" t="str">
        <f>"Beacon.Put(110,0,4"&amp;TEXT(M電入力!$D37,"000")&amp;");"</f>
        <v>Beacon.Put(110,0,4000);</v>
      </c>
      <c r="F33" t="str">
        <f>"Beacon.Put(110,0,5"&amp;TEXT(M電入力!$D38,"000")&amp;");"</f>
        <v>Beacon.Put(110,0,5000);</v>
      </c>
      <c r="G33" t="str">
        <f>"Beacon.Put(110,0,6"&amp;TEXT(M電入力!$D39,"000")&amp;");"</f>
        <v>Beacon.Put(110,0,6000);</v>
      </c>
    </row>
    <row r="34" spans="1:7">
      <c r="A34" t="str">
        <f>M電入力!C35&amp;"+25;"</f>
        <v>+25;</v>
      </c>
      <c r="B34" t="str">
        <f>"Beacon.Put(110,0,1"&amp;TEXT(M電入力!$D35,"000")&amp;");"</f>
        <v>Beacon.Put(110,0,1000);</v>
      </c>
      <c r="C34" t="str">
        <f>"Beacon.Put(110,0,2"&amp;TEXT(M電入力!$D36,"000")&amp;");"</f>
        <v>Beacon.Put(110,0,2000);</v>
      </c>
      <c r="D34" t="str">
        <f>"Beacon.Put(110,0,3"&amp;TEXT(M電入力!$D37,"000")&amp;");"</f>
        <v>Beacon.Put(110,0,3000);</v>
      </c>
      <c r="E34" t="str">
        <f>"Beacon.Put(110,0,4"&amp;TEXT(M電入力!$D38,"000")&amp;");"</f>
        <v>Beacon.Put(110,0,4000);</v>
      </c>
      <c r="F34" t="str">
        <f>"Beacon.Put(110,0,5"&amp;TEXT(M電入力!$D39,"000")&amp;");"</f>
        <v>Beacon.Put(110,0,5000);</v>
      </c>
      <c r="G34" t="str">
        <f>"Beacon.Put(110,0,6"&amp;TEXT(M電入力!$D40,"000")&amp;");"</f>
        <v>Beacon.Put(110,0,6000);</v>
      </c>
    </row>
    <row r="35" spans="1:7">
      <c r="A35" t="str">
        <f>M電入力!C36&amp;"+25;"</f>
        <v>+25;</v>
      </c>
      <c r="B35" t="str">
        <f>"Beacon.Put(110,0,1"&amp;TEXT(M電入力!$D36,"000")&amp;");"</f>
        <v>Beacon.Put(110,0,1000);</v>
      </c>
      <c r="C35" t="str">
        <f>"Beacon.Put(110,0,2"&amp;TEXT(M電入力!$D37,"000")&amp;");"</f>
        <v>Beacon.Put(110,0,2000);</v>
      </c>
      <c r="D35" t="str">
        <f>"Beacon.Put(110,0,3"&amp;TEXT(M電入力!$D38,"000")&amp;");"</f>
        <v>Beacon.Put(110,0,3000);</v>
      </c>
      <c r="E35" t="str">
        <f>"Beacon.Put(110,0,4"&amp;TEXT(M電入力!$D39,"000")&amp;");"</f>
        <v>Beacon.Put(110,0,4000);</v>
      </c>
      <c r="F35" t="str">
        <f>"Beacon.Put(110,0,5"&amp;TEXT(M電入力!$D40,"000")&amp;");"</f>
        <v>Beacon.Put(110,0,5000);</v>
      </c>
      <c r="G35" t="str">
        <f>"Beacon.Put(110,0,6"&amp;TEXT(M電入力!$D41,"000")&amp;");"</f>
        <v>Beacon.Put(110,0,6000);</v>
      </c>
    </row>
    <row r="36" spans="1:7">
      <c r="A36" t="str">
        <f>M電入力!C37&amp;"+25;"</f>
        <v>+25;</v>
      </c>
      <c r="B36" t="str">
        <f>"Beacon.Put(110,0,1"&amp;TEXT(M電入力!$D37,"000")&amp;");"</f>
        <v>Beacon.Put(110,0,1000);</v>
      </c>
      <c r="C36" t="str">
        <f>"Beacon.Put(110,0,2"&amp;TEXT(M電入力!$D38,"000")&amp;");"</f>
        <v>Beacon.Put(110,0,2000);</v>
      </c>
      <c r="D36" t="str">
        <f>"Beacon.Put(110,0,3"&amp;TEXT(M電入力!$D39,"000")&amp;");"</f>
        <v>Beacon.Put(110,0,3000);</v>
      </c>
      <c r="E36" t="str">
        <f>"Beacon.Put(110,0,4"&amp;TEXT(M電入力!$D40,"000")&amp;");"</f>
        <v>Beacon.Put(110,0,4000);</v>
      </c>
      <c r="F36" t="str">
        <f>"Beacon.Put(110,0,5"&amp;TEXT(M電入力!$D41,"000")&amp;");"</f>
        <v>Beacon.Put(110,0,5000);</v>
      </c>
      <c r="G36" t="str">
        <f>"Beacon.Put(110,0,6"&amp;TEXT(M電入力!$D42,"000")&amp;");"</f>
        <v>Beacon.Put(110,0,6000);</v>
      </c>
    </row>
    <row r="37" spans="1:7">
      <c r="A37" t="str">
        <f>M電入力!C38&amp;"+25;"</f>
        <v>+25;</v>
      </c>
      <c r="B37" t="str">
        <f>"Beacon.Put(110,0,1"&amp;TEXT(M電入力!$D38,"000")&amp;");"</f>
        <v>Beacon.Put(110,0,1000);</v>
      </c>
      <c r="C37" t="str">
        <f>"Beacon.Put(110,0,2"&amp;TEXT(M電入力!$D39,"000")&amp;");"</f>
        <v>Beacon.Put(110,0,2000);</v>
      </c>
      <c r="D37" t="str">
        <f>"Beacon.Put(110,0,3"&amp;TEXT(M電入力!$D40,"000")&amp;");"</f>
        <v>Beacon.Put(110,0,3000);</v>
      </c>
      <c r="E37" t="str">
        <f>"Beacon.Put(110,0,4"&amp;TEXT(M電入力!$D41,"000")&amp;");"</f>
        <v>Beacon.Put(110,0,4000);</v>
      </c>
      <c r="F37" t="str">
        <f>"Beacon.Put(110,0,5"&amp;TEXT(M電入力!$D42,"000")&amp;");"</f>
        <v>Beacon.Put(110,0,5000);</v>
      </c>
      <c r="G37" t="str">
        <f>"Beacon.Put(110,0,6"&amp;TEXT(M電入力!$D43,"000")&amp;");"</f>
        <v>Beacon.Put(110,0,6000);</v>
      </c>
    </row>
    <row r="38" spans="1:7">
      <c r="A38" t="str">
        <f>M電入力!C39&amp;"+25;"</f>
        <v>+25;</v>
      </c>
      <c r="B38" t="str">
        <f>"Beacon.Put(110,0,1"&amp;TEXT(M電入力!$D39,"000")&amp;");"</f>
        <v>Beacon.Put(110,0,1000);</v>
      </c>
      <c r="C38" t="str">
        <f>"Beacon.Put(110,0,2"&amp;TEXT(M電入力!$D40,"000")&amp;");"</f>
        <v>Beacon.Put(110,0,2000);</v>
      </c>
      <c r="D38" t="str">
        <f>"Beacon.Put(110,0,3"&amp;TEXT(M電入力!$D41,"000")&amp;");"</f>
        <v>Beacon.Put(110,0,3000);</v>
      </c>
      <c r="E38" t="str">
        <f>"Beacon.Put(110,0,4"&amp;TEXT(M電入力!$D42,"000")&amp;");"</f>
        <v>Beacon.Put(110,0,4000);</v>
      </c>
      <c r="F38" t="str">
        <f>"Beacon.Put(110,0,5"&amp;TEXT(M電入力!$D43,"000")&amp;");"</f>
        <v>Beacon.Put(110,0,5000);</v>
      </c>
      <c r="G38" t="str">
        <f>"Beacon.Put(110,0,6"&amp;TEXT(M電入力!$D44,"000")&amp;");"</f>
        <v>Beacon.Put(110,0,6000);</v>
      </c>
    </row>
    <row r="39" spans="1:7">
      <c r="A39" t="str">
        <f>M電入力!C40&amp;"+25;"</f>
        <v>+25;</v>
      </c>
      <c r="B39" t="str">
        <f>"Beacon.Put(110,0,1"&amp;TEXT(M電入力!$D40,"000")&amp;");"</f>
        <v>Beacon.Put(110,0,1000);</v>
      </c>
      <c r="C39" t="str">
        <f>"Beacon.Put(110,0,2"&amp;TEXT(M電入力!$D41,"000")&amp;");"</f>
        <v>Beacon.Put(110,0,2000);</v>
      </c>
      <c r="D39" t="str">
        <f>"Beacon.Put(110,0,3"&amp;TEXT(M電入力!$D42,"000")&amp;");"</f>
        <v>Beacon.Put(110,0,3000);</v>
      </c>
      <c r="E39" t="str">
        <f>"Beacon.Put(110,0,4"&amp;TEXT(M電入力!$D43,"000")&amp;");"</f>
        <v>Beacon.Put(110,0,4000);</v>
      </c>
      <c r="F39" t="str">
        <f>"Beacon.Put(110,0,5"&amp;TEXT(M電入力!$D44,"000")&amp;");"</f>
        <v>Beacon.Put(110,0,5000);</v>
      </c>
      <c r="G39" t="str">
        <f>"Beacon.Put(110,0,6"&amp;TEXT(M電入力!$D45,"000")&amp;");"</f>
        <v>Beacon.Put(110,0,6000);</v>
      </c>
    </row>
    <row r="40" spans="1:7">
      <c r="A40" t="str">
        <f>M電入力!C41&amp;"+25;"</f>
        <v>+25;</v>
      </c>
      <c r="B40" t="str">
        <f>"Beacon.Put(110,0,1"&amp;TEXT(M電入力!$D41,"000")&amp;");"</f>
        <v>Beacon.Put(110,0,1000);</v>
      </c>
      <c r="C40" t="str">
        <f>"Beacon.Put(110,0,2"&amp;TEXT(M電入力!$D42,"000")&amp;");"</f>
        <v>Beacon.Put(110,0,2000);</v>
      </c>
      <c r="D40" t="str">
        <f>"Beacon.Put(110,0,3"&amp;TEXT(M電入力!$D43,"000")&amp;");"</f>
        <v>Beacon.Put(110,0,3000);</v>
      </c>
      <c r="E40" t="str">
        <f>"Beacon.Put(110,0,4"&amp;TEXT(M電入力!$D44,"000")&amp;");"</f>
        <v>Beacon.Put(110,0,4000);</v>
      </c>
      <c r="F40" t="str">
        <f>"Beacon.Put(110,0,5"&amp;TEXT(M電入力!$D45,"000")&amp;");"</f>
        <v>Beacon.Put(110,0,5000);</v>
      </c>
      <c r="G40" t="str">
        <f>"Beacon.Put(110,0,6"&amp;TEXT(M電入力!$D46,"000")&amp;");"</f>
        <v>Beacon.Put(110,0,6000);</v>
      </c>
    </row>
    <row r="41" spans="1:7">
      <c r="A41" t="str">
        <f>M電入力!C42&amp;"+25;"</f>
        <v>+25;</v>
      </c>
      <c r="B41" t="str">
        <f>"Beacon.Put(110,0,1"&amp;TEXT(M電入力!$D42,"000")&amp;");"</f>
        <v>Beacon.Put(110,0,1000);</v>
      </c>
      <c r="C41" t="str">
        <f>"Beacon.Put(110,0,2"&amp;TEXT(M電入力!$D43,"000")&amp;");"</f>
        <v>Beacon.Put(110,0,2000);</v>
      </c>
      <c r="D41" t="str">
        <f>"Beacon.Put(110,0,3"&amp;TEXT(M電入力!$D44,"000")&amp;");"</f>
        <v>Beacon.Put(110,0,3000);</v>
      </c>
      <c r="E41" t="str">
        <f>"Beacon.Put(110,0,4"&amp;TEXT(M電入力!$D45,"000")&amp;");"</f>
        <v>Beacon.Put(110,0,4000);</v>
      </c>
      <c r="F41" t="str">
        <f>"Beacon.Put(110,0,5"&amp;TEXT(M電入力!$D46,"000")&amp;");"</f>
        <v>Beacon.Put(110,0,5000);</v>
      </c>
      <c r="G41" t="str">
        <f>"Beacon.Put(110,0,6"&amp;TEXT(M電入力!$D47,"000")&amp;");"</f>
        <v>Beacon.Put(110,0,6000);</v>
      </c>
    </row>
    <row r="42" spans="1:7">
      <c r="A42" t="str">
        <f>M電入力!C43&amp;"+25;"</f>
        <v>+25;</v>
      </c>
      <c r="B42" t="str">
        <f>"Beacon.Put(110,0,1"&amp;TEXT(M電入力!$D43,"000")&amp;");"</f>
        <v>Beacon.Put(110,0,1000);</v>
      </c>
      <c r="C42" t="str">
        <f>"Beacon.Put(110,0,2"&amp;TEXT(M電入力!$D44,"000")&amp;");"</f>
        <v>Beacon.Put(110,0,2000);</v>
      </c>
      <c r="D42" t="str">
        <f>"Beacon.Put(110,0,3"&amp;TEXT(M電入力!$D45,"000")&amp;");"</f>
        <v>Beacon.Put(110,0,3000);</v>
      </c>
      <c r="E42" t="str">
        <f>"Beacon.Put(110,0,4"&amp;TEXT(M電入力!$D46,"000")&amp;");"</f>
        <v>Beacon.Put(110,0,4000);</v>
      </c>
      <c r="F42" t="str">
        <f>"Beacon.Put(110,0,5"&amp;TEXT(M電入力!$D47,"000")&amp;");"</f>
        <v>Beacon.Put(110,0,5000);</v>
      </c>
      <c r="G42" t="str">
        <f>"Beacon.Put(110,0,6"&amp;TEXT(M電入力!$D48,"000")&amp;");"</f>
        <v>Beacon.Put(110,0,6000);</v>
      </c>
    </row>
    <row r="43" spans="1:7">
      <c r="A43" t="str">
        <f>M電入力!C44&amp;"+25;"</f>
        <v>+25;</v>
      </c>
      <c r="B43" t="str">
        <f>"Beacon.Put(110,0,1"&amp;TEXT(M電入力!$D44,"000")&amp;");"</f>
        <v>Beacon.Put(110,0,1000);</v>
      </c>
      <c r="C43" t="str">
        <f>"Beacon.Put(110,0,2"&amp;TEXT(M電入力!$D45,"000")&amp;");"</f>
        <v>Beacon.Put(110,0,2000);</v>
      </c>
      <c r="D43" t="str">
        <f>"Beacon.Put(110,0,3"&amp;TEXT(M電入力!$D46,"000")&amp;");"</f>
        <v>Beacon.Put(110,0,3000);</v>
      </c>
      <c r="E43" t="str">
        <f>"Beacon.Put(110,0,4"&amp;TEXT(M電入力!$D47,"000")&amp;");"</f>
        <v>Beacon.Put(110,0,4000);</v>
      </c>
      <c r="F43" t="str">
        <f>"Beacon.Put(110,0,5"&amp;TEXT(M電入力!$D48,"000")&amp;");"</f>
        <v>Beacon.Put(110,0,5000);</v>
      </c>
      <c r="G43" t="str">
        <f>"Beacon.Put(110,0,6"&amp;TEXT(M電入力!$D49,"000")&amp;");"</f>
        <v>Beacon.Put(110,0,6000);</v>
      </c>
    </row>
    <row r="44" spans="1:7">
      <c r="A44" t="str">
        <f>M電入力!C45&amp;"+25;"</f>
        <v>+25;</v>
      </c>
      <c r="B44" t="str">
        <f>"Beacon.Put(110,0,1"&amp;TEXT(M電入力!$D45,"000")&amp;");"</f>
        <v>Beacon.Put(110,0,1000);</v>
      </c>
      <c r="C44" t="str">
        <f>"Beacon.Put(110,0,2"&amp;TEXT(M電入力!$D46,"000")&amp;");"</f>
        <v>Beacon.Put(110,0,2000);</v>
      </c>
      <c r="D44" t="str">
        <f>"Beacon.Put(110,0,3"&amp;TEXT(M電入力!$D47,"000")&amp;");"</f>
        <v>Beacon.Put(110,0,3000);</v>
      </c>
      <c r="E44" t="str">
        <f>"Beacon.Put(110,0,4"&amp;TEXT(M電入力!$D48,"000")&amp;");"</f>
        <v>Beacon.Put(110,0,4000);</v>
      </c>
      <c r="F44" t="str">
        <f>"Beacon.Put(110,0,5"&amp;TEXT(M電入力!$D49,"000")&amp;");"</f>
        <v>Beacon.Put(110,0,5000);</v>
      </c>
      <c r="G44" t="str">
        <f>"Beacon.Put(110,0,6"&amp;TEXT(M電入力!$D50,"000")&amp;");"</f>
        <v>Beacon.Put(110,0,6000);</v>
      </c>
    </row>
    <row r="45" spans="1:7">
      <c r="A45" t="str">
        <f>M電入力!C46&amp;"+25;"</f>
        <v>+25;</v>
      </c>
      <c r="B45" t="str">
        <f>"Beacon.Put(110,0,1"&amp;TEXT(M電入力!$D46,"000")&amp;");"</f>
        <v>Beacon.Put(110,0,1000);</v>
      </c>
      <c r="C45" t="str">
        <f>"Beacon.Put(110,0,2"&amp;TEXT(M電入力!$D47,"000")&amp;");"</f>
        <v>Beacon.Put(110,0,2000);</v>
      </c>
      <c r="D45" t="str">
        <f>"Beacon.Put(110,0,3"&amp;TEXT(M電入力!$D48,"000")&amp;");"</f>
        <v>Beacon.Put(110,0,3000);</v>
      </c>
      <c r="E45" t="str">
        <f>"Beacon.Put(110,0,4"&amp;TEXT(M電入力!$D49,"000")&amp;");"</f>
        <v>Beacon.Put(110,0,4000);</v>
      </c>
      <c r="F45" t="str">
        <f>"Beacon.Put(110,0,5"&amp;TEXT(M電入力!$D50,"000")&amp;");"</f>
        <v>Beacon.Put(110,0,5000);</v>
      </c>
      <c r="G45" t="str">
        <f>"Beacon.Put(110,0,6"&amp;TEXT(M電入力!$D51,"000")&amp;");"</f>
        <v>Beacon.Put(110,0,6000);</v>
      </c>
    </row>
    <row r="46" spans="1:7">
      <c r="A46" t="str">
        <f>M電入力!C47&amp;"+25;"</f>
        <v>+25;</v>
      </c>
      <c r="B46" t="str">
        <f>"Beacon.Put(110,0,1"&amp;TEXT(M電入力!$D47,"000")&amp;");"</f>
        <v>Beacon.Put(110,0,1000);</v>
      </c>
      <c r="C46" t="str">
        <f>"Beacon.Put(110,0,2"&amp;TEXT(M電入力!$D48,"000")&amp;");"</f>
        <v>Beacon.Put(110,0,2000);</v>
      </c>
      <c r="D46" t="str">
        <f>"Beacon.Put(110,0,3"&amp;TEXT(M電入力!$D49,"000")&amp;");"</f>
        <v>Beacon.Put(110,0,3000);</v>
      </c>
      <c r="E46" t="str">
        <f>"Beacon.Put(110,0,4"&amp;TEXT(M電入力!$D50,"000")&amp;");"</f>
        <v>Beacon.Put(110,0,4000);</v>
      </c>
      <c r="F46" t="str">
        <f>"Beacon.Put(110,0,5"&amp;TEXT(M電入力!$D51,"000")&amp;");"</f>
        <v>Beacon.Put(110,0,5000);</v>
      </c>
      <c r="G46" t="str">
        <f>"Beacon.Put(110,0,6"&amp;TEXT(M電入力!$D52,"000")&amp;");"</f>
        <v>Beacon.Put(110,0,6000);</v>
      </c>
    </row>
    <row r="47" spans="1:7">
      <c r="A47" t="str">
        <f>M電入力!C48&amp;"+25;"</f>
        <v>+25;</v>
      </c>
      <c r="B47" t="str">
        <f>"Beacon.Put(110,0,1"&amp;TEXT(M電入力!$D48,"000")&amp;");"</f>
        <v>Beacon.Put(110,0,1000);</v>
      </c>
      <c r="C47" t="str">
        <f>"Beacon.Put(110,0,2"&amp;TEXT(M電入力!$D49,"000")&amp;");"</f>
        <v>Beacon.Put(110,0,2000);</v>
      </c>
      <c r="D47" t="str">
        <f>"Beacon.Put(110,0,3"&amp;TEXT(M電入力!$D50,"000")&amp;");"</f>
        <v>Beacon.Put(110,0,3000);</v>
      </c>
      <c r="E47" t="str">
        <f>"Beacon.Put(110,0,4"&amp;TEXT(M電入力!$D51,"000")&amp;");"</f>
        <v>Beacon.Put(110,0,4000);</v>
      </c>
      <c r="F47" t="str">
        <f>"Beacon.Put(110,0,5"&amp;TEXT(M電入力!$D52,"000")&amp;");"</f>
        <v>Beacon.Put(110,0,5000);</v>
      </c>
      <c r="G47" t="str">
        <f>"Beacon.Put(110,0,6"&amp;TEXT(M電入力!$D53,"000")&amp;");"</f>
        <v>Beacon.Put(110,0,6000);</v>
      </c>
    </row>
    <row r="48" spans="1:7">
      <c r="A48" t="str">
        <f>M電入力!C49&amp;"+25;"</f>
        <v>+25;</v>
      </c>
      <c r="B48" t="str">
        <f>"Beacon.Put(110,0,1"&amp;TEXT(M電入力!$D49,"000")&amp;");"</f>
        <v>Beacon.Put(110,0,1000);</v>
      </c>
      <c r="C48" t="str">
        <f>"Beacon.Put(110,0,2"&amp;TEXT(M電入力!$D50,"000")&amp;");"</f>
        <v>Beacon.Put(110,0,2000);</v>
      </c>
      <c r="D48" t="str">
        <f>"Beacon.Put(110,0,3"&amp;TEXT(M電入力!$D51,"000")&amp;");"</f>
        <v>Beacon.Put(110,0,3000);</v>
      </c>
      <c r="E48" t="str">
        <f>"Beacon.Put(110,0,4"&amp;TEXT(M電入力!$D52,"000")&amp;");"</f>
        <v>Beacon.Put(110,0,4000);</v>
      </c>
      <c r="F48" t="str">
        <f>"Beacon.Put(110,0,5"&amp;TEXT(M電入力!$D53,"000")&amp;");"</f>
        <v>Beacon.Put(110,0,5000);</v>
      </c>
      <c r="G48" t="str">
        <f>"Beacon.Put(110,0,6"&amp;TEXT(M電入力!$D54,"000")&amp;");"</f>
        <v>Beacon.Put(110,0,6000);</v>
      </c>
    </row>
    <row r="49" spans="1:7">
      <c r="A49" t="str">
        <f>M電入力!C50&amp;"+25;"</f>
        <v>+25;</v>
      </c>
      <c r="B49" t="str">
        <f>"Beacon.Put(110,0,1"&amp;TEXT(M電入力!$D50,"000")&amp;");"</f>
        <v>Beacon.Put(110,0,1000);</v>
      </c>
      <c r="C49" t="str">
        <f>"Beacon.Put(110,0,2"&amp;TEXT(M電入力!$D51,"000")&amp;");"</f>
        <v>Beacon.Put(110,0,2000);</v>
      </c>
      <c r="D49" t="str">
        <f>"Beacon.Put(110,0,3"&amp;TEXT(M電入力!$D52,"000")&amp;");"</f>
        <v>Beacon.Put(110,0,3000);</v>
      </c>
      <c r="E49" t="str">
        <f>"Beacon.Put(110,0,4"&amp;TEXT(M電入力!$D53,"000")&amp;");"</f>
        <v>Beacon.Put(110,0,4000);</v>
      </c>
      <c r="F49" t="str">
        <f>"Beacon.Put(110,0,5"&amp;TEXT(M電入力!$D54,"000")&amp;");"</f>
        <v>Beacon.Put(110,0,5000);</v>
      </c>
      <c r="G49" t="str">
        <f>"Beacon.Put(110,0,6"&amp;TEXT(M電入力!$D55,"000")&amp;");"</f>
        <v>Beacon.Put(110,0,6000);</v>
      </c>
    </row>
    <row r="50" spans="1:7">
      <c r="A50" t="str">
        <f>M電入力!C51&amp;"+25;"</f>
        <v>+25;</v>
      </c>
      <c r="B50" t="str">
        <f>"Beacon.Put(110,0,1"&amp;TEXT(M電入力!$D51,"000")&amp;");"</f>
        <v>Beacon.Put(110,0,1000);</v>
      </c>
      <c r="C50" t="str">
        <f>"Beacon.Put(110,0,2"&amp;TEXT(M電入力!$D52,"000")&amp;");"</f>
        <v>Beacon.Put(110,0,2000);</v>
      </c>
      <c r="D50" t="str">
        <f>"Beacon.Put(110,0,3"&amp;TEXT(M電入力!$D53,"000")&amp;");"</f>
        <v>Beacon.Put(110,0,3000);</v>
      </c>
      <c r="E50" t="str">
        <f>"Beacon.Put(110,0,4"&amp;TEXT(M電入力!$D54,"000")&amp;");"</f>
        <v>Beacon.Put(110,0,4000);</v>
      </c>
      <c r="F50" t="str">
        <f>"Beacon.Put(110,0,5"&amp;TEXT(M電入力!$D55,"000")&amp;");"</f>
        <v>Beacon.Put(110,0,5000);</v>
      </c>
      <c r="G50" t="str">
        <f>"Beacon.Put(110,0,6"&amp;TEXT(M電入力!$D56,"000")&amp;");"</f>
        <v>Beacon.Put(110,0,6000);</v>
      </c>
    </row>
    <row r="51" spans="1:7">
      <c r="A51" t="str">
        <f>M電入力!C52&amp;"+25;"</f>
        <v>+25;</v>
      </c>
      <c r="B51" t="str">
        <f>"Beacon.Put(110,0,1"&amp;TEXT(M電入力!$D52,"000")&amp;");"</f>
        <v>Beacon.Put(110,0,1000);</v>
      </c>
      <c r="C51" t="str">
        <f>"Beacon.Put(110,0,2"&amp;TEXT(M電入力!$D53,"000")&amp;");"</f>
        <v>Beacon.Put(110,0,2000);</v>
      </c>
      <c r="D51" t="str">
        <f>"Beacon.Put(110,0,3"&amp;TEXT(M電入力!$D54,"000")&amp;");"</f>
        <v>Beacon.Put(110,0,3000);</v>
      </c>
      <c r="E51" t="str">
        <f>"Beacon.Put(110,0,4"&amp;TEXT(M電入力!$D55,"000")&amp;");"</f>
        <v>Beacon.Put(110,0,4000);</v>
      </c>
      <c r="F51" t="str">
        <f>"Beacon.Put(110,0,5"&amp;TEXT(M電入力!$D56,"000")&amp;");"</f>
        <v>Beacon.Put(110,0,5000);</v>
      </c>
      <c r="G51" t="str">
        <f>"Beacon.Put(110,0,6"&amp;TEXT(M電入力!$D57,"000")&amp;");"</f>
        <v>Beacon.Put(110,0,6000);</v>
      </c>
    </row>
    <row r="52" spans="1:7">
      <c r="A52" t="str">
        <f>M電入力!C53&amp;"+25;"</f>
        <v>+25;</v>
      </c>
      <c r="B52" t="str">
        <f>"Beacon.Put(110,0,1"&amp;TEXT(M電入力!$D53,"000")&amp;");"</f>
        <v>Beacon.Put(110,0,1000);</v>
      </c>
      <c r="C52" t="str">
        <f>"Beacon.Put(110,0,2"&amp;TEXT(M電入力!$D54,"000")&amp;");"</f>
        <v>Beacon.Put(110,0,2000);</v>
      </c>
      <c r="D52" t="str">
        <f>"Beacon.Put(110,0,3"&amp;TEXT(M電入力!$D55,"000")&amp;");"</f>
        <v>Beacon.Put(110,0,3000);</v>
      </c>
      <c r="E52" t="str">
        <f>"Beacon.Put(110,0,4"&amp;TEXT(M電入力!$D56,"000")&amp;");"</f>
        <v>Beacon.Put(110,0,4000);</v>
      </c>
      <c r="F52" t="str">
        <f>"Beacon.Put(110,0,5"&amp;TEXT(M電入力!$D57,"000")&amp;");"</f>
        <v>Beacon.Put(110,0,5000);</v>
      </c>
      <c r="G52" t="str">
        <f>"Beacon.Put(110,0,6"&amp;TEXT(M電入力!$D58,"000")&amp;");"</f>
        <v>Beacon.Put(110,0,6000);</v>
      </c>
    </row>
    <row r="53" spans="1:7">
      <c r="A53" t="str">
        <f>M電入力!C54&amp;"+25;"</f>
        <v>+25;</v>
      </c>
      <c r="B53" t="str">
        <f>"Beacon.Put(110,0,1"&amp;TEXT(M電入力!$D54,"000")&amp;");"</f>
        <v>Beacon.Put(110,0,1000);</v>
      </c>
      <c r="C53" t="str">
        <f>"Beacon.Put(110,0,2"&amp;TEXT(M電入力!$D55,"000")&amp;");"</f>
        <v>Beacon.Put(110,0,2000);</v>
      </c>
      <c r="D53" t="str">
        <f>"Beacon.Put(110,0,3"&amp;TEXT(M電入力!$D56,"000")&amp;");"</f>
        <v>Beacon.Put(110,0,3000);</v>
      </c>
      <c r="E53" t="str">
        <f>"Beacon.Put(110,0,4"&amp;TEXT(M電入力!$D57,"000")&amp;");"</f>
        <v>Beacon.Put(110,0,4000);</v>
      </c>
      <c r="F53" t="str">
        <f>"Beacon.Put(110,0,5"&amp;TEXT(M電入力!$D58,"000")&amp;");"</f>
        <v>Beacon.Put(110,0,5000);</v>
      </c>
      <c r="G53" t="str">
        <f>"Beacon.Put(110,0,6"&amp;TEXT(M電入力!$D59,"000")&amp;");"</f>
        <v>Beacon.Put(110,0,6000);</v>
      </c>
    </row>
    <row r="54" spans="1:7">
      <c r="A54" t="str">
        <f>M電入力!C55&amp;"+25;"</f>
        <v>+25;</v>
      </c>
      <c r="B54" t="str">
        <f>"Beacon.Put(110,0,1"&amp;TEXT(M電入力!$D55,"000")&amp;");"</f>
        <v>Beacon.Put(110,0,1000);</v>
      </c>
      <c r="C54" t="str">
        <f>"Beacon.Put(110,0,2"&amp;TEXT(M電入力!$D56,"000")&amp;");"</f>
        <v>Beacon.Put(110,0,2000);</v>
      </c>
      <c r="D54" t="str">
        <f>"Beacon.Put(110,0,3"&amp;TEXT(M電入力!$D57,"000")&amp;");"</f>
        <v>Beacon.Put(110,0,3000);</v>
      </c>
      <c r="E54" t="str">
        <f>"Beacon.Put(110,0,4"&amp;TEXT(M電入力!$D58,"000")&amp;");"</f>
        <v>Beacon.Put(110,0,4000);</v>
      </c>
      <c r="F54" t="str">
        <f>"Beacon.Put(110,0,5"&amp;TEXT(M電入力!$D59,"000")&amp;");"</f>
        <v>Beacon.Put(110,0,5000);</v>
      </c>
      <c r="G54" t="str">
        <f>"Beacon.Put(110,0,6"&amp;TEXT(M電入力!$D60,"000")&amp;");"</f>
        <v>Beacon.Put(110,0,6000);</v>
      </c>
    </row>
    <row r="55" spans="1:7">
      <c r="A55" t="str">
        <f>M電入力!C56&amp;"+25;"</f>
        <v>+25;</v>
      </c>
      <c r="B55" t="str">
        <f>"Beacon.Put(110,0,1"&amp;TEXT(M電入力!$D56,"000")&amp;");"</f>
        <v>Beacon.Put(110,0,1000);</v>
      </c>
      <c r="C55" t="str">
        <f>"Beacon.Put(110,0,2"&amp;TEXT(M電入力!$D57,"000")&amp;");"</f>
        <v>Beacon.Put(110,0,2000);</v>
      </c>
      <c r="D55" t="str">
        <f>"Beacon.Put(110,0,3"&amp;TEXT(M電入力!$D58,"000")&amp;");"</f>
        <v>Beacon.Put(110,0,3000);</v>
      </c>
      <c r="E55" t="str">
        <f>"Beacon.Put(110,0,4"&amp;TEXT(M電入力!$D59,"000")&amp;");"</f>
        <v>Beacon.Put(110,0,4000);</v>
      </c>
      <c r="F55" t="str">
        <f>"Beacon.Put(110,0,5"&amp;TEXT(M電入力!$D60,"000")&amp;");"</f>
        <v>Beacon.Put(110,0,5000);</v>
      </c>
      <c r="G55" t="str">
        <f>"Beacon.Put(110,0,6"&amp;TEXT(M電入力!$D61,"000")&amp;");"</f>
        <v>Beacon.Put(110,0,6000);</v>
      </c>
    </row>
    <row r="56" spans="1:7">
      <c r="A56" t="str">
        <f>M電入力!C57&amp;"+25;"</f>
        <v>+25;</v>
      </c>
      <c r="B56" t="str">
        <f>"Beacon.Put(110,0,1"&amp;TEXT(M電入力!$D57,"000")&amp;");"</f>
        <v>Beacon.Put(110,0,1000);</v>
      </c>
      <c r="C56" t="str">
        <f>"Beacon.Put(110,0,2"&amp;TEXT(M電入力!$D58,"000")&amp;");"</f>
        <v>Beacon.Put(110,0,2000);</v>
      </c>
      <c r="D56" t="str">
        <f>"Beacon.Put(110,0,3"&amp;TEXT(M電入力!$D59,"000")&amp;");"</f>
        <v>Beacon.Put(110,0,3000);</v>
      </c>
      <c r="E56" t="str">
        <f>"Beacon.Put(110,0,4"&amp;TEXT(M電入力!$D60,"000")&amp;");"</f>
        <v>Beacon.Put(110,0,4000);</v>
      </c>
      <c r="F56" t="str">
        <f>"Beacon.Put(110,0,5"&amp;TEXT(M電入力!$D61,"000")&amp;");"</f>
        <v>Beacon.Put(110,0,5000);</v>
      </c>
      <c r="G56" t="str">
        <f>"Beacon.Put(110,0,6"&amp;TEXT(M電入力!$D62,"000")&amp;");"</f>
        <v>Beacon.Put(110,0,6000);</v>
      </c>
    </row>
    <row r="57" spans="1:7">
      <c r="A57" t="str">
        <f>M電入力!C58&amp;"+25;"</f>
        <v>+25;</v>
      </c>
      <c r="B57" t="str">
        <f>"Beacon.Put(110,0,1"&amp;TEXT(M電入力!$D58,"000")&amp;");"</f>
        <v>Beacon.Put(110,0,1000);</v>
      </c>
      <c r="C57" t="str">
        <f>"Beacon.Put(110,0,2"&amp;TEXT(M電入力!$D59,"000")&amp;");"</f>
        <v>Beacon.Put(110,0,2000);</v>
      </c>
      <c r="D57" t="str">
        <f>"Beacon.Put(110,0,3"&amp;TEXT(M電入力!$D60,"000")&amp;");"</f>
        <v>Beacon.Put(110,0,3000);</v>
      </c>
      <c r="E57" t="str">
        <f>"Beacon.Put(110,0,4"&amp;TEXT(M電入力!$D61,"000")&amp;");"</f>
        <v>Beacon.Put(110,0,4000);</v>
      </c>
      <c r="F57" t="str">
        <f>"Beacon.Put(110,0,5"&amp;TEXT(M電入力!$D62,"000")&amp;");"</f>
        <v>Beacon.Put(110,0,5000);</v>
      </c>
      <c r="G57" t="str">
        <f>"Beacon.Put(110,0,6"&amp;TEXT(M電入力!$D63,"000")&amp;");"</f>
        <v>Beacon.Put(110,0,6000);</v>
      </c>
    </row>
    <row r="58" spans="1:7">
      <c r="A58" t="str">
        <f>M電入力!C59&amp;"+25;"</f>
        <v>+25;</v>
      </c>
      <c r="B58" t="str">
        <f>"Beacon.Put(110,0,1"&amp;TEXT(M電入力!$D59,"000")&amp;");"</f>
        <v>Beacon.Put(110,0,1000);</v>
      </c>
      <c r="C58" t="str">
        <f>"Beacon.Put(110,0,2"&amp;TEXT(M電入力!$D60,"000")&amp;");"</f>
        <v>Beacon.Put(110,0,2000);</v>
      </c>
      <c r="D58" t="str">
        <f>"Beacon.Put(110,0,3"&amp;TEXT(M電入力!$D61,"000")&amp;");"</f>
        <v>Beacon.Put(110,0,3000);</v>
      </c>
      <c r="E58" t="str">
        <f>"Beacon.Put(110,0,4"&amp;TEXT(M電入力!$D62,"000")&amp;");"</f>
        <v>Beacon.Put(110,0,4000);</v>
      </c>
      <c r="F58" t="str">
        <f>"Beacon.Put(110,0,5"&amp;TEXT(M電入力!$D63,"000")&amp;");"</f>
        <v>Beacon.Put(110,0,5000);</v>
      </c>
      <c r="G58" t="str">
        <f>"Beacon.Put(110,0,6"&amp;TEXT(M電入力!$D64,"000")&amp;");"</f>
        <v>Beacon.Put(110,0,6000);</v>
      </c>
    </row>
    <row r="59" spans="1:7">
      <c r="A59" t="str">
        <f>M電入力!C60&amp;"+25;"</f>
        <v>+25;</v>
      </c>
      <c r="B59" t="str">
        <f>"Beacon.Put(110,0,1"&amp;TEXT(M電入力!$D60,"000")&amp;");"</f>
        <v>Beacon.Put(110,0,1000);</v>
      </c>
      <c r="C59" t="str">
        <f>"Beacon.Put(110,0,2"&amp;TEXT(M電入力!$D61,"000")&amp;");"</f>
        <v>Beacon.Put(110,0,2000);</v>
      </c>
      <c r="D59" t="str">
        <f>"Beacon.Put(110,0,3"&amp;TEXT(M電入力!$D62,"000")&amp;");"</f>
        <v>Beacon.Put(110,0,3000);</v>
      </c>
      <c r="E59" t="str">
        <f>"Beacon.Put(110,0,4"&amp;TEXT(M電入力!$D63,"000")&amp;");"</f>
        <v>Beacon.Put(110,0,4000);</v>
      </c>
      <c r="F59" t="str">
        <f>"Beacon.Put(110,0,5"&amp;TEXT(M電入力!$D64,"000")&amp;");"</f>
        <v>Beacon.Put(110,0,5000);</v>
      </c>
      <c r="G59" t="str">
        <f>"Beacon.Put(110,0,6"&amp;TEXT(M電入力!$D65,"000")&amp;");"</f>
        <v>Beacon.Put(110,0,6000);</v>
      </c>
    </row>
    <row r="60" spans="1:7">
      <c r="A60" t="str">
        <f>M電入力!C61&amp;"+25;"</f>
        <v>+25;</v>
      </c>
      <c r="B60" t="str">
        <f>"Beacon.Put(110,0,1"&amp;TEXT(M電入力!$D61,"000")&amp;");"</f>
        <v>Beacon.Put(110,0,1000);</v>
      </c>
      <c r="C60" t="str">
        <f>"Beacon.Put(110,0,2"&amp;TEXT(M電入力!$D62,"000")&amp;");"</f>
        <v>Beacon.Put(110,0,2000);</v>
      </c>
      <c r="D60" t="str">
        <f>"Beacon.Put(110,0,3"&amp;TEXT(M電入力!$D63,"000")&amp;");"</f>
        <v>Beacon.Put(110,0,3000);</v>
      </c>
      <c r="E60" t="str">
        <f>"Beacon.Put(110,0,4"&amp;TEXT(M電入力!$D64,"000")&amp;");"</f>
        <v>Beacon.Put(110,0,4000);</v>
      </c>
      <c r="F60" t="str">
        <f>"Beacon.Put(110,0,5"&amp;TEXT(M電入力!$D65,"000")&amp;");"</f>
        <v>Beacon.Put(110,0,5000);</v>
      </c>
      <c r="G60" t="str">
        <f>"Beacon.Put(110,0,6"&amp;TEXT(M電入力!$D66,"000")&amp;");"</f>
        <v>Beacon.Put(110,0,6000);</v>
      </c>
    </row>
    <row r="61" spans="1:7">
      <c r="A61" t="str">
        <f>M電入力!C62&amp;"+25;"</f>
        <v>+25;</v>
      </c>
      <c r="B61" t="str">
        <f>"Beacon.Put(110,0,1"&amp;TEXT(M電入力!$D62,"000")&amp;");"</f>
        <v>Beacon.Put(110,0,1000);</v>
      </c>
      <c r="C61" t="str">
        <f>"Beacon.Put(110,0,2"&amp;TEXT(M電入力!$D63,"000")&amp;");"</f>
        <v>Beacon.Put(110,0,2000);</v>
      </c>
      <c r="D61" t="str">
        <f>"Beacon.Put(110,0,3"&amp;TEXT(M電入力!$D64,"000")&amp;");"</f>
        <v>Beacon.Put(110,0,3000);</v>
      </c>
      <c r="E61" t="str">
        <f>"Beacon.Put(110,0,4"&amp;TEXT(M電入力!$D65,"000")&amp;");"</f>
        <v>Beacon.Put(110,0,4000);</v>
      </c>
      <c r="F61" t="str">
        <f>"Beacon.Put(110,0,5"&amp;TEXT(M電入力!$D66,"000")&amp;");"</f>
        <v>Beacon.Put(110,0,5000);</v>
      </c>
      <c r="G61" t="str">
        <f>"Beacon.Put(110,0,6"&amp;TEXT(M電入力!$D67,"000")&amp;");"</f>
        <v>Beacon.Put(110,0,6000);</v>
      </c>
    </row>
    <row r="62" spans="1:7">
      <c r="A62" t="str">
        <f>M電入力!C63&amp;"+25;"</f>
        <v>+25;</v>
      </c>
      <c r="B62" t="str">
        <f>"Beacon.Put(110,0,1"&amp;TEXT(M電入力!$D63,"000")&amp;");"</f>
        <v>Beacon.Put(110,0,1000);</v>
      </c>
      <c r="C62" t="str">
        <f>"Beacon.Put(110,0,2"&amp;TEXT(M電入力!$D64,"000")&amp;");"</f>
        <v>Beacon.Put(110,0,2000);</v>
      </c>
      <c r="D62" t="str">
        <f>"Beacon.Put(110,0,3"&amp;TEXT(M電入力!$D65,"000")&amp;");"</f>
        <v>Beacon.Put(110,0,3000);</v>
      </c>
      <c r="E62" t="str">
        <f>"Beacon.Put(110,0,4"&amp;TEXT(M電入力!$D66,"000")&amp;");"</f>
        <v>Beacon.Put(110,0,4000);</v>
      </c>
      <c r="F62" t="str">
        <f>"Beacon.Put(110,0,5"&amp;TEXT(M電入力!$D67,"000")&amp;");"</f>
        <v>Beacon.Put(110,0,5000);</v>
      </c>
      <c r="G62" t="str">
        <f>"Beacon.Put(110,0,6"&amp;TEXT(M電入力!$D68,"000")&amp;");"</f>
        <v>Beacon.Put(110,0,6000);</v>
      </c>
    </row>
    <row r="63" spans="1:7">
      <c r="A63" t="str">
        <f>M電入力!C64&amp;"+25;"</f>
        <v>+25;</v>
      </c>
      <c r="B63" t="str">
        <f>"Beacon.Put(110,0,1"&amp;TEXT(M電入力!$D64,"000")&amp;");"</f>
        <v>Beacon.Put(110,0,1000);</v>
      </c>
      <c r="C63" t="str">
        <f>"Beacon.Put(110,0,2"&amp;TEXT(M電入力!$D65,"000")&amp;");"</f>
        <v>Beacon.Put(110,0,2000);</v>
      </c>
      <c r="D63" t="str">
        <f>"Beacon.Put(110,0,3"&amp;TEXT(M電入力!$D66,"000")&amp;");"</f>
        <v>Beacon.Put(110,0,3000);</v>
      </c>
      <c r="E63" t="str">
        <f>"Beacon.Put(110,0,4"&amp;TEXT(M電入力!$D67,"000")&amp;");"</f>
        <v>Beacon.Put(110,0,4000);</v>
      </c>
      <c r="F63" t="str">
        <f>"Beacon.Put(110,0,5"&amp;TEXT(M電入力!$D68,"000")&amp;");"</f>
        <v>Beacon.Put(110,0,5000);</v>
      </c>
      <c r="G63" t="str">
        <f>"Beacon.Put(110,0,6"&amp;TEXT(M電入力!$D69,"000")&amp;");"</f>
        <v>Beacon.Put(110,0,6000);</v>
      </c>
    </row>
    <row r="64" spans="1:7">
      <c r="A64" t="str">
        <f>M電入力!C65&amp;"+25;"</f>
        <v>+25;</v>
      </c>
      <c r="B64" t="str">
        <f>"Beacon.Put(110,0,1"&amp;TEXT(M電入力!$D65,"000")&amp;");"</f>
        <v>Beacon.Put(110,0,1000);</v>
      </c>
      <c r="C64" t="str">
        <f>"Beacon.Put(110,0,2"&amp;TEXT(M電入力!$D66,"000")&amp;");"</f>
        <v>Beacon.Put(110,0,2000);</v>
      </c>
      <c r="D64" t="str">
        <f>"Beacon.Put(110,0,3"&amp;TEXT(M電入力!$D67,"000")&amp;");"</f>
        <v>Beacon.Put(110,0,3000);</v>
      </c>
      <c r="E64" t="str">
        <f>"Beacon.Put(110,0,4"&amp;TEXT(M電入力!$D68,"000")&amp;");"</f>
        <v>Beacon.Put(110,0,4000);</v>
      </c>
      <c r="F64" t="str">
        <f>"Beacon.Put(110,0,5"&amp;TEXT(M電入力!$D69,"000")&amp;");"</f>
        <v>Beacon.Put(110,0,5000);</v>
      </c>
      <c r="G64" t="str">
        <f>"Beacon.Put(110,0,6"&amp;TEXT(M電入力!$D70,"000")&amp;");"</f>
        <v>Beacon.Put(110,0,6000);</v>
      </c>
    </row>
    <row r="65" spans="1:7">
      <c r="A65" t="str">
        <f>M電入力!C66&amp;"+25;"</f>
        <v>+25;</v>
      </c>
      <c r="B65" t="str">
        <f>"Beacon.Put(110,0,1"&amp;TEXT(M電入力!$D66,"000")&amp;");"</f>
        <v>Beacon.Put(110,0,1000);</v>
      </c>
      <c r="C65" t="str">
        <f>"Beacon.Put(110,0,2"&amp;TEXT(M電入力!$D67,"000")&amp;");"</f>
        <v>Beacon.Put(110,0,2000);</v>
      </c>
      <c r="D65" t="str">
        <f>"Beacon.Put(110,0,3"&amp;TEXT(M電入力!$D68,"000")&amp;");"</f>
        <v>Beacon.Put(110,0,3000);</v>
      </c>
      <c r="E65" t="str">
        <f>"Beacon.Put(110,0,4"&amp;TEXT(M電入力!$D69,"000")&amp;");"</f>
        <v>Beacon.Put(110,0,4000);</v>
      </c>
      <c r="F65" t="str">
        <f>"Beacon.Put(110,0,5"&amp;TEXT(M電入力!$D70,"000")&amp;");"</f>
        <v>Beacon.Put(110,0,5000);</v>
      </c>
      <c r="G65" t="str">
        <f>"Beacon.Put(110,0,6"&amp;TEXT(M電入力!$D71,"000")&amp;");"</f>
        <v>Beacon.Put(110,0,6000);</v>
      </c>
    </row>
    <row r="66" spans="1:7">
      <c r="A66" t="str">
        <f>M電入力!C67&amp;"+25;"</f>
        <v>+25;</v>
      </c>
      <c r="B66" t="str">
        <f>"Beacon.Put(110,0,1"&amp;TEXT(M電入力!$D67,"000")&amp;");"</f>
        <v>Beacon.Put(110,0,1000);</v>
      </c>
      <c r="C66" t="str">
        <f>"Beacon.Put(110,0,2"&amp;TEXT(M電入力!$D68,"000")&amp;");"</f>
        <v>Beacon.Put(110,0,2000);</v>
      </c>
      <c r="D66" t="str">
        <f>"Beacon.Put(110,0,3"&amp;TEXT(M電入力!$D69,"000")&amp;");"</f>
        <v>Beacon.Put(110,0,3000);</v>
      </c>
      <c r="E66" t="str">
        <f>"Beacon.Put(110,0,4"&amp;TEXT(M電入力!$D70,"000")&amp;");"</f>
        <v>Beacon.Put(110,0,4000);</v>
      </c>
      <c r="F66" t="str">
        <f>"Beacon.Put(110,0,5"&amp;TEXT(M電入力!$D71,"000")&amp;");"</f>
        <v>Beacon.Put(110,0,5000);</v>
      </c>
      <c r="G66" t="str">
        <f>"Beacon.Put(110,0,6"&amp;TEXT(M電入力!$D72,"000")&amp;");"</f>
        <v>Beacon.Put(110,0,6000);</v>
      </c>
    </row>
    <row r="67" spans="1:7">
      <c r="A67" t="str">
        <f>M電入力!C68&amp;"+25;"</f>
        <v>+25;</v>
      </c>
      <c r="B67" t="str">
        <f>"Beacon.Put(110,0,1"&amp;TEXT(M電入力!$D68,"000")&amp;");"</f>
        <v>Beacon.Put(110,0,1000);</v>
      </c>
      <c r="C67" t="str">
        <f>"Beacon.Put(110,0,2"&amp;TEXT(M電入力!$D69,"000")&amp;");"</f>
        <v>Beacon.Put(110,0,2000);</v>
      </c>
      <c r="D67" t="str">
        <f>"Beacon.Put(110,0,3"&amp;TEXT(M電入力!$D70,"000")&amp;");"</f>
        <v>Beacon.Put(110,0,3000);</v>
      </c>
      <c r="E67" t="str">
        <f>"Beacon.Put(110,0,4"&amp;TEXT(M電入力!$D71,"000")&amp;");"</f>
        <v>Beacon.Put(110,0,4000);</v>
      </c>
      <c r="F67" t="str">
        <f>"Beacon.Put(110,0,5"&amp;TEXT(M電入力!$D72,"000")&amp;");"</f>
        <v>Beacon.Put(110,0,5000);</v>
      </c>
      <c r="G67" t="str">
        <f>"Beacon.Put(110,0,6"&amp;TEXT(M電入力!$D73,"000")&amp;");"</f>
        <v>Beacon.Put(110,0,6000);</v>
      </c>
    </row>
    <row r="68" spans="1:7">
      <c r="A68" t="str">
        <f>M電入力!C69&amp;"+25;"</f>
        <v>+25;</v>
      </c>
      <c r="B68" t="str">
        <f>"Beacon.Put(110,0,1"&amp;TEXT(M電入力!$D69,"000")&amp;");"</f>
        <v>Beacon.Put(110,0,1000);</v>
      </c>
      <c r="C68" t="str">
        <f>"Beacon.Put(110,0,2"&amp;TEXT(M電入力!$D70,"000")&amp;");"</f>
        <v>Beacon.Put(110,0,2000);</v>
      </c>
      <c r="D68" t="str">
        <f>"Beacon.Put(110,0,3"&amp;TEXT(M電入力!$D71,"000")&amp;");"</f>
        <v>Beacon.Put(110,0,3000);</v>
      </c>
      <c r="E68" t="str">
        <f>"Beacon.Put(110,0,4"&amp;TEXT(M電入力!$D72,"000")&amp;");"</f>
        <v>Beacon.Put(110,0,4000);</v>
      </c>
      <c r="F68" t="str">
        <f>"Beacon.Put(110,0,5"&amp;TEXT(M電入力!$D73,"000")&amp;");"</f>
        <v>Beacon.Put(110,0,5000);</v>
      </c>
      <c r="G68" t="str">
        <f>"Beacon.Put(110,0,6"&amp;TEXT(M電入力!$D74,"000")&amp;");"</f>
        <v>Beacon.Put(110,0,6000);</v>
      </c>
    </row>
    <row r="69" spans="1:7">
      <c r="A69" t="str">
        <f>M電入力!C70&amp;"+25;"</f>
        <v>+25;</v>
      </c>
      <c r="B69" t="str">
        <f>"Beacon.Put(110,0,1"&amp;TEXT(M電入力!$D70,"000")&amp;");"</f>
        <v>Beacon.Put(110,0,1000);</v>
      </c>
      <c r="C69" t="str">
        <f>"Beacon.Put(110,0,2"&amp;TEXT(M電入力!$D71,"000")&amp;");"</f>
        <v>Beacon.Put(110,0,2000);</v>
      </c>
      <c r="D69" t="str">
        <f>"Beacon.Put(110,0,3"&amp;TEXT(M電入力!$D72,"000")&amp;");"</f>
        <v>Beacon.Put(110,0,3000);</v>
      </c>
      <c r="E69" t="str">
        <f>"Beacon.Put(110,0,4"&amp;TEXT(M電入力!$D73,"000")&amp;");"</f>
        <v>Beacon.Put(110,0,4000);</v>
      </c>
      <c r="F69" t="str">
        <f>"Beacon.Put(110,0,5"&amp;TEXT(M電入力!$D74,"000")&amp;");"</f>
        <v>Beacon.Put(110,0,5000);</v>
      </c>
      <c r="G69" t="str">
        <f>"Beacon.Put(110,0,6"&amp;TEXT(M電入力!$D75,"000")&amp;");"</f>
        <v>Beacon.Put(110,0,6000);</v>
      </c>
    </row>
    <row r="70" spans="1:7">
      <c r="A70" t="str">
        <f>M電入力!C71&amp;"+25;"</f>
        <v>+25;</v>
      </c>
      <c r="B70" t="str">
        <f>"Beacon.Put(110,0,1"&amp;TEXT(M電入力!$D71,"000")&amp;");"</f>
        <v>Beacon.Put(110,0,1000);</v>
      </c>
      <c r="C70" t="str">
        <f>"Beacon.Put(110,0,2"&amp;TEXT(M電入力!$D72,"000")&amp;");"</f>
        <v>Beacon.Put(110,0,2000);</v>
      </c>
      <c r="D70" t="str">
        <f>"Beacon.Put(110,0,3"&amp;TEXT(M電入力!$D73,"000")&amp;");"</f>
        <v>Beacon.Put(110,0,3000);</v>
      </c>
      <c r="E70" t="str">
        <f>"Beacon.Put(110,0,4"&amp;TEXT(M電入力!$D74,"000")&amp;");"</f>
        <v>Beacon.Put(110,0,4000);</v>
      </c>
      <c r="F70" t="str">
        <f>"Beacon.Put(110,0,5"&amp;TEXT(M電入力!$D75,"000")&amp;");"</f>
        <v>Beacon.Put(110,0,5000);</v>
      </c>
      <c r="G70" t="str">
        <f>"Beacon.Put(110,0,6"&amp;TEXT(M電入力!$D76,"000")&amp;");"</f>
        <v>Beacon.Put(110,0,6000);</v>
      </c>
    </row>
    <row r="71" spans="1:7">
      <c r="A71" t="str">
        <f>M電入力!C72&amp;"+25;"</f>
        <v>+25;</v>
      </c>
      <c r="B71" t="str">
        <f>"Beacon.Put(110,0,1"&amp;TEXT(M電入力!$D72,"000")&amp;");"</f>
        <v>Beacon.Put(110,0,1000);</v>
      </c>
      <c r="C71" t="str">
        <f>"Beacon.Put(110,0,2"&amp;TEXT(M電入力!$D73,"000")&amp;");"</f>
        <v>Beacon.Put(110,0,2000);</v>
      </c>
      <c r="D71" t="str">
        <f>"Beacon.Put(110,0,3"&amp;TEXT(M電入力!$D74,"000")&amp;");"</f>
        <v>Beacon.Put(110,0,3000);</v>
      </c>
      <c r="E71" t="str">
        <f>"Beacon.Put(110,0,4"&amp;TEXT(M電入力!$D75,"000")&amp;");"</f>
        <v>Beacon.Put(110,0,4000);</v>
      </c>
      <c r="F71" t="str">
        <f>"Beacon.Put(110,0,5"&amp;TEXT(M電入力!$D76,"000")&amp;");"</f>
        <v>Beacon.Put(110,0,5000);</v>
      </c>
      <c r="G71" t="str">
        <f>"Beacon.Put(110,0,6"&amp;TEXT(M電入力!$D77,"000")&amp;");"</f>
        <v>Beacon.Put(110,0,6000);</v>
      </c>
    </row>
    <row r="72" spans="1:7">
      <c r="A72" t="str">
        <f>M電入力!C73&amp;"+25;"</f>
        <v>+25;</v>
      </c>
      <c r="B72" t="str">
        <f>"Beacon.Put(110,0,1"&amp;TEXT(M電入力!$D73,"000")&amp;");"</f>
        <v>Beacon.Put(110,0,1000);</v>
      </c>
      <c r="C72" t="str">
        <f>"Beacon.Put(110,0,2"&amp;TEXT(M電入力!$D74,"000")&amp;");"</f>
        <v>Beacon.Put(110,0,2000);</v>
      </c>
      <c r="D72" t="str">
        <f>"Beacon.Put(110,0,3"&amp;TEXT(M電入力!$D75,"000")&amp;");"</f>
        <v>Beacon.Put(110,0,3000);</v>
      </c>
      <c r="E72" t="str">
        <f>"Beacon.Put(110,0,4"&amp;TEXT(M電入力!$D76,"000")&amp;");"</f>
        <v>Beacon.Put(110,0,4000);</v>
      </c>
      <c r="F72" t="str">
        <f>"Beacon.Put(110,0,5"&amp;TEXT(M電入力!$D77,"000")&amp;");"</f>
        <v>Beacon.Put(110,0,5000);</v>
      </c>
      <c r="G72" t="str">
        <f>"Beacon.Put(110,0,6"&amp;TEXT(M電入力!$D78,"000")&amp;");"</f>
        <v>Beacon.Put(110,0,6000);</v>
      </c>
    </row>
    <row r="73" spans="1:7">
      <c r="A73" t="str">
        <f>M電入力!C74&amp;"+25;"</f>
        <v>+25;</v>
      </c>
      <c r="B73" t="str">
        <f>"Beacon.Put(110,0,1"&amp;TEXT(M電入力!$D74,"000")&amp;");"</f>
        <v>Beacon.Put(110,0,1000);</v>
      </c>
      <c r="C73" t="str">
        <f>"Beacon.Put(110,0,2"&amp;TEXT(M電入力!$D75,"000")&amp;");"</f>
        <v>Beacon.Put(110,0,2000);</v>
      </c>
      <c r="D73" t="str">
        <f>"Beacon.Put(110,0,3"&amp;TEXT(M電入力!$D76,"000")&amp;");"</f>
        <v>Beacon.Put(110,0,3000);</v>
      </c>
      <c r="E73" t="str">
        <f>"Beacon.Put(110,0,4"&amp;TEXT(M電入力!$D77,"000")&amp;");"</f>
        <v>Beacon.Put(110,0,4000);</v>
      </c>
      <c r="F73" t="str">
        <f>"Beacon.Put(110,0,5"&amp;TEXT(M電入力!$D78,"000")&amp;");"</f>
        <v>Beacon.Put(110,0,5000);</v>
      </c>
      <c r="G73" t="str">
        <f>"Beacon.Put(110,0,6"&amp;TEXT(M電入力!$D79,"000")&amp;");"</f>
        <v>Beacon.Put(110,0,6000);</v>
      </c>
    </row>
    <row r="74" spans="1:7">
      <c r="A74" t="str">
        <f>M電入力!C75&amp;"+25;"</f>
        <v>+25;</v>
      </c>
      <c r="B74" t="str">
        <f>"Beacon.Put(110,0,1"&amp;TEXT(M電入力!$D75,"000")&amp;");"</f>
        <v>Beacon.Put(110,0,1000);</v>
      </c>
      <c r="C74" t="str">
        <f>"Beacon.Put(110,0,2"&amp;TEXT(M電入力!$D76,"000")&amp;");"</f>
        <v>Beacon.Put(110,0,2000);</v>
      </c>
      <c r="D74" t="str">
        <f>"Beacon.Put(110,0,3"&amp;TEXT(M電入力!$D77,"000")&amp;");"</f>
        <v>Beacon.Put(110,0,3000);</v>
      </c>
      <c r="E74" t="str">
        <f>"Beacon.Put(110,0,4"&amp;TEXT(M電入力!$D78,"000")&amp;");"</f>
        <v>Beacon.Put(110,0,4000);</v>
      </c>
      <c r="F74" t="str">
        <f>"Beacon.Put(110,0,5"&amp;TEXT(M電入力!$D79,"000")&amp;");"</f>
        <v>Beacon.Put(110,0,5000);</v>
      </c>
      <c r="G74" t="str">
        <f>"Beacon.Put(110,0,6"&amp;TEXT(M電入力!$D80,"000")&amp;");"</f>
        <v>Beacon.Put(110,0,6000);</v>
      </c>
    </row>
    <row r="75" spans="1:7">
      <c r="A75" t="str">
        <f>M電入力!C76&amp;"+25;"</f>
        <v>+25;</v>
      </c>
      <c r="B75" t="str">
        <f>"Beacon.Put(110,0,1"&amp;TEXT(M電入力!$D76,"000")&amp;");"</f>
        <v>Beacon.Put(110,0,1000);</v>
      </c>
      <c r="C75" t="str">
        <f>"Beacon.Put(110,0,2"&amp;TEXT(M電入力!$D77,"000")&amp;");"</f>
        <v>Beacon.Put(110,0,2000);</v>
      </c>
      <c r="D75" t="str">
        <f>"Beacon.Put(110,0,3"&amp;TEXT(M電入力!$D78,"000")&amp;");"</f>
        <v>Beacon.Put(110,0,3000);</v>
      </c>
      <c r="E75" t="str">
        <f>"Beacon.Put(110,0,4"&amp;TEXT(M電入力!$D79,"000")&amp;");"</f>
        <v>Beacon.Put(110,0,4000);</v>
      </c>
      <c r="F75" t="str">
        <f>"Beacon.Put(110,0,5"&amp;TEXT(M電入力!$D80,"000")&amp;");"</f>
        <v>Beacon.Put(110,0,5000);</v>
      </c>
      <c r="G75" t="str">
        <f>"Beacon.Put(110,0,6"&amp;TEXT(M電入力!$D81,"000")&amp;");"</f>
        <v>Beacon.Put(110,0,6000);</v>
      </c>
    </row>
    <row r="76" spans="1:7">
      <c r="A76" t="str">
        <f>M電入力!C77&amp;"+25;"</f>
        <v>+25;</v>
      </c>
      <c r="B76" t="str">
        <f>"Beacon.Put(110,0,1"&amp;TEXT(M電入力!$D77,"000")&amp;");"</f>
        <v>Beacon.Put(110,0,1000);</v>
      </c>
      <c r="C76" t="str">
        <f>"Beacon.Put(110,0,2"&amp;TEXT(M電入力!$D78,"000")&amp;");"</f>
        <v>Beacon.Put(110,0,2000);</v>
      </c>
      <c r="D76" t="str">
        <f>"Beacon.Put(110,0,3"&amp;TEXT(M電入力!$D79,"000")&amp;");"</f>
        <v>Beacon.Put(110,0,3000);</v>
      </c>
      <c r="E76" t="str">
        <f>"Beacon.Put(110,0,4"&amp;TEXT(M電入力!$D80,"000")&amp;");"</f>
        <v>Beacon.Put(110,0,4000);</v>
      </c>
      <c r="F76" t="str">
        <f>"Beacon.Put(110,0,5"&amp;TEXT(M電入力!$D81,"000")&amp;");"</f>
        <v>Beacon.Put(110,0,5000);</v>
      </c>
      <c r="G76" t="str">
        <f>"Beacon.Put(110,0,6"&amp;TEXT(M電入力!$D82,"000")&amp;");"</f>
        <v>Beacon.Put(110,0,6000);</v>
      </c>
    </row>
    <row r="77" spans="1:7">
      <c r="A77" t="str">
        <f>M電入力!C78&amp;"+25;"</f>
        <v>+25;</v>
      </c>
      <c r="B77" t="str">
        <f>"Beacon.Put(110,0,1"&amp;TEXT(M電入力!$D78,"000")&amp;");"</f>
        <v>Beacon.Put(110,0,1000);</v>
      </c>
      <c r="C77" t="str">
        <f>"Beacon.Put(110,0,2"&amp;TEXT(M電入力!$D79,"000")&amp;");"</f>
        <v>Beacon.Put(110,0,2000);</v>
      </c>
      <c r="D77" t="str">
        <f>"Beacon.Put(110,0,3"&amp;TEXT(M電入力!$D80,"000")&amp;");"</f>
        <v>Beacon.Put(110,0,3000);</v>
      </c>
      <c r="E77" t="str">
        <f>"Beacon.Put(110,0,4"&amp;TEXT(M電入力!$D81,"000")&amp;");"</f>
        <v>Beacon.Put(110,0,4000);</v>
      </c>
      <c r="F77" t="str">
        <f>"Beacon.Put(110,0,5"&amp;TEXT(M電入力!$D82,"000")&amp;");"</f>
        <v>Beacon.Put(110,0,5000);</v>
      </c>
      <c r="G77" t="str">
        <f>"Beacon.Put(110,0,6"&amp;TEXT(M電入力!$D83,"000")&amp;");"</f>
        <v>Beacon.Put(110,0,6000);</v>
      </c>
    </row>
    <row r="78" spans="1:7">
      <c r="A78" t="str">
        <f>M電入力!C79&amp;"+25;"</f>
        <v>+25;</v>
      </c>
      <c r="B78" t="str">
        <f>"Beacon.Put(110,0,1"&amp;TEXT(M電入力!$D79,"000")&amp;");"</f>
        <v>Beacon.Put(110,0,1000);</v>
      </c>
      <c r="C78" t="str">
        <f>"Beacon.Put(110,0,2"&amp;TEXT(M電入力!$D80,"000")&amp;");"</f>
        <v>Beacon.Put(110,0,2000);</v>
      </c>
      <c r="D78" t="str">
        <f>"Beacon.Put(110,0,3"&amp;TEXT(M電入力!$D81,"000")&amp;");"</f>
        <v>Beacon.Put(110,0,3000);</v>
      </c>
      <c r="E78" t="str">
        <f>"Beacon.Put(110,0,4"&amp;TEXT(M電入力!$D82,"000")&amp;");"</f>
        <v>Beacon.Put(110,0,4000);</v>
      </c>
      <c r="F78" t="str">
        <f>"Beacon.Put(110,0,5"&amp;TEXT(M電入力!$D83,"000")&amp;");"</f>
        <v>Beacon.Put(110,0,5000);</v>
      </c>
      <c r="G78" t="str">
        <f>"Beacon.Put(110,0,6"&amp;TEXT(M電入力!$D84,"000")&amp;");"</f>
        <v>Beacon.Put(110,0,6000);</v>
      </c>
    </row>
    <row r="79" spans="1:7">
      <c r="A79" t="str">
        <f>M電入力!C80&amp;"+25;"</f>
        <v>+25;</v>
      </c>
      <c r="B79" t="str">
        <f>"Beacon.Put(110,0,1"&amp;TEXT(M電入力!$D80,"000")&amp;");"</f>
        <v>Beacon.Put(110,0,1000);</v>
      </c>
      <c r="C79" t="str">
        <f>"Beacon.Put(110,0,2"&amp;TEXT(M電入力!$D81,"000")&amp;");"</f>
        <v>Beacon.Put(110,0,2000);</v>
      </c>
      <c r="D79" t="str">
        <f>"Beacon.Put(110,0,3"&amp;TEXT(M電入力!$D82,"000")&amp;");"</f>
        <v>Beacon.Put(110,0,3000);</v>
      </c>
      <c r="E79" t="str">
        <f>"Beacon.Put(110,0,4"&amp;TEXT(M電入力!$D83,"000")&amp;");"</f>
        <v>Beacon.Put(110,0,4000);</v>
      </c>
      <c r="F79" t="str">
        <f>"Beacon.Put(110,0,5"&amp;TEXT(M電入力!$D84,"000")&amp;");"</f>
        <v>Beacon.Put(110,0,5000);</v>
      </c>
      <c r="G79" t="str">
        <f>"Beacon.Put(110,0,6"&amp;TEXT(M電入力!$D85,"000")&amp;");"</f>
        <v>Beacon.Put(110,0,6000);</v>
      </c>
    </row>
    <row r="80" spans="1:7">
      <c r="A80" t="str">
        <f>M電入力!C81&amp;"+25;"</f>
        <v>+25;</v>
      </c>
      <c r="B80" t="str">
        <f>"Beacon.Put(110,0,1"&amp;TEXT(M電入力!$D81,"000")&amp;");"</f>
        <v>Beacon.Put(110,0,1000);</v>
      </c>
      <c r="C80" t="str">
        <f>"Beacon.Put(110,0,2"&amp;TEXT(M電入力!$D82,"000")&amp;");"</f>
        <v>Beacon.Put(110,0,2000);</v>
      </c>
      <c r="D80" t="str">
        <f>"Beacon.Put(110,0,3"&amp;TEXT(M電入力!$D83,"000")&amp;");"</f>
        <v>Beacon.Put(110,0,3000);</v>
      </c>
      <c r="E80" t="str">
        <f>"Beacon.Put(110,0,4"&amp;TEXT(M電入力!$D84,"000")&amp;");"</f>
        <v>Beacon.Put(110,0,4000);</v>
      </c>
      <c r="F80" t="str">
        <f>"Beacon.Put(110,0,5"&amp;TEXT(M電入力!$D85,"000")&amp;");"</f>
        <v>Beacon.Put(110,0,5000);</v>
      </c>
      <c r="G80" t="str">
        <f>"Beacon.Put(110,0,6"&amp;TEXT(M電入力!$D86,"000")&amp;");"</f>
        <v>Beacon.Put(110,0,6000);</v>
      </c>
    </row>
    <row r="81" spans="1:7">
      <c r="A81" t="str">
        <f>M電入力!C82&amp;"+25;"</f>
        <v>+25;</v>
      </c>
      <c r="B81" t="str">
        <f>"Beacon.Put(110,0,1"&amp;TEXT(M電入力!$D82,"000")&amp;");"</f>
        <v>Beacon.Put(110,0,1000);</v>
      </c>
      <c r="C81" t="str">
        <f>"Beacon.Put(110,0,2"&amp;TEXT(M電入力!$D83,"000")&amp;");"</f>
        <v>Beacon.Put(110,0,2000);</v>
      </c>
      <c r="D81" t="str">
        <f>"Beacon.Put(110,0,3"&amp;TEXT(M電入力!$D84,"000")&amp;");"</f>
        <v>Beacon.Put(110,0,3000);</v>
      </c>
      <c r="E81" t="str">
        <f>"Beacon.Put(110,0,4"&amp;TEXT(M電入力!$D85,"000")&amp;");"</f>
        <v>Beacon.Put(110,0,4000);</v>
      </c>
      <c r="F81" t="str">
        <f>"Beacon.Put(110,0,5"&amp;TEXT(M電入力!$D86,"000")&amp;");"</f>
        <v>Beacon.Put(110,0,5000);</v>
      </c>
      <c r="G81" t="str">
        <f>"Beacon.Put(110,0,6"&amp;TEXT(M電入力!$D87,"000")&amp;");"</f>
        <v>Beacon.Put(110,0,6000);</v>
      </c>
    </row>
    <row r="82" spans="1:7">
      <c r="A82" t="str">
        <f>M電入力!C83&amp;"+25;"</f>
        <v>+25;</v>
      </c>
      <c r="B82" t="str">
        <f>"Beacon.Put(110,0,1"&amp;TEXT(M電入力!$D83,"000")&amp;");"</f>
        <v>Beacon.Put(110,0,1000);</v>
      </c>
      <c r="C82" t="str">
        <f>"Beacon.Put(110,0,2"&amp;TEXT(M電入力!$D84,"000")&amp;");"</f>
        <v>Beacon.Put(110,0,2000);</v>
      </c>
      <c r="D82" t="str">
        <f>"Beacon.Put(110,0,3"&amp;TEXT(M電入力!$D85,"000")&amp;");"</f>
        <v>Beacon.Put(110,0,3000);</v>
      </c>
      <c r="E82" t="str">
        <f>"Beacon.Put(110,0,4"&amp;TEXT(M電入力!$D86,"000")&amp;");"</f>
        <v>Beacon.Put(110,0,4000);</v>
      </c>
      <c r="F82" t="str">
        <f>"Beacon.Put(110,0,5"&amp;TEXT(M電入力!$D87,"000")&amp;");"</f>
        <v>Beacon.Put(110,0,5000);</v>
      </c>
      <c r="G82" t="str">
        <f>"Beacon.Put(110,0,6"&amp;TEXT(M電入力!$D88,"000")&amp;");"</f>
        <v>Beacon.Put(110,0,6000);</v>
      </c>
    </row>
    <row r="83" spans="1:7">
      <c r="A83" t="str">
        <f>M電入力!C84&amp;"+25;"</f>
        <v>+25;</v>
      </c>
      <c r="B83" t="str">
        <f>"Beacon.Put(110,0,1"&amp;TEXT(M電入力!$D84,"000")&amp;");"</f>
        <v>Beacon.Put(110,0,1000);</v>
      </c>
      <c r="C83" t="str">
        <f>"Beacon.Put(110,0,2"&amp;TEXT(M電入力!$D85,"000")&amp;");"</f>
        <v>Beacon.Put(110,0,2000);</v>
      </c>
      <c r="D83" t="str">
        <f>"Beacon.Put(110,0,3"&amp;TEXT(M電入力!$D86,"000")&amp;");"</f>
        <v>Beacon.Put(110,0,3000);</v>
      </c>
      <c r="E83" t="str">
        <f>"Beacon.Put(110,0,4"&amp;TEXT(M電入力!$D87,"000")&amp;");"</f>
        <v>Beacon.Put(110,0,4000);</v>
      </c>
      <c r="F83" t="str">
        <f>"Beacon.Put(110,0,5"&amp;TEXT(M電入力!$D88,"000")&amp;");"</f>
        <v>Beacon.Put(110,0,5000);</v>
      </c>
      <c r="G83" t="str">
        <f>"Beacon.Put(110,0,6"&amp;TEXT(M電入力!$D89,"000")&amp;");"</f>
        <v>Beacon.Put(110,0,6000);</v>
      </c>
    </row>
    <row r="84" spans="1:7">
      <c r="A84" t="str">
        <f>M電入力!C85&amp;"+25;"</f>
        <v>+25;</v>
      </c>
      <c r="B84" t="str">
        <f>"Beacon.Put(110,0,1"&amp;TEXT(M電入力!$D85,"000")&amp;");"</f>
        <v>Beacon.Put(110,0,1000);</v>
      </c>
      <c r="C84" t="str">
        <f>"Beacon.Put(110,0,2"&amp;TEXT(M電入力!$D86,"000")&amp;");"</f>
        <v>Beacon.Put(110,0,2000);</v>
      </c>
      <c r="D84" t="str">
        <f>"Beacon.Put(110,0,3"&amp;TEXT(M電入力!$D87,"000")&amp;");"</f>
        <v>Beacon.Put(110,0,3000);</v>
      </c>
      <c r="E84" t="str">
        <f>"Beacon.Put(110,0,4"&amp;TEXT(M電入力!$D88,"000")&amp;");"</f>
        <v>Beacon.Put(110,0,4000);</v>
      </c>
      <c r="F84" t="str">
        <f>"Beacon.Put(110,0,5"&amp;TEXT(M電入力!$D89,"000")&amp;");"</f>
        <v>Beacon.Put(110,0,5000);</v>
      </c>
      <c r="G84" t="str">
        <f>"Beacon.Put(110,0,6"&amp;TEXT(M電入力!$D90,"000")&amp;");"</f>
        <v>Beacon.Put(110,0,6000);</v>
      </c>
    </row>
    <row r="85" spans="1:7">
      <c r="A85" t="str">
        <f>M電入力!C86&amp;"+25;"</f>
        <v>+25;</v>
      </c>
      <c r="B85" t="str">
        <f>"Beacon.Put(110,0,1"&amp;TEXT(M電入力!$D86,"000")&amp;");"</f>
        <v>Beacon.Put(110,0,1000);</v>
      </c>
      <c r="C85" t="str">
        <f>"Beacon.Put(110,0,2"&amp;TEXT(M電入力!$D87,"000")&amp;");"</f>
        <v>Beacon.Put(110,0,2000);</v>
      </c>
      <c r="D85" t="str">
        <f>"Beacon.Put(110,0,3"&amp;TEXT(M電入力!$D88,"000")&amp;");"</f>
        <v>Beacon.Put(110,0,3000);</v>
      </c>
      <c r="E85" t="str">
        <f>"Beacon.Put(110,0,4"&amp;TEXT(M電入力!$D89,"000")&amp;");"</f>
        <v>Beacon.Put(110,0,4000);</v>
      </c>
      <c r="F85" t="str">
        <f>"Beacon.Put(110,0,5"&amp;TEXT(M電入力!$D90,"000")&amp;");"</f>
        <v>Beacon.Put(110,0,5000);</v>
      </c>
      <c r="G85" t="str">
        <f>"Beacon.Put(110,0,6"&amp;TEXT(M電入力!$D91,"000")&amp;");"</f>
        <v>Beacon.Put(110,0,6000);</v>
      </c>
    </row>
    <row r="86" spans="1:7">
      <c r="A86" t="str">
        <f>M電入力!C87&amp;"+25;"</f>
        <v>+25;</v>
      </c>
      <c r="B86" t="str">
        <f>"Beacon.Put(110,0,1"&amp;TEXT(M電入力!$D87,"000")&amp;");"</f>
        <v>Beacon.Put(110,0,1000);</v>
      </c>
      <c r="C86" t="str">
        <f>"Beacon.Put(110,0,2"&amp;TEXT(M電入力!$D88,"000")&amp;");"</f>
        <v>Beacon.Put(110,0,2000);</v>
      </c>
      <c r="D86" t="str">
        <f>"Beacon.Put(110,0,3"&amp;TEXT(M電入力!$D89,"000")&amp;");"</f>
        <v>Beacon.Put(110,0,3000);</v>
      </c>
      <c r="E86" t="str">
        <f>"Beacon.Put(110,0,4"&amp;TEXT(M電入力!$D90,"000")&amp;");"</f>
        <v>Beacon.Put(110,0,4000);</v>
      </c>
      <c r="F86" t="str">
        <f>"Beacon.Put(110,0,5"&amp;TEXT(M電入力!$D91,"000")&amp;");"</f>
        <v>Beacon.Put(110,0,5000);</v>
      </c>
      <c r="G86" t="str">
        <f>"Beacon.Put(110,0,6"&amp;TEXT(M電入力!$D92,"000")&amp;");"</f>
        <v>Beacon.Put(110,0,6000);</v>
      </c>
    </row>
    <row r="87" spans="1:7">
      <c r="A87" t="str">
        <f>M電入力!C88&amp;"+25;"</f>
        <v>+25;</v>
      </c>
      <c r="B87" t="str">
        <f>"Beacon.Put(110,0,1"&amp;TEXT(M電入力!$D88,"000")&amp;");"</f>
        <v>Beacon.Put(110,0,1000);</v>
      </c>
      <c r="C87" t="str">
        <f>"Beacon.Put(110,0,2"&amp;TEXT(M電入力!$D89,"000")&amp;");"</f>
        <v>Beacon.Put(110,0,2000);</v>
      </c>
      <c r="D87" t="str">
        <f>"Beacon.Put(110,0,3"&amp;TEXT(M電入力!$D90,"000")&amp;");"</f>
        <v>Beacon.Put(110,0,3000);</v>
      </c>
      <c r="E87" t="str">
        <f>"Beacon.Put(110,0,4"&amp;TEXT(M電入力!$D91,"000")&amp;");"</f>
        <v>Beacon.Put(110,0,4000);</v>
      </c>
      <c r="F87" t="str">
        <f>"Beacon.Put(110,0,5"&amp;TEXT(M電入力!$D92,"000")&amp;");"</f>
        <v>Beacon.Put(110,0,5000);</v>
      </c>
      <c r="G87" t="str">
        <f>"Beacon.Put(110,0,6"&amp;TEXT(M電入力!$D93,"000")&amp;");"</f>
        <v>Beacon.Put(110,0,6000);</v>
      </c>
    </row>
    <row r="88" spans="1:7">
      <c r="A88" t="str">
        <f>M電入力!C89&amp;"+25;"</f>
        <v>+25;</v>
      </c>
      <c r="B88" t="str">
        <f>"Beacon.Put(110,0,1"&amp;TEXT(M電入力!$D89,"000")&amp;");"</f>
        <v>Beacon.Put(110,0,1000);</v>
      </c>
      <c r="C88" t="str">
        <f>"Beacon.Put(110,0,2"&amp;TEXT(M電入力!$D90,"000")&amp;");"</f>
        <v>Beacon.Put(110,0,2000);</v>
      </c>
      <c r="D88" t="str">
        <f>"Beacon.Put(110,0,3"&amp;TEXT(M電入力!$D91,"000")&amp;");"</f>
        <v>Beacon.Put(110,0,3000);</v>
      </c>
      <c r="E88" t="str">
        <f>"Beacon.Put(110,0,4"&amp;TEXT(M電入力!$D92,"000")&amp;");"</f>
        <v>Beacon.Put(110,0,4000);</v>
      </c>
      <c r="F88" t="str">
        <f>"Beacon.Put(110,0,5"&amp;TEXT(M電入力!$D93,"000")&amp;");"</f>
        <v>Beacon.Put(110,0,5000);</v>
      </c>
      <c r="G88" t="str">
        <f>"Beacon.Put(110,0,6"&amp;TEXT(M電入力!$D94,"000")&amp;");"</f>
        <v>Beacon.Put(110,0,6000);</v>
      </c>
    </row>
    <row r="89" spans="1:7">
      <c r="A89" t="str">
        <f>M電入力!C90&amp;"+25;"</f>
        <v>+25;</v>
      </c>
      <c r="B89" t="str">
        <f>"Beacon.Put(110,0,1"&amp;TEXT(M電入力!$D90,"000")&amp;");"</f>
        <v>Beacon.Put(110,0,1000);</v>
      </c>
      <c r="C89" t="str">
        <f>"Beacon.Put(110,0,2"&amp;TEXT(M電入力!$D91,"000")&amp;");"</f>
        <v>Beacon.Put(110,0,2000);</v>
      </c>
      <c r="D89" t="str">
        <f>"Beacon.Put(110,0,3"&amp;TEXT(M電入力!$D92,"000")&amp;");"</f>
        <v>Beacon.Put(110,0,3000);</v>
      </c>
      <c r="E89" t="str">
        <f>"Beacon.Put(110,0,4"&amp;TEXT(M電入力!$D93,"000")&amp;");"</f>
        <v>Beacon.Put(110,0,4000);</v>
      </c>
      <c r="F89" t="str">
        <f>"Beacon.Put(110,0,5"&amp;TEXT(M電入力!$D94,"000")&amp;");"</f>
        <v>Beacon.Put(110,0,5000);</v>
      </c>
      <c r="G89" t="str">
        <f>"Beacon.Put(110,0,6"&amp;TEXT(M電入力!$D95,"000")&amp;");"</f>
        <v>Beacon.Put(110,0,6000);</v>
      </c>
    </row>
    <row r="90" spans="1:7">
      <c r="A90" t="str">
        <f>M電入力!C91&amp;"+25;"</f>
        <v>+25;</v>
      </c>
      <c r="B90" t="str">
        <f>"Beacon.Put(110,0,1"&amp;TEXT(M電入力!$D91,"000")&amp;");"</f>
        <v>Beacon.Put(110,0,1000);</v>
      </c>
      <c r="C90" t="str">
        <f>"Beacon.Put(110,0,2"&amp;TEXT(M電入力!$D92,"000")&amp;");"</f>
        <v>Beacon.Put(110,0,2000);</v>
      </c>
      <c r="D90" t="str">
        <f>"Beacon.Put(110,0,3"&amp;TEXT(M電入力!$D93,"000")&amp;");"</f>
        <v>Beacon.Put(110,0,3000);</v>
      </c>
      <c r="E90" t="str">
        <f>"Beacon.Put(110,0,4"&amp;TEXT(M電入力!$D94,"000")&amp;");"</f>
        <v>Beacon.Put(110,0,4000);</v>
      </c>
      <c r="F90" t="str">
        <f>"Beacon.Put(110,0,5"&amp;TEXT(M電入力!$D95,"000")&amp;");"</f>
        <v>Beacon.Put(110,0,5000);</v>
      </c>
      <c r="G90" t="str">
        <f>"Beacon.Put(110,0,6"&amp;TEXT(M電入力!$D96,"000")&amp;");"</f>
        <v>Beacon.Put(110,0,6000);</v>
      </c>
    </row>
    <row r="91" spans="1:7">
      <c r="A91" t="str">
        <f>M電入力!C92&amp;"+25;"</f>
        <v>+25;</v>
      </c>
      <c r="B91" t="str">
        <f>"Beacon.Put(110,0,1"&amp;TEXT(M電入力!$D92,"000")&amp;");"</f>
        <v>Beacon.Put(110,0,1000);</v>
      </c>
      <c r="C91" t="str">
        <f>"Beacon.Put(110,0,2"&amp;TEXT(M電入力!$D93,"000")&amp;");"</f>
        <v>Beacon.Put(110,0,2000);</v>
      </c>
      <c r="D91" t="str">
        <f>"Beacon.Put(110,0,3"&amp;TEXT(M電入力!$D94,"000")&amp;");"</f>
        <v>Beacon.Put(110,0,3000);</v>
      </c>
      <c r="E91" t="str">
        <f>"Beacon.Put(110,0,4"&amp;TEXT(M電入力!$D95,"000")&amp;");"</f>
        <v>Beacon.Put(110,0,4000);</v>
      </c>
      <c r="F91" t="str">
        <f>"Beacon.Put(110,0,5"&amp;TEXT(M電入力!$D96,"000")&amp;");"</f>
        <v>Beacon.Put(110,0,5000);</v>
      </c>
      <c r="G91" t="str">
        <f>"Beacon.Put(110,0,6"&amp;TEXT(M電入力!$D97,"000")&amp;");"</f>
        <v>Beacon.Put(110,0,6000);</v>
      </c>
    </row>
    <row r="92" spans="1:7">
      <c r="A92" t="str">
        <f>M電入力!C93&amp;"+25;"</f>
        <v>+25;</v>
      </c>
      <c r="B92" t="str">
        <f>"Beacon.Put(110,0,1"&amp;TEXT(M電入力!$D93,"000")&amp;");"</f>
        <v>Beacon.Put(110,0,1000);</v>
      </c>
      <c r="C92" t="str">
        <f>"Beacon.Put(110,0,2"&amp;TEXT(M電入力!$D94,"000")&amp;");"</f>
        <v>Beacon.Put(110,0,2000);</v>
      </c>
      <c r="D92" t="str">
        <f>"Beacon.Put(110,0,3"&amp;TEXT(M電入力!$D95,"000")&amp;");"</f>
        <v>Beacon.Put(110,0,3000);</v>
      </c>
      <c r="E92" t="str">
        <f>"Beacon.Put(110,0,4"&amp;TEXT(M電入力!$D96,"000")&amp;");"</f>
        <v>Beacon.Put(110,0,4000);</v>
      </c>
      <c r="F92" t="str">
        <f>"Beacon.Put(110,0,5"&amp;TEXT(M電入力!$D97,"000")&amp;");"</f>
        <v>Beacon.Put(110,0,5000);</v>
      </c>
      <c r="G92" t="str">
        <f>"Beacon.Put(110,0,6"&amp;TEXT(M電入力!$D98,"000")&amp;");"</f>
        <v>Beacon.Put(110,0,6000);</v>
      </c>
    </row>
    <row r="93" spans="1:7">
      <c r="A93" t="str">
        <f>M電入力!C94&amp;"+25;"</f>
        <v>+25;</v>
      </c>
      <c r="B93" t="str">
        <f>"Beacon.Put(110,0,1"&amp;TEXT(M電入力!$D94,"000")&amp;");"</f>
        <v>Beacon.Put(110,0,1000);</v>
      </c>
      <c r="C93" t="str">
        <f>"Beacon.Put(110,0,2"&amp;TEXT(M電入力!$D95,"000")&amp;");"</f>
        <v>Beacon.Put(110,0,2000);</v>
      </c>
      <c r="D93" t="str">
        <f>"Beacon.Put(110,0,3"&amp;TEXT(M電入力!$D96,"000")&amp;");"</f>
        <v>Beacon.Put(110,0,3000);</v>
      </c>
      <c r="E93" t="str">
        <f>"Beacon.Put(110,0,4"&amp;TEXT(M電入力!$D97,"000")&amp;");"</f>
        <v>Beacon.Put(110,0,4000);</v>
      </c>
      <c r="F93" t="str">
        <f>"Beacon.Put(110,0,5"&amp;TEXT(M電入力!$D98,"000")&amp;");"</f>
        <v>Beacon.Put(110,0,5000);</v>
      </c>
      <c r="G93" t="str">
        <f>"Beacon.Put(110,0,6"&amp;TEXT(M電入力!$D99,"000")&amp;");"</f>
        <v>Beacon.Put(110,0,6000);</v>
      </c>
    </row>
    <row r="94" spans="1:7">
      <c r="A94" t="str">
        <f>M電入力!C95&amp;"+25;"</f>
        <v>+25;</v>
      </c>
      <c r="B94" t="str">
        <f>"Beacon.Put(110,0,1"&amp;TEXT(M電入力!$D95,"000")&amp;");"</f>
        <v>Beacon.Put(110,0,1000);</v>
      </c>
      <c r="C94" t="str">
        <f>"Beacon.Put(110,0,2"&amp;TEXT(M電入力!$D96,"000")&amp;");"</f>
        <v>Beacon.Put(110,0,2000);</v>
      </c>
      <c r="D94" t="str">
        <f>"Beacon.Put(110,0,3"&amp;TEXT(M電入力!$D97,"000")&amp;");"</f>
        <v>Beacon.Put(110,0,3000);</v>
      </c>
      <c r="E94" t="str">
        <f>"Beacon.Put(110,0,4"&amp;TEXT(M電入力!$D98,"000")&amp;");"</f>
        <v>Beacon.Put(110,0,4000);</v>
      </c>
      <c r="F94" t="str">
        <f>"Beacon.Put(110,0,5"&amp;TEXT(M電入力!$D99,"000")&amp;");"</f>
        <v>Beacon.Put(110,0,5000);</v>
      </c>
      <c r="G94" t="str">
        <f>"Beacon.Put(110,0,6"&amp;TEXT(M電入力!$D100,"000")&amp;");"</f>
        <v>Beacon.Put(110,0,6000);</v>
      </c>
    </row>
    <row r="95" spans="1:7">
      <c r="A95" t="str">
        <f>M電入力!C96&amp;"+25;"</f>
        <v>+25;</v>
      </c>
      <c r="B95" t="str">
        <f>"Beacon.Put(110,0,1"&amp;TEXT(M電入力!$D96,"000")&amp;");"</f>
        <v>Beacon.Put(110,0,1000);</v>
      </c>
      <c r="C95" t="str">
        <f>"Beacon.Put(110,0,2"&amp;TEXT(M電入力!$D97,"000")&amp;");"</f>
        <v>Beacon.Put(110,0,2000);</v>
      </c>
      <c r="D95" t="str">
        <f>"Beacon.Put(110,0,3"&amp;TEXT(M電入力!$D98,"000")&amp;");"</f>
        <v>Beacon.Put(110,0,3000);</v>
      </c>
      <c r="E95" t="str">
        <f>"Beacon.Put(110,0,4"&amp;TEXT(M電入力!$D99,"000")&amp;");"</f>
        <v>Beacon.Put(110,0,4000);</v>
      </c>
      <c r="F95" t="str">
        <f>"Beacon.Put(110,0,5"&amp;TEXT(M電入力!$D100,"000")&amp;");"</f>
        <v>Beacon.Put(110,0,5000);</v>
      </c>
      <c r="G95" t="str">
        <f>"Beacon.Put(110,0,6"&amp;TEXT(M電入力!$D101,"000")&amp;");"</f>
        <v>Beacon.Put(110,0,6000);</v>
      </c>
    </row>
    <row r="96" spans="1:7">
      <c r="A96" t="str">
        <f>M電入力!C97&amp;"+25;"</f>
        <v>+25;</v>
      </c>
      <c r="B96" t="str">
        <f>"Beacon.Put(110,0,1"&amp;TEXT(M電入力!$D97,"000")&amp;");"</f>
        <v>Beacon.Put(110,0,1000);</v>
      </c>
      <c r="C96" t="str">
        <f>"Beacon.Put(110,0,2"&amp;TEXT(M電入力!$D98,"000")&amp;");"</f>
        <v>Beacon.Put(110,0,2000);</v>
      </c>
      <c r="D96" t="str">
        <f>"Beacon.Put(110,0,3"&amp;TEXT(M電入力!$D99,"000")&amp;");"</f>
        <v>Beacon.Put(110,0,3000);</v>
      </c>
      <c r="E96" t="str">
        <f>"Beacon.Put(110,0,4"&amp;TEXT(M電入力!$D100,"000")&amp;");"</f>
        <v>Beacon.Put(110,0,4000);</v>
      </c>
      <c r="F96" t="str">
        <f>"Beacon.Put(110,0,5"&amp;TEXT(M電入力!$D101,"000")&amp;");"</f>
        <v>Beacon.Put(110,0,5000);</v>
      </c>
      <c r="G96" t="str">
        <f>"Beacon.Put(110,0,6"&amp;TEXT(M電入力!$D102,"000")&amp;");"</f>
        <v>Beacon.Put(110,0,6000);</v>
      </c>
    </row>
    <row r="97" spans="1:7">
      <c r="A97" t="str">
        <f>M電入力!C98&amp;"+25;"</f>
        <v>+25;</v>
      </c>
      <c r="B97" t="str">
        <f>"Beacon.Put(110,0,1"&amp;TEXT(M電入力!$D98,"000")&amp;");"</f>
        <v>Beacon.Put(110,0,1000);</v>
      </c>
      <c r="C97" t="str">
        <f>"Beacon.Put(110,0,2"&amp;TEXT(M電入力!$D99,"000")&amp;");"</f>
        <v>Beacon.Put(110,0,2000);</v>
      </c>
      <c r="D97" t="str">
        <f>"Beacon.Put(110,0,3"&amp;TEXT(M電入力!$D100,"000")&amp;");"</f>
        <v>Beacon.Put(110,0,3000);</v>
      </c>
      <c r="E97" t="str">
        <f>"Beacon.Put(110,0,4"&amp;TEXT(M電入力!$D101,"000")&amp;");"</f>
        <v>Beacon.Put(110,0,4000);</v>
      </c>
      <c r="F97" t="str">
        <f>"Beacon.Put(110,0,5"&amp;TEXT(M電入力!$D102,"000")&amp;");"</f>
        <v>Beacon.Put(110,0,5000);</v>
      </c>
      <c r="G97" t="str">
        <f>"Beacon.Put(110,0,6"&amp;TEXT(M電入力!$D103,"000")&amp;");"</f>
        <v>Beacon.Put(110,0,6000);</v>
      </c>
    </row>
    <row r="98" spans="1:7">
      <c r="A98" t="str">
        <f>M電入力!C99&amp;"+25;"</f>
        <v>+25;</v>
      </c>
      <c r="B98" t="str">
        <f>"Beacon.Put(110,0,1"&amp;TEXT(M電入力!$D99,"000")&amp;");"</f>
        <v>Beacon.Put(110,0,1000);</v>
      </c>
      <c r="C98" t="str">
        <f>"Beacon.Put(110,0,2"&amp;TEXT(M電入力!$D100,"000")&amp;");"</f>
        <v>Beacon.Put(110,0,2000);</v>
      </c>
      <c r="D98" t="str">
        <f>"Beacon.Put(110,0,3"&amp;TEXT(M電入力!$D101,"000")&amp;");"</f>
        <v>Beacon.Put(110,0,3000);</v>
      </c>
      <c r="E98" t="str">
        <f>"Beacon.Put(110,0,4"&amp;TEXT(M電入力!$D102,"000")&amp;");"</f>
        <v>Beacon.Put(110,0,4000);</v>
      </c>
      <c r="F98" t="str">
        <f>"Beacon.Put(110,0,5"&amp;TEXT(M電入力!$D103,"000")&amp;");"</f>
        <v>Beacon.Put(110,0,5000);</v>
      </c>
      <c r="G98" t="str">
        <f>"Beacon.Put(110,0,6"&amp;TEXT(M電入力!$D104,"000")&amp;");"</f>
        <v>Beacon.Put(110,0,6000);</v>
      </c>
    </row>
    <row r="99" spans="1:7">
      <c r="A99" t="str">
        <f>M電入力!C100&amp;"+25;"</f>
        <v>+25;</v>
      </c>
      <c r="B99" t="str">
        <f>"Beacon.Put(110,0,1"&amp;TEXT(M電入力!$D100,"000")&amp;");"</f>
        <v>Beacon.Put(110,0,1000);</v>
      </c>
      <c r="C99" t="str">
        <f>"Beacon.Put(110,0,2"&amp;TEXT(M電入力!$D101,"000")&amp;");"</f>
        <v>Beacon.Put(110,0,2000);</v>
      </c>
      <c r="D99" t="str">
        <f>"Beacon.Put(110,0,3"&amp;TEXT(M電入力!$D102,"000")&amp;");"</f>
        <v>Beacon.Put(110,0,3000);</v>
      </c>
      <c r="E99" t="str">
        <f>"Beacon.Put(110,0,4"&amp;TEXT(M電入力!$D103,"000")&amp;");"</f>
        <v>Beacon.Put(110,0,4000);</v>
      </c>
      <c r="F99" t="str">
        <f>"Beacon.Put(110,0,5"&amp;TEXT(M電入力!$D104,"000")&amp;");"</f>
        <v>Beacon.Put(110,0,5000);</v>
      </c>
      <c r="G99" t="str">
        <f>"Beacon.Put(110,0,6"&amp;TEXT(M電入力!$D105,"000")&amp;");"</f>
        <v>Beacon.Put(110,0,6000);</v>
      </c>
    </row>
    <row r="100" spans="1:7">
      <c r="A100" t="str">
        <f>M電入力!C101&amp;"+25;"</f>
        <v>+25;</v>
      </c>
      <c r="B100" t="str">
        <f>"Beacon.Put(110,0,1"&amp;TEXT(M電入力!$D101,"000")&amp;");"</f>
        <v>Beacon.Put(110,0,1000);</v>
      </c>
      <c r="C100" t="str">
        <f>"Beacon.Put(110,0,2"&amp;TEXT(M電入力!$D102,"000")&amp;");"</f>
        <v>Beacon.Put(110,0,2000);</v>
      </c>
      <c r="D100" t="str">
        <f>"Beacon.Put(110,0,3"&amp;TEXT(M電入力!$D103,"000")&amp;");"</f>
        <v>Beacon.Put(110,0,3000);</v>
      </c>
      <c r="E100" t="str">
        <f>"Beacon.Put(110,0,4"&amp;TEXT(M電入力!$D104,"000")&amp;");"</f>
        <v>Beacon.Put(110,0,4000);</v>
      </c>
      <c r="F100" t="str">
        <f>"Beacon.Put(110,0,5"&amp;TEXT(M電入力!$D105,"000")&amp;");"</f>
        <v>Beacon.Put(110,0,5000);</v>
      </c>
      <c r="G100" t="str">
        <f>"Beacon.Put(110,0,6"&amp;TEXT(M電入力!$D106,"000")&amp;");"</f>
        <v>Beacon.Put(110,0,6000);</v>
      </c>
    </row>
    <row r="101" spans="1:7">
      <c r="A101" t="str">
        <f>M電入力!C102&amp;"+25;"</f>
        <v>+25;</v>
      </c>
      <c r="B101" t="str">
        <f>"Beacon.Put(110,0,1"&amp;TEXT(M電入力!$D102,"000")&amp;");"</f>
        <v>Beacon.Put(110,0,1000);</v>
      </c>
      <c r="C101" t="str">
        <f>"Beacon.Put(110,0,2"&amp;TEXT(M電入力!$D103,"000")&amp;");"</f>
        <v>Beacon.Put(110,0,2000);</v>
      </c>
      <c r="D101" t="str">
        <f>"Beacon.Put(110,0,3"&amp;TEXT(M電入力!$D104,"000")&amp;");"</f>
        <v>Beacon.Put(110,0,3000);</v>
      </c>
      <c r="E101" t="str">
        <f>"Beacon.Put(110,0,4"&amp;TEXT(M電入力!$D105,"000")&amp;");"</f>
        <v>Beacon.Put(110,0,4000);</v>
      </c>
      <c r="F101" t="str">
        <f>"Beacon.Put(110,0,5"&amp;TEXT(M電入力!$D106,"000")&amp;");"</f>
        <v>Beacon.Put(110,0,5000);</v>
      </c>
      <c r="G101" t="str">
        <f>"Beacon.Put(110,0,6"&amp;TEXT(M電入力!$D107,"000")&amp;");"</f>
        <v>Beacon.Put(110,0,6000);</v>
      </c>
    </row>
    <row r="102" spans="1:7">
      <c r="A102" t="str">
        <f>M電入力!C103&amp;"+25;"</f>
        <v>+25;</v>
      </c>
      <c r="B102" t="str">
        <f>"Beacon.Put(110,0,1"&amp;TEXT(M電入力!$D103,"000")&amp;");"</f>
        <v>Beacon.Put(110,0,1000);</v>
      </c>
      <c r="C102" t="str">
        <f>"Beacon.Put(110,0,2"&amp;TEXT(M電入力!$D104,"000")&amp;");"</f>
        <v>Beacon.Put(110,0,2000);</v>
      </c>
      <c r="D102" t="str">
        <f>"Beacon.Put(110,0,3"&amp;TEXT(M電入力!$D105,"000")&amp;");"</f>
        <v>Beacon.Put(110,0,3000);</v>
      </c>
      <c r="E102" t="str">
        <f>"Beacon.Put(110,0,4"&amp;TEXT(M電入力!$D106,"000")&amp;");"</f>
        <v>Beacon.Put(110,0,4000);</v>
      </c>
      <c r="F102" t="str">
        <f>"Beacon.Put(110,0,5"&amp;TEXT(M電入力!$D107,"000")&amp;");"</f>
        <v>Beacon.Put(110,0,5000);</v>
      </c>
      <c r="G102" t="str">
        <f>"Beacon.Put(110,0,6"&amp;TEXT(M電入力!$D108,"000")&amp;");"</f>
        <v>Beacon.Put(110,0,6000);</v>
      </c>
    </row>
  </sheetData>
  <phoneticPr fontId="2" type="noConversion"/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A2DDBB-661A-4F12-9B59-BE0D3EAF8FF3}">
  <dimension ref="A1:M102"/>
  <sheetViews>
    <sheetView workbookViewId="0">
      <selection activeCell="B3" sqref="B3"/>
    </sheetView>
  </sheetViews>
  <sheetFormatPr defaultRowHeight="14.4"/>
  <cols>
    <col min="1" max="1" width="14.21875" bestFit="1" customWidth="1"/>
    <col min="2" max="13" width="24.21875" bestFit="1" customWidth="1"/>
  </cols>
  <sheetData>
    <row r="1" spans="1:13">
      <c r="A1" t="s">
        <v>58</v>
      </c>
    </row>
    <row r="2" spans="1:13">
      <c r="A2" t="s">
        <v>38</v>
      </c>
    </row>
    <row r="3" spans="1:13">
      <c r="A3" t="str">
        <f>M電入力!C4&amp;";"</f>
        <v>3790;</v>
      </c>
      <c r="B3" t="str">
        <f>"Beacon.Put(111,0,1"&amp;M電入力!$AA4&amp;");"</f>
        <v>Beacon.Put(111,0,1075660);</v>
      </c>
      <c r="C3" t="str">
        <f>"Beacon.Put(111,0,2"&amp;M電入力!$AA5&amp;");"</f>
        <v>Beacon.Put(111,0,2250000);</v>
      </c>
      <c r="D3" t="str">
        <f>"Beacon.Put(111,0,3"&amp;M電入力!$AA6&amp;");"</f>
        <v>Beacon.Put(111,0,3250000);</v>
      </c>
      <c r="E3" t="str">
        <f>"Beacon.Put(111,0,4"&amp;M電入力!$AA7&amp;");"</f>
        <v>Beacon.Put(111,0,4000760);</v>
      </c>
      <c r="F3" t="str">
        <f>"Beacon.Put(111,0,5"&amp;M電入力!$AA8&amp;");"</f>
        <v>Beacon.Put(111,0,5250000);</v>
      </c>
      <c r="G3" t="str">
        <f>"Beacon.Put(111,0,6"&amp;M電入力!$AA9&amp;");"</f>
        <v>Beacon.Put(111,0,6001660);</v>
      </c>
      <c r="H3" t="str">
        <f>"Beacon.Put(112,0,1"&amp;M電入力!$AB4&amp;");"</f>
        <v>Beacon.Put(112,0,1075860);</v>
      </c>
      <c r="I3" t="str">
        <f>"Beacon.Put(112,0,2"&amp;M電入力!$AB5&amp;");"</f>
        <v>Beacon.Put(112,0,2080130);</v>
      </c>
      <c r="J3" t="str">
        <f>"Beacon.Put(112,0,3"&amp;M電入力!$AB6&amp;");"</f>
        <v>Beacon.Put(112,0,3000245);</v>
      </c>
      <c r="K3" t="str">
        <f>"Beacon.Put(112,0,4"&amp;M電入力!$AB7&amp;");"</f>
        <v>Beacon.Put(112,0,4000745);</v>
      </c>
      <c r="L3" t="str">
        <f>"Beacon.Put(112,0,5"&amp;M電入力!$AB8&amp;");"</f>
        <v>Beacon.Put(112,0,5000945);</v>
      </c>
      <c r="M3" t="str">
        <f>"Beacon.Put(112,0,6"&amp;M電入力!$AB9&amp;");"</f>
        <v>Beacon.Put(112,0,6001630);</v>
      </c>
    </row>
    <row r="4" spans="1:13">
      <c r="A4" t="str">
        <f>M電入力!C5&amp;"+25;"</f>
        <v>6875+25;</v>
      </c>
      <c r="B4" t="str">
        <f>"Beacon.Put(111,0,1"&amp;M電入力!AA5&amp;");"</f>
        <v>Beacon.Put(111,0,1250000);</v>
      </c>
      <c r="C4" t="str">
        <f>"Beacon.Put(111,0,2"&amp;M電入力!$AA6&amp;");"</f>
        <v>Beacon.Put(111,0,2250000);</v>
      </c>
      <c r="D4" t="str">
        <f>"Beacon.Put(111,0,3"&amp;M電入力!$AA7&amp;");"</f>
        <v>Beacon.Put(111,0,3000760);</v>
      </c>
      <c r="E4" t="str">
        <f>"Beacon.Put(111,0,4"&amp;M電入力!$AA8&amp;");"</f>
        <v>Beacon.Put(111,0,4250000);</v>
      </c>
      <c r="F4" t="str">
        <f>"Beacon.Put(111,0,5"&amp;M電入力!$AA9&amp;");"</f>
        <v>Beacon.Put(111,0,5001660);</v>
      </c>
      <c r="G4" t="str">
        <f>"Beacon.Put(111,0,6"&amp;M電入力!$AA10&amp;");"</f>
        <v>Beacon.Put(111,0,6250000);</v>
      </c>
      <c r="H4" t="str">
        <f>"Beacon.Put(112,0,1"&amp;M電入力!$AB5&amp;");"</f>
        <v>Beacon.Put(112,0,1080130);</v>
      </c>
      <c r="I4" t="str">
        <f>"Beacon.Put(112,0,2"&amp;M電入力!$AB6&amp;");"</f>
        <v>Beacon.Put(112,0,2000245);</v>
      </c>
      <c r="J4" t="str">
        <f>"Beacon.Put(112,0,3"&amp;M電入力!$AB7&amp;");"</f>
        <v>Beacon.Put(112,0,3000745);</v>
      </c>
      <c r="K4" t="str">
        <f>"Beacon.Put(112,0,4"&amp;M電入力!$AB8&amp;");"</f>
        <v>Beacon.Put(112,0,4000945);</v>
      </c>
      <c r="L4" t="str">
        <f>"Beacon.Put(112,0,5"&amp;M電入力!$AB9&amp;");"</f>
        <v>Beacon.Put(112,0,5001630);</v>
      </c>
      <c r="M4" t="str">
        <f>"Beacon.Put(112,0,6"&amp;M電入力!$AB10&amp;");"</f>
        <v>Beacon.Put(112,0,6001945);</v>
      </c>
    </row>
    <row r="5" spans="1:13">
      <c r="A5" t="str">
        <f>M電入力!C6&amp;"+25;"</f>
        <v>8460+25;</v>
      </c>
      <c r="B5" t="str">
        <f>"Beacon.Put(111,0,1"&amp;M電入力!AA6&amp;");"</f>
        <v>Beacon.Put(111,0,1250000);</v>
      </c>
      <c r="C5" t="str">
        <f>"Beacon.Put(111,0,2"&amp;M電入力!$AA7&amp;");"</f>
        <v>Beacon.Put(111,0,2000760);</v>
      </c>
      <c r="D5" t="str">
        <f>"Beacon.Put(111,0,3"&amp;M電入力!$AA8&amp;");"</f>
        <v>Beacon.Put(111,0,3250000);</v>
      </c>
      <c r="E5" t="str">
        <f>"Beacon.Put(111,0,4"&amp;M電入力!$AA9&amp;");"</f>
        <v>Beacon.Put(111,0,4001660);</v>
      </c>
      <c r="F5" t="str">
        <f>"Beacon.Put(111,0,5"&amp;M電入力!$AA10&amp;");"</f>
        <v>Beacon.Put(111,0,5250000);</v>
      </c>
      <c r="G5" t="str">
        <f>"Beacon.Put(111,0,6"&amp;M電入力!$AA11&amp;");"</f>
        <v>Beacon.Put(111,0,6002260);</v>
      </c>
      <c r="H5" t="str">
        <f>"Beacon.Put(112,0,1"&amp;M電入力!$AB6&amp;");"</f>
        <v>Beacon.Put(112,0,1000245);</v>
      </c>
      <c r="I5" t="str">
        <f>"Beacon.Put(112,0,2"&amp;M電入力!$AB7&amp;");"</f>
        <v>Beacon.Put(112,0,2000745);</v>
      </c>
      <c r="J5" t="str">
        <f>"Beacon.Put(112,0,3"&amp;M電入力!$AB8&amp;");"</f>
        <v>Beacon.Put(112,0,3000945);</v>
      </c>
      <c r="K5" t="str">
        <f>"Beacon.Put(112,0,4"&amp;M電入力!$AB9&amp;");"</f>
        <v>Beacon.Put(112,0,4001630);</v>
      </c>
      <c r="L5" t="str">
        <f>"Beacon.Put(112,0,5"&amp;M電入力!$AB10&amp;");"</f>
        <v>Beacon.Put(112,0,5001945);</v>
      </c>
      <c r="M5" t="str">
        <f>"Beacon.Put(112,0,6"&amp;M電入力!$AB11&amp;");"</f>
        <v>Beacon.Put(112,0,6002360);</v>
      </c>
    </row>
    <row r="6" spans="1:13">
      <c r="A6" t="str">
        <f>M電入力!C7&amp;"+25;"</f>
        <v>13240+25;</v>
      </c>
      <c r="B6" t="str">
        <f>"Beacon.Put(111,0,1"&amp;M電入力!AA7&amp;");"</f>
        <v>Beacon.Put(111,0,1000760);</v>
      </c>
      <c r="C6" t="str">
        <f>"Beacon.Put(111,0,2"&amp;M電入力!$AA8&amp;");"</f>
        <v>Beacon.Put(111,0,2250000);</v>
      </c>
      <c r="D6" t="str">
        <f>"Beacon.Put(111,0,3"&amp;M電入力!$AA9&amp;");"</f>
        <v>Beacon.Put(111,0,3001660);</v>
      </c>
      <c r="E6" t="str">
        <f>"Beacon.Put(111,0,4"&amp;M電入力!$AA10&amp;");"</f>
        <v>Beacon.Put(111,0,4250000);</v>
      </c>
      <c r="F6" t="str">
        <f>"Beacon.Put(111,0,5"&amp;M電入力!$AA11&amp;");"</f>
        <v>Beacon.Put(111,0,5002260);</v>
      </c>
      <c r="G6" t="str">
        <f>"Beacon.Put(111,0,6"&amp;M電入力!$AA12&amp;");"</f>
        <v>Beacon.Put(111,0,6250000);</v>
      </c>
      <c r="H6" t="str">
        <f>"Beacon.Put(112,0,1"&amp;M電入力!$AB7&amp;");"</f>
        <v>Beacon.Put(112,0,1000745);</v>
      </c>
      <c r="I6" t="str">
        <f>"Beacon.Put(112,0,2"&amp;M電入力!$AB8&amp;");"</f>
        <v>Beacon.Put(112,0,2000945);</v>
      </c>
      <c r="J6" t="str">
        <f>"Beacon.Put(112,0,3"&amp;M電入力!$AB9&amp;");"</f>
        <v>Beacon.Put(112,0,3001630);</v>
      </c>
      <c r="K6" t="str">
        <f>"Beacon.Put(112,0,4"&amp;M電入力!$AB10&amp;");"</f>
        <v>Beacon.Put(112,0,4001945);</v>
      </c>
      <c r="L6" t="str">
        <f>"Beacon.Put(112,0,5"&amp;M電入力!$AB11&amp;");"</f>
        <v>Beacon.Put(112,0,5002360);</v>
      </c>
      <c r="M6" t="str">
        <f>"Beacon.Put(112,0,6"&amp;M電入力!$AB12&amp;");"</f>
        <v>Beacon.Put(112,0,6002545);</v>
      </c>
    </row>
    <row r="7" spans="1:13">
      <c r="A7" t="str">
        <f>M電入力!C8&amp;"+25;"</f>
        <v>15880+25;</v>
      </c>
      <c r="B7" t="str">
        <f>"Beacon.Put(111,0,1"&amp;M電入力!AA8&amp;");"</f>
        <v>Beacon.Put(111,0,1250000);</v>
      </c>
      <c r="C7" t="str">
        <f>"Beacon.Put(111,0,2"&amp;M電入力!$AA9&amp;");"</f>
        <v>Beacon.Put(111,0,2001660);</v>
      </c>
      <c r="D7" t="str">
        <f>"Beacon.Put(111,0,3"&amp;M電入力!$AA10&amp;");"</f>
        <v>Beacon.Put(111,0,3250000);</v>
      </c>
      <c r="E7" t="str">
        <f>"Beacon.Put(111,0,4"&amp;M電入力!$AA11&amp;");"</f>
        <v>Beacon.Put(111,0,4002260);</v>
      </c>
      <c r="F7" t="str">
        <f>"Beacon.Put(111,0,5"&amp;M電入力!$AA12&amp;");"</f>
        <v>Beacon.Put(111,0,5250000);</v>
      </c>
      <c r="G7" t="str">
        <f>"Beacon.Put(111,0,6"&amp;M電入力!$AA13&amp;");"</f>
        <v>Beacon.Put(111,0,6250000);</v>
      </c>
      <c r="H7" t="str">
        <f>"Beacon.Put(112,0,1"&amp;M電入力!$AB8&amp;");"</f>
        <v>Beacon.Put(112,0,1000945);</v>
      </c>
      <c r="I7" t="str">
        <f>"Beacon.Put(112,0,2"&amp;M電入力!$AB9&amp;");"</f>
        <v>Beacon.Put(112,0,2001630);</v>
      </c>
      <c r="J7" t="str">
        <f>"Beacon.Put(112,0,3"&amp;M電入力!$AB10&amp;");"</f>
        <v>Beacon.Put(112,0,3001945);</v>
      </c>
      <c r="K7" t="str">
        <f>"Beacon.Put(112,0,4"&amp;M電入力!$AB11&amp;");"</f>
        <v>Beacon.Put(112,0,4002360);</v>
      </c>
      <c r="L7" t="str">
        <f>"Beacon.Put(112,0,5"&amp;M電入力!$AB12&amp;");"</f>
        <v>Beacon.Put(112,0,5002545);</v>
      </c>
      <c r="M7" t="str">
        <f>"Beacon.Put(112,0,6"&amp;M電入力!$AB13&amp;");"</f>
        <v>Beacon.Put(112,0,6002715);</v>
      </c>
    </row>
    <row r="8" spans="1:13">
      <c r="A8" t="str">
        <f>M電入力!C9&amp;"+25;"</f>
        <v>24240+25;</v>
      </c>
      <c r="B8" t="str">
        <f>"Beacon.Put(111,0,1"&amp;M電入力!AA9&amp;");"</f>
        <v>Beacon.Put(111,0,1001660);</v>
      </c>
      <c r="C8" t="str">
        <f>"Beacon.Put(111,0,2"&amp;M電入力!$AA10&amp;");"</f>
        <v>Beacon.Put(111,0,2250000);</v>
      </c>
      <c r="D8" t="str">
        <f>"Beacon.Put(111,0,3"&amp;M電入力!$AA11&amp;");"</f>
        <v>Beacon.Put(111,0,3002260);</v>
      </c>
      <c r="E8" t="str">
        <f>"Beacon.Put(111,0,4"&amp;M電入力!$AA12&amp;");"</f>
        <v>Beacon.Put(111,0,4250000);</v>
      </c>
      <c r="F8" t="str">
        <f>"Beacon.Put(111,0,5"&amp;M電入力!$AA13&amp;");"</f>
        <v>Beacon.Put(111,0,5250000);</v>
      </c>
      <c r="G8" t="str">
        <f>"Beacon.Put(111,0,6"&amp;M電入力!$AA14&amp;");"</f>
        <v>Beacon.Put(111,0,6002945);</v>
      </c>
      <c r="H8" t="str">
        <f>"Beacon.Put(112,0,1"&amp;M電入力!$AB9&amp;");"</f>
        <v>Beacon.Put(112,0,1001630);</v>
      </c>
      <c r="I8" t="str">
        <f>"Beacon.Put(112,0,2"&amp;M電入力!$AB10&amp;");"</f>
        <v>Beacon.Put(112,0,2001945);</v>
      </c>
      <c r="J8" t="str">
        <f>"Beacon.Put(112,0,3"&amp;M電入力!$AB11&amp;");"</f>
        <v>Beacon.Put(112,0,3002360);</v>
      </c>
      <c r="K8" t="str">
        <f>"Beacon.Put(112,0,4"&amp;M電入力!$AB12&amp;");"</f>
        <v>Beacon.Put(112,0,4002545);</v>
      </c>
      <c r="L8" t="str">
        <f>"Beacon.Put(112,0,5"&amp;M電入力!$AB13&amp;");"</f>
        <v>Beacon.Put(112,0,5002715);</v>
      </c>
      <c r="M8" t="str">
        <f>"Beacon.Put(112,0,6"&amp;M電入力!$AB14&amp;");"</f>
        <v>Beacon.Put(112,0,6003015);</v>
      </c>
    </row>
    <row r="9" spans="1:13">
      <c r="A9" t="str">
        <f>M電入力!C10&amp;"+25;"</f>
        <v>28915+25;</v>
      </c>
      <c r="B9" t="str">
        <f>"Beacon.Put(111,0,1"&amp;M電入力!AA10&amp;");"</f>
        <v>Beacon.Put(111,0,1250000);</v>
      </c>
      <c r="C9" t="str">
        <f>"Beacon.Put(111,0,2"&amp;M電入力!$AA11&amp;");"</f>
        <v>Beacon.Put(111,0,2002260);</v>
      </c>
      <c r="D9" t="str">
        <f>"Beacon.Put(111,0,3"&amp;M電入力!$AA12&amp;");"</f>
        <v>Beacon.Put(111,0,3250000);</v>
      </c>
      <c r="E9" t="str">
        <f>"Beacon.Put(111,0,4"&amp;M電入力!$AA13&amp;");"</f>
        <v>Beacon.Put(111,0,4250000);</v>
      </c>
      <c r="F9" t="str">
        <f>"Beacon.Put(111,0,5"&amp;M電入力!$AA14&amp;");"</f>
        <v>Beacon.Put(111,0,5002945);</v>
      </c>
      <c r="G9" t="str">
        <f>"Beacon.Put(111,0,6"&amp;M電入力!$AA15&amp;");"</f>
        <v>Beacon.Put(111,0,6250000);</v>
      </c>
      <c r="H9" t="str">
        <f>"Beacon.Put(112,0,1"&amp;M電入力!$AB10&amp;");"</f>
        <v>Beacon.Put(112,0,1001945);</v>
      </c>
      <c r="I9" t="str">
        <f>"Beacon.Put(112,0,2"&amp;M電入力!$AB11&amp;");"</f>
        <v>Beacon.Put(112,0,2002360);</v>
      </c>
      <c r="J9" t="str">
        <f>"Beacon.Put(112,0,3"&amp;M電入力!$AB12&amp;");"</f>
        <v>Beacon.Put(112,0,3002545);</v>
      </c>
      <c r="K9" t="str">
        <f>"Beacon.Put(112,0,4"&amp;M電入力!$AB13&amp;");"</f>
        <v>Beacon.Put(112,0,4002715);</v>
      </c>
      <c r="L9" t="str">
        <f>"Beacon.Put(112,0,5"&amp;M電入力!$AB14&amp;");"</f>
        <v>Beacon.Put(112,0,5003015);</v>
      </c>
      <c r="M9" t="str">
        <f>"Beacon.Put(112,0,6"&amp;M電入力!$AB15&amp;");"</f>
        <v>Beacon.Put(112,0,6003315);</v>
      </c>
    </row>
    <row r="10" spans="1:13">
      <c r="A10" t="str">
        <f>M電入力!C11&amp;"+25;"</f>
        <v>30560+25;</v>
      </c>
      <c r="B10" t="str">
        <f>"Beacon.Put(111,0,1"&amp;M電入力!AA11&amp;");"</f>
        <v>Beacon.Put(111,0,1002260);</v>
      </c>
      <c r="C10" t="str">
        <f>"Beacon.Put(111,0,2"&amp;M電入力!$AA12&amp;");"</f>
        <v>Beacon.Put(111,0,2250000);</v>
      </c>
      <c r="D10" t="str">
        <f>"Beacon.Put(111,0,3"&amp;M電入力!$AA13&amp;");"</f>
        <v>Beacon.Put(111,0,3250000);</v>
      </c>
      <c r="E10" t="str">
        <f>"Beacon.Put(111,0,4"&amp;M電入力!$AA14&amp;");"</f>
        <v>Beacon.Put(111,0,4002945);</v>
      </c>
      <c r="F10" t="str">
        <f>"Beacon.Put(111,0,5"&amp;M電入力!$AA15&amp;");"</f>
        <v>Beacon.Put(111,0,5250000);</v>
      </c>
      <c r="G10" t="str">
        <f>"Beacon.Put(111,0,6"&amp;M電入力!$AA16&amp;");"</f>
        <v>Beacon.Put(111,0,6250000);</v>
      </c>
      <c r="H10" t="str">
        <f>"Beacon.Put(112,0,1"&amp;M電入力!$AB11&amp;");"</f>
        <v>Beacon.Put(112,0,1002360);</v>
      </c>
      <c r="I10" t="str">
        <f>"Beacon.Put(112,0,2"&amp;M電入力!$AB12&amp;");"</f>
        <v>Beacon.Put(112,0,2002545);</v>
      </c>
      <c r="J10" t="str">
        <f>"Beacon.Put(112,0,3"&amp;M電入力!$AB13&amp;");"</f>
        <v>Beacon.Put(112,0,3002715);</v>
      </c>
      <c r="K10" t="str">
        <f>"Beacon.Put(112,0,4"&amp;M電入力!$AB14&amp;");"</f>
        <v>Beacon.Put(112,0,4003015);</v>
      </c>
      <c r="L10" t="str">
        <f>"Beacon.Put(112,0,5"&amp;M電入力!$AB15&amp;");"</f>
        <v>Beacon.Put(112,0,5003315);</v>
      </c>
      <c r="M10" t="str">
        <f>"Beacon.Put(112,0,6"&amp;M電入力!$AB16&amp;");"</f>
        <v>Beacon.Put(112,0,6003445);</v>
      </c>
    </row>
    <row r="11" spans="1:13">
      <c r="A11" t="str">
        <f>M電入力!C12&amp;"+25;"</f>
        <v>33570+25;</v>
      </c>
      <c r="B11" t="str">
        <f>"Beacon.Put(111,0,1"&amp;M電入力!AA12&amp;");"</f>
        <v>Beacon.Put(111,0,1250000);</v>
      </c>
      <c r="C11" t="str">
        <f>"Beacon.Put(111,0,2"&amp;M電入力!$AA13&amp;");"</f>
        <v>Beacon.Put(111,0,2250000);</v>
      </c>
      <c r="D11" t="str">
        <f>"Beacon.Put(111,0,3"&amp;M電入力!$AA14&amp;");"</f>
        <v>Beacon.Put(111,0,3002945);</v>
      </c>
      <c r="E11" t="str">
        <f>"Beacon.Put(111,0,4"&amp;M電入力!$AA15&amp;");"</f>
        <v>Beacon.Put(111,0,4250000);</v>
      </c>
      <c r="F11" t="str">
        <f>"Beacon.Put(111,0,5"&amp;M電入力!$AA16&amp;");"</f>
        <v>Beacon.Put(111,0,5250000);</v>
      </c>
      <c r="G11" t="str">
        <f>"Beacon.Put(111,0,6"&amp;M電入力!$AA17&amp;");"</f>
        <v>Beacon.Put(111,0,6003760);</v>
      </c>
      <c r="H11" t="str">
        <f>"Beacon.Put(112,0,1"&amp;M電入力!$AB12&amp;");"</f>
        <v>Beacon.Put(112,0,1002545);</v>
      </c>
      <c r="I11" t="str">
        <f>"Beacon.Put(112,0,2"&amp;M電入力!$AB13&amp;");"</f>
        <v>Beacon.Put(112,0,2002715);</v>
      </c>
      <c r="J11" t="str">
        <f>"Beacon.Put(112,0,3"&amp;M電入力!$AB14&amp;");"</f>
        <v>Beacon.Put(112,0,3003015);</v>
      </c>
      <c r="K11" t="str">
        <f>"Beacon.Put(112,0,4"&amp;M電入力!$AB15&amp;");"</f>
        <v>Beacon.Put(112,0,4003315);</v>
      </c>
      <c r="L11" t="str">
        <f>"Beacon.Put(112,0,5"&amp;M電入力!$AB16&amp;");"</f>
        <v>Beacon.Put(112,0,5003445);</v>
      </c>
      <c r="M11" t="str">
        <f>"Beacon.Put(112,0,6"&amp;M電入力!$AB17&amp;");"</f>
        <v>Beacon.Put(112,0,6003730);</v>
      </c>
    </row>
    <row r="12" spans="1:13">
      <c r="A12" t="str">
        <f>M電入力!C13&amp;"+25;"</f>
        <v>35668+25;</v>
      </c>
      <c r="B12" t="str">
        <f>"Beacon.Put(111,0,1"&amp;M電入力!AA13&amp;");"</f>
        <v>Beacon.Put(111,0,1250000);</v>
      </c>
      <c r="C12" t="str">
        <f>"Beacon.Put(111,0,2"&amp;M電入力!$AA14&amp;");"</f>
        <v>Beacon.Put(111,0,2002945);</v>
      </c>
      <c r="D12" t="str">
        <f>"Beacon.Put(111,0,3"&amp;M電入力!$AA15&amp;");"</f>
        <v>Beacon.Put(111,0,3250000);</v>
      </c>
      <c r="E12" t="str">
        <f>"Beacon.Put(111,0,4"&amp;M電入力!$AA16&amp;");"</f>
        <v>Beacon.Put(111,0,4250000);</v>
      </c>
      <c r="F12" t="str">
        <f>"Beacon.Put(111,0,5"&amp;M電入力!$AA17&amp;");"</f>
        <v>Beacon.Put(111,0,5003760);</v>
      </c>
      <c r="G12" t="str">
        <f>"Beacon.Put(111,0,6"&amp;M電入力!$AA18&amp;");"</f>
        <v>Beacon.Put(111,0,6250000);</v>
      </c>
      <c r="H12" t="str">
        <f>"Beacon.Put(112,0,1"&amp;M電入力!$AB13&amp;");"</f>
        <v>Beacon.Put(112,0,1002715);</v>
      </c>
      <c r="I12" t="str">
        <f>"Beacon.Put(112,0,2"&amp;M電入力!$AB14&amp;");"</f>
        <v>Beacon.Put(112,0,2003015);</v>
      </c>
      <c r="J12" t="str">
        <f>"Beacon.Put(112,0,3"&amp;M電入力!$AB15&amp;");"</f>
        <v>Beacon.Put(112,0,3003315);</v>
      </c>
      <c r="K12" t="str">
        <f>"Beacon.Put(112,0,4"&amp;M電入力!$AB16&amp;");"</f>
        <v>Beacon.Put(112,0,4003445);</v>
      </c>
      <c r="L12" t="str">
        <f>"Beacon.Put(112,0,5"&amp;M電入力!$AB17&amp;");"</f>
        <v>Beacon.Put(112,0,5003730);</v>
      </c>
      <c r="M12" t="str">
        <f>"Beacon.Put(112,0,6"&amp;M電入力!$AB18&amp;");"</f>
        <v>Beacon.Put(112,0,6004060);</v>
      </c>
    </row>
    <row r="13" spans="1:13">
      <c r="A13" t="str">
        <f>M電入力!C14&amp;"+25;"</f>
        <v>39538+25;</v>
      </c>
      <c r="B13" t="str">
        <f>"Beacon.Put(111,0,1"&amp;M電入力!AA14&amp;");"</f>
        <v>Beacon.Put(111,0,1002945);</v>
      </c>
      <c r="C13" t="str">
        <f>"Beacon.Put(111,0,2"&amp;M電入力!$AA15&amp;");"</f>
        <v>Beacon.Put(111,0,2250000);</v>
      </c>
      <c r="D13" t="str">
        <f>"Beacon.Put(111,0,3"&amp;M電入力!$AA16&amp;");"</f>
        <v>Beacon.Put(111,0,3250000);</v>
      </c>
      <c r="E13" t="str">
        <f>"Beacon.Put(111,0,4"&amp;M電入力!$AA17&amp;");"</f>
        <v>Beacon.Put(111,0,4003760);</v>
      </c>
      <c r="F13" t="str">
        <f>"Beacon.Put(111,0,5"&amp;M電入力!$AA18&amp;");"</f>
        <v>Beacon.Put(111,0,5250000);</v>
      </c>
      <c r="G13" t="str">
        <f>"Beacon.Put(111,0,6"&amp;M電入力!$AA19&amp;");"</f>
        <v>Beacon.Put(111,0,6250000);</v>
      </c>
      <c r="H13" t="str">
        <f>"Beacon.Put(112,0,1"&amp;M電入力!$AB14&amp;");"</f>
        <v>Beacon.Put(112,0,1003015);</v>
      </c>
      <c r="I13" t="str">
        <f>"Beacon.Put(112,0,2"&amp;M電入力!$AB15&amp;");"</f>
        <v>Beacon.Put(112,0,2003315);</v>
      </c>
      <c r="J13" t="str">
        <f>"Beacon.Put(112,0,3"&amp;M電入力!$AB16&amp;");"</f>
        <v>Beacon.Put(112,0,3003445);</v>
      </c>
      <c r="K13" t="str">
        <f>"Beacon.Put(112,0,4"&amp;M電入力!$AB17&amp;");"</f>
        <v>Beacon.Put(112,0,4003730);</v>
      </c>
      <c r="L13" t="str">
        <f>"Beacon.Put(112,0,5"&amp;M電入力!$AB18&amp;");"</f>
        <v>Beacon.Put(112,0,5004060);</v>
      </c>
      <c r="M13" t="str">
        <f>"Beacon.Put(112,0,6"&amp;M電入力!$AB19&amp;");"</f>
        <v>Beacon.Put(112,0,6004460);</v>
      </c>
    </row>
    <row r="14" spans="1:13">
      <c r="A14" t="str">
        <f>M電入力!C15&amp;"+25;"</f>
        <v>43818+25;</v>
      </c>
      <c r="B14" t="str">
        <f>"Beacon.Put(111,0,1"&amp;M電入力!AA15&amp;");"</f>
        <v>Beacon.Put(111,0,1250000);</v>
      </c>
      <c r="C14" t="str">
        <f>"Beacon.Put(111,0,2"&amp;M電入力!$AA16&amp;");"</f>
        <v>Beacon.Put(111,0,2250000);</v>
      </c>
      <c r="D14" t="str">
        <f>"Beacon.Put(111,0,3"&amp;M電入力!$AA17&amp;");"</f>
        <v>Beacon.Put(111,0,3003760);</v>
      </c>
      <c r="E14" t="str">
        <f>"Beacon.Put(111,0,4"&amp;M電入力!$AA18&amp;");"</f>
        <v>Beacon.Put(111,0,4250000);</v>
      </c>
      <c r="F14" t="str">
        <f>"Beacon.Put(111,0,5"&amp;M電入力!$AA19&amp;");"</f>
        <v>Beacon.Put(111,0,5250000);</v>
      </c>
      <c r="G14" t="str">
        <f>"Beacon.Put(111,0,6"&amp;M電入力!$AA20&amp;");"</f>
        <v>Beacon.Put(111,0,6004960);</v>
      </c>
      <c r="H14" t="str">
        <f>"Beacon.Put(112,0,1"&amp;M電入力!$AB15&amp;");"</f>
        <v>Beacon.Put(112,0,1003315);</v>
      </c>
      <c r="I14" t="str">
        <f>"Beacon.Put(112,0,2"&amp;M電入力!$AB16&amp;");"</f>
        <v>Beacon.Put(112,0,2003445);</v>
      </c>
      <c r="J14" t="str">
        <f>"Beacon.Put(112,0,3"&amp;M電入力!$AB17&amp;");"</f>
        <v>Beacon.Put(112,0,3003730);</v>
      </c>
      <c r="K14" t="str">
        <f>"Beacon.Put(112,0,4"&amp;M電入力!$AB18&amp;");"</f>
        <v>Beacon.Put(112,0,4004060);</v>
      </c>
      <c r="L14" t="str">
        <f>"Beacon.Put(112,0,5"&amp;M電入力!$AB19&amp;");"</f>
        <v>Beacon.Put(112,0,5004460);</v>
      </c>
      <c r="M14" t="str">
        <f>"Beacon.Put(112,0,6"&amp;M電入力!$AB20&amp;");"</f>
        <v>Beacon.Put(112,0,6004930);</v>
      </c>
    </row>
    <row r="15" spans="1:13">
      <c r="A15" t="str">
        <f>M電入力!C16&amp;"+25;"</f>
        <v>46196+25;</v>
      </c>
      <c r="B15" t="str">
        <f>"Beacon.Put(111,0,1"&amp;M電入力!AA16&amp;");"</f>
        <v>Beacon.Put(111,0,1250000);</v>
      </c>
      <c r="C15" t="str">
        <f>"Beacon.Put(111,0,2"&amp;M電入力!$AA17&amp;");"</f>
        <v>Beacon.Put(111,0,2003760);</v>
      </c>
      <c r="D15" t="str">
        <f>"Beacon.Put(111,0,3"&amp;M電入力!$AA18&amp;");"</f>
        <v>Beacon.Put(111,0,3250000);</v>
      </c>
      <c r="E15" t="str">
        <f>"Beacon.Put(111,0,4"&amp;M電入力!$AA19&amp;");"</f>
        <v>Beacon.Put(111,0,4250000);</v>
      </c>
      <c r="F15" t="str">
        <f>"Beacon.Put(111,0,5"&amp;M電入力!$AA20&amp;");"</f>
        <v>Beacon.Put(111,0,5004960);</v>
      </c>
      <c r="G15" t="str">
        <f>"Beacon.Put(111,0,6"&amp;M電入力!$AA21&amp;");"</f>
        <v>Beacon.Put(111,0,6250000);</v>
      </c>
      <c r="H15" t="str">
        <f>"Beacon.Put(112,0,1"&amp;M電入力!$AB16&amp;");"</f>
        <v>Beacon.Put(112,0,1003445);</v>
      </c>
      <c r="I15" t="str">
        <f>"Beacon.Put(112,0,2"&amp;M電入力!$AB17&amp;");"</f>
        <v>Beacon.Put(112,0,2003730);</v>
      </c>
      <c r="J15" t="str">
        <f>"Beacon.Put(112,0,3"&amp;M電入力!$AB18&amp;");"</f>
        <v>Beacon.Put(112,0,3004060);</v>
      </c>
      <c r="K15" t="str">
        <f>"Beacon.Put(112,0,4"&amp;M電入力!$AB19&amp;");"</f>
        <v>Beacon.Put(112,0,4004460);</v>
      </c>
      <c r="L15" t="str">
        <f>"Beacon.Put(112,0,5"&amp;M電入力!$AB20&amp;");"</f>
        <v>Beacon.Put(112,0,5004930);</v>
      </c>
      <c r="M15" t="str">
        <f>"Beacon.Put(112,0,6"&amp;M電入力!$AB21&amp;");"</f>
        <v>Beacon.Put(112,0,6005245);</v>
      </c>
    </row>
    <row r="16" spans="1:13">
      <c r="A16" t="str">
        <f>M電入力!C17&amp;"+25;"</f>
        <v>49193+25;</v>
      </c>
      <c r="B16" t="str">
        <f>"Beacon.Put(111,0,1"&amp;M電入力!AA17&amp;");"</f>
        <v>Beacon.Put(111,0,1003760);</v>
      </c>
      <c r="C16" t="str">
        <f>"Beacon.Put(111,0,2"&amp;M電入力!$AA18&amp;");"</f>
        <v>Beacon.Put(111,0,2250000);</v>
      </c>
      <c r="D16" t="str">
        <f>"Beacon.Put(111,0,3"&amp;M電入力!$AA19&amp;");"</f>
        <v>Beacon.Put(111,0,3250000);</v>
      </c>
      <c r="E16" t="str">
        <f>"Beacon.Put(111,0,4"&amp;M電入力!$AA20&amp;");"</f>
        <v>Beacon.Put(111,0,4004960);</v>
      </c>
      <c r="F16" t="str">
        <f>"Beacon.Put(111,0,5"&amp;M電入力!$AA21&amp;");"</f>
        <v>Beacon.Put(111,0,5250000);</v>
      </c>
      <c r="G16" t="str">
        <f>"Beacon.Put(111,0,6"&amp;M電入力!$AA22&amp;");"</f>
        <v>Beacon.Put(111,0,6250000);</v>
      </c>
      <c r="H16" t="str">
        <f>"Beacon.Put(112,0,1"&amp;M電入力!$AB17&amp;");"</f>
        <v>Beacon.Put(112,0,1003730);</v>
      </c>
      <c r="I16" t="str">
        <f>"Beacon.Put(112,0,2"&amp;M電入力!$AB18&amp;");"</f>
        <v>Beacon.Put(112,0,2004060);</v>
      </c>
      <c r="J16" t="str">
        <f>"Beacon.Put(112,0,3"&amp;M電入力!$AB19&amp;");"</f>
        <v>Beacon.Put(112,0,3004460);</v>
      </c>
      <c r="K16" t="str">
        <f>"Beacon.Put(112,0,4"&amp;M電入力!$AB20&amp;");"</f>
        <v>Beacon.Put(112,0,4004930);</v>
      </c>
      <c r="L16" t="str">
        <f>"Beacon.Put(112,0,5"&amp;M電入力!$AB21&amp;");"</f>
        <v>Beacon.Put(112,0,5005245);</v>
      </c>
      <c r="M16" t="str">
        <f>"Beacon.Put(112,0,6"&amp;M電入力!$AB22&amp;");"</f>
        <v>Beacon.Put(112,0,6005560);</v>
      </c>
    </row>
    <row r="17" spans="1:13">
      <c r="A17" t="str">
        <f>M電入力!C18&amp;"+25;"</f>
        <v>51971+25;</v>
      </c>
      <c r="B17" t="str">
        <f>"Beacon.Put(111,0,1"&amp;M電入力!AA18&amp;");"</f>
        <v>Beacon.Put(111,0,1250000);</v>
      </c>
      <c r="C17" t="str">
        <f>"Beacon.Put(111,0,2"&amp;M電入力!$AA19&amp;");"</f>
        <v>Beacon.Put(111,0,2250000);</v>
      </c>
      <c r="D17" t="str">
        <f>"Beacon.Put(111,0,3"&amp;M電入力!$AA20&amp;");"</f>
        <v>Beacon.Put(111,0,3004960);</v>
      </c>
      <c r="E17" t="str">
        <f>"Beacon.Put(111,0,4"&amp;M電入力!$AA21&amp;");"</f>
        <v>Beacon.Put(111,0,4250000);</v>
      </c>
      <c r="F17" t="str">
        <f>"Beacon.Put(111,0,5"&amp;M電入力!$AA22&amp;");"</f>
        <v>Beacon.Put(111,0,5250000);</v>
      </c>
      <c r="G17" t="str">
        <f>"Beacon.Put(111,0,6"&amp;M電入力!$AA23&amp;");"</f>
        <v>Beacon.Put(111,0,6096015);</v>
      </c>
      <c r="H17" t="str">
        <f>"Beacon.Put(112,0,1"&amp;M電入力!$AB18&amp;");"</f>
        <v>Beacon.Put(112,0,1004060);</v>
      </c>
      <c r="I17" t="str">
        <f>"Beacon.Put(112,0,2"&amp;M電入力!$AB19&amp;");"</f>
        <v>Beacon.Put(112,0,2004460);</v>
      </c>
      <c r="J17" t="str">
        <f>"Beacon.Put(112,0,3"&amp;M電入力!$AB20&amp;");"</f>
        <v>Beacon.Put(112,0,3004930);</v>
      </c>
      <c r="K17" t="str">
        <f>"Beacon.Put(112,0,4"&amp;M電入力!$AB21&amp;");"</f>
        <v>Beacon.Put(112,0,4005245);</v>
      </c>
      <c r="L17" t="str">
        <f>"Beacon.Put(112,0,5"&amp;M電入力!$AB22&amp;");"</f>
        <v>Beacon.Put(112,0,5005560);</v>
      </c>
      <c r="M17" t="str">
        <f>"Beacon.Put(112,0,6"&amp;M電入力!$AB23&amp;");"</f>
        <v>Beacon.Put(112,0,6096045);</v>
      </c>
    </row>
    <row r="18" spans="1:13">
      <c r="A18" t="str">
        <f>M電入力!C19&amp;"+25;"</f>
        <v>57590+25;</v>
      </c>
      <c r="B18" t="str">
        <f>"Beacon.Put(111,0,1"&amp;M電入力!AA19&amp;");"</f>
        <v>Beacon.Put(111,0,1250000);</v>
      </c>
      <c r="C18" t="str">
        <f>"Beacon.Put(111,0,2"&amp;M電入力!$AA20&amp;");"</f>
        <v>Beacon.Put(111,0,2004960);</v>
      </c>
      <c r="D18" t="str">
        <f>"Beacon.Put(111,0,3"&amp;M電入力!$AA21&amp;");"</f>
        <v>Beacon.Put(111,0,3250000);</v>
      </c>
      <c r="E18" t="str">
        <f>"Beacon.Put(111,0,4"&amp;M電入力!$AA22&amp;");"</f>
        <v>Beacon.Put(111,0,4250000);</v>
      </c>
      <c r="F18" t="str">
        <f>"Beacon.Put(111,0,5"&amp;M電入力!$AA23&amp;");"</f>
        <v>Beacon.Put(111,0,5096015);</v>
      </c>
      <c r="G18" t="str">
        <f>"Beacon.Put(111,0,6"&amp;M電入力!$AA24&amp;");"</f>
        <v>Beacon.Put(111,0,6000630);</v>
      </c>
      <c r="H18" t="str">
        <f>"Beacon.Put(112,0,1"&amp;M電入力!$AB19&amp;");"</f>
        <v>Beacon.Put(112,0,1004460);</v>
      </c>
      <c r="I18" t="str">
        <f>"Beacon.Put(112,0,2"&amp;M電入力!$AB20&amp;");"</f>
        <v>Beacon.Put(112,0,2004930);</v>
      </c>
      <c r="J18" t="str">
        <f>"Beacon.Put(112,0,3"&amp;M電入力!$AB21&amp;");"</f>
        <v>Beacon.Put(112,0,3005245);</v>
      </c>
      <c r="K18" t="str">
        <f>"Beacon.Put(112,0,4"&amp;M電入力!$AB22&amp;");"</f>
        <v>Beacon.Put(112,0,4005560);</v>
      </c>
      <c r="L18" t="str">
        <f>"Beacon.Put(112,0,5"&amp;M電入力!$AB23&amp;");"</f>
        <v>Beacon.Put(112,0,5096045);</v>
      </c>
      <c r="M18" t="str">
        <f>"Beacon.Put(112,0,6"&amp;M電入力!$AB24&amp;");"</f>
        <v>Beacon.Put(112,0,6000760);</v>
      </c>
    </row>
    <row r="19" spans="1:13">
      <c r="A19" t="str">
        <f>M電入力!C20&amp;"+25;"</f>
        <v>65015+25;</v>
      </c>
      <c r="B19" t="str">
        <f>"Beacon.Put(111,0,1"&amp;M電入力!AA20&amp;");"</f>
        <v>Beacon.Put(111,0,1004960);</v>
      </c>
      <c r="C19" t="str">
        <f>"Beacon.Put(111,0,2"&amp;M電入力!$AA21&amp;");"</f>
        <v>Beacon.Put(111,0,2250000);</v>
      </c>
      <c r="D19" t="str">
        <f>"Beacon.Put(111,0,3"&amp;M電入力!$AA22&amp;");"</f>
        <v>Beacon.Put(111,0,3250000);</v>
      </c>
      <c r="E19" t="str">
        <f>"Beacon.Put(111,0,4"&amp;M電入力!$AA23&amp;");"</f>
        <v>Beacon.Put(111,0,4096015);</v>
      </c>
      <c r="F19" t="str">
        <f>"Beacon.Put(111,0,5"&amp;M電入力!$AA24&amp;");"</f>
        <v>Beacon.Put(111,0,5000630);</v>
      </c>
      <c r="G19" t="str">
        <f>"Beacon.Put(111,0,6"&amp;M電入力!$AA25&amp;");"</f>
        <v>Beacon.Put(111,0,6000915);</v>
      </c>
      <c r="H19" t="str">
        <f>"Beacon.Put(112,0,1"&amp;M電入力!$AB20&amp;");"</f>
        <v>Beacon.Put(112,0,1004930);</v>
      </c>
      <c r="I19" t="str">
        <f>"Beacon.Put(112,0,2"&amp;M電入力!$AB21&amp;");"</f>
        <v>Beacon.Put(112,0,2005245);</v>
      </c>
      <c r="J19" t="str">
        <f>"Beacon.Put(112,0,3"&amp;M電入力!$AB22&amp;");"</f>
        <v>Beacon.Put(112,0,3005560);</v>
      </c>
      <c r="K19" t="str">
        <f>"Beacon.Put(112,0,4"&amp;M電入力!$AB23&amp;");"</f>
        <v>Beacon.Put(112,0,4096045);</v>
      </c>
      <c r="L19" t="str">
        <f>"Beacon.Put(112,0,5"&amp;M電入力!$AB24&amp;");"</f>
        <v>Beacon.Put(112,0,5000760);</v>
      </c>
      <c r="M19" t="str">
        <f>"Beacon.Put(112,0,6"&amp;M電入力!$AB25&amp;");"</f>
        <v>Beacon.Put(112,0,6000945);</v>
      </c>
    </row>
    <row r="20" spans="1:13">
      <c r="A20" t="str">
        <f>M電入力!C21&amp;"+25;"</f>
        <v>69762+25;</v>
      </c>
      <c r="B20" t="str">
        <f>"Beacon.Put(111,0,1"&amp;M電入力!AA21&amp;");"</f>
        <v>Beacon.Put(111,0,1250000);</v>
      </c>
      <c r="C20" t="str">
        <f>"Beacon.Put(111,0,2"&amp;M電入力!$AA22&amp;");"</f>
        <v>Beacon.Put(111,0,2250000);</v>
      </c>
      <c r="D20" t="str">
        <f>"Beacon.Put(111,0,3"&amp;M電入力!$AA23&amp;");"</f>
        <v>Beacon.Put(111,0,3096015);</v>
      </c>
      <c r="E20" t="str">
        <f>"Beacon.Put(111,0,4"&amp;M電入力!$AA24&amp;");"</f>
        <v>Beacon.Put(111,0,4000630);</v>
      </c>
      <c r="F20" t="str">
        <f>"Beacon.Put(111,0,5"&amp;M電入力!$AA25&amp;");"</f>
        <v>Beacon.Put(111,0,5000915);</v>
      </c>
      <c r="G20" t="str">
        <f>"Beacon.Put(111,0,6"&amp;M電入力!$AA26&amp;");"</f>
        <v>Beacon.Put(111,0,6001430);</v>
      </c>
      <c r="H20" t="str">
        <f>"Beacon.Put(112,0,1"&amp;M電入力!$AB21&amp;");"</f>
        <v>Beacon.Put(112,0,1005245);</v>
      </c>
      <c r="I20" t="str">
        <f>"Beacon.Put(112,0,2"&amp;M電入力!$AB22&amp;");"</f>
        <v>Beacon.Put(112,0,2005560);</v>
      </c>
      <c r="J20" t="str">
        <f>"Beacon.Put(112,0,3"&amp;M電入力!$AB23&amp;");"</f>
        <v>Beacon.Put(112,0,3096045);</v>
      </c>
      <c r="K20" t="str">
        <f>"Beacon.Put(112,0,4"&amp;M電入力!$AB24&amp;");"</f>
        <v>Beacon.Put(112,0,4000760);</v>
      </c>
      <c r="L20" t="str">
        <f>"Beacon.Put(112,0,5"&amp;M電入力!$AB25&amp;");"</f>
        <v>Beacon.Put(112,0,5000945);</v>
      </c>
      <c r="M20" t="str">
        <f>"Beacon.Put(112,0,6"&amp;M電入力!$AB26&amp;");"</f>
        <v>Beacon.Put(112,0,6001560);</v>
      </c>
    </row>
    <row r="21" spans="1:13">
      <c r="A21" t="str">
        <f>M電入力!C22&amp;"+25;"</f>
        <v>73595+25;</v>
      </c>
      <c r="B21" t="str">
        <f>"Beacon.Put(111,0,1"&amp;M電入力!AA22&amp;");"</f>
        <v>Beacon.Put(111,0,1250000);</v>
      </c>
      <c r="C21" t="str">
        <f>"Beacon.Put(111,0,2"&amp;M電入力!$AA23&amp;");"</f>
        <v>Beacon.Put(111,0,2096015);</v>
      </c>
      <c r="D21" t="str">
        <f>"Beacon.Put(111,0,3"&amp;M電入力!$AA24&amp;");"</f>
        <v>Beacon.Put(111,0,3000630);</v>
      </c>
      <c r="E21" t="str">
        <f>"Beacon.Put(111,0,4"&amp;M電入力!$AA25&amp;");"</f>
        <v>Beacon.Put(111,0,4000915);</v>
      </c>
      <c r="F21" t="str">
        <f>"Beacon.Put(111,0,5"&amp;M電入力!$AA26&amp;");"</f>
        <v>Beacon.Put(111,0,5001430);</v>
      </c>
      <c r="G21" t="str">
        <f>"Beacon.Put(111,0,6"&amp;M電入力!$AA27&amp;");"</f>
        <v>Beacon.Put(111,0,6250000);</v>
      </c>
      <c r="H21" t="str">
        <f>"Beacon.Put(112,0,1"&amp;M電入力!$AB22&amp;");"</f>
        <v>Beacon.Put(112,0,1005560);</v>
      </c>
      <c r="I21" t="str">
        <f>"Beacon.Put(112,0,2"&amp;M電入力!$AB23&amp;");"</f>
        <v>Beacon.Put(112,0,2096045);</v>
      </c>
      <c r="J21" t="str">
        <f>"Beacon.Put(112,0,3"&amp;M電入力!$AB24&amp;");"</f>
        <v>Beacon.Put(112,0,3000760);</v>
      </c>
      <c r="K21" t="str">
        <f>"Beacon.Put(112,0,4"&amp;M電入力!$AB25&amp;");"</f>
        <v>Beacon.Put(112,0,4000945);</v>
      </c>
      <c r="L21" t="str">
        <f>"Beacon.Put(112,0,5"&amp;M電入力!$AB26&amp;");"</f>
        <v>Beacon.Put(112,0,5001560);</v>
      </c>
      <c r="M21" t="str">
        <f>"Beacon.Put(112,0,6"&amp;M電入力!$AB27&amp;");"</f>
        <v>Beacon.Put(112,0,6001745);</v>
      </c>
    </row>
    <row r="22" spans="1:13">
      <c r="A22" t="str">
        <f>M電入力!C23&amp;"+25;"</f>
        <v>80960+25;</v>
      </c>
      <c r="B22" t="str">
        <f>"Beacon.Put(111,0,1"&amp;M電入力!AA23&amp;");"</f>
        <v>Beacon.Put(111,0,1096015);</v>
      </c>
      <c r="C22" t="str">
        <f>"Beacon.Put(111,0,2"&amp;M電入力!$AA24&amp;");"</f>
        <v>Beacon.Put(111,0,2000630);</v>
      </c>
      <c r="D22" t="str">
        <f>"Beacon.Put(111,0,3"&amp;M電入力!$AA25&amp;");"</f>
        <v>Beacon.Put(111,0,3000915);</v>
      </c>
      <c r="E22" t="str">
        <f>"Beacon.Put(111,0,4"&amp;M電入力!$AA26&amp;");"</f>
        <v>Beacon.Put(111,0,4001430);</v>
      </c>
      <c r="F22" t="str">
        <f>"Beacon.Put(111,0,5"&amp;M電入力!$AA27&amp;");"</f>
        <v>Beacon.Put(111,0,5250000);</v>
      </c>
      <c r="G22" t="str">
        <f>"Beacon.Put(111,0,6"&amp;M電入力!$AA28&amp;");"</f>
        <v>Beacon.Put(111,0,6002060);</v>
      </c>
      <c r="H22" t="str">
        <f>"Beacon.Put(112,0,1"&amp;M電入力!$AB23&amp;");"</f>
        <v>Beacon.Put(112,0,1096045);</v>
      </c>
      <c r="I22" t="str">
        <f>"Beacon.Put(112,0,2"&amp;M電入力!$AB24&amp;");"</f>
        <v>Beacon.Put(112,0,2000760);</v>
      </c>
      <c r="J22" t="str">
        <f>"Beacon.Put(112,0,3"&amp;M電入力!$AB25&amp;");"</f>
        <v>Beacon.Put(112,0,3000945);</v>
      </c>
      <c r="K22" t="str">
        <f>"Beacon.Put(112,0,4"&amp;M電入力!$AB26&amp;");"</f>
        <v>Beacon.Put(112,0,4001560);</v>
      </c>
      <c r="L22" t="str">
        <f>"Beacon.Put(112,0,5"&amp;M電入力!$AB27&amp;");"</f>
        <v>Beacon.Put(112,0,5001745);</v>
      </c>
      <c r="M22" t="str">
        <f>"Beacon.Put(112,0,6"&amp;M電入力!$AB28&amp;");"</f>
        <v>Beacon.Put(112,0,6002030);</v>
      </c>
    </row>
    <row r="23" spans="1:13">
      <c r="A23" t="str">
        <f>M電入力!C24&amp;"+25;"</f>
        <v>88412+25;</v>
      </c>
      <c r="B23" t="str">
        <f>"Beacon.Put(111,0,1"&amp;M電入力!AA24&amp;");"</f>
        <v>Beacon.Put(111,0,1000630);</v>
      </c>
      <c r="C23" t="str">
        <f>"Beacon.Put(111,0,2"&amp;M電入力!$AA25&amp;");"</f>
        <v>Beacon.Put(111,0,2000915);</v>
      </c>
      <c r="D23" t="str">
        <f>"Beacon.Put(111,0,3"&amp;M電入力!$AA26&amp;");"</f>
        <v>Beacon.Put(111,0,3001430);</v>
      </c>
      <c r="E23" t="str">
        <f>"Beacon.Put(111,0,4"&amp;M電入力!$AA27&amp;");"</f>
        <v>Beacon.Put(111,0,4250000);</v>
      </c>
      <c r="F23" t="str">
        <f>"Beacon.Put(111,0,5"&amp;M電入力!$AA28&amp;");"</f>
        <v>Beacon.Put(111,0,5002060);</v>
      </c>
      <c r="G23" t="str">
        <f>"Beacon.Put(111,0,6"&amp;M電入力!$AA29&amp;");"</f>
        <v>Beacon.Put(111,0,6002700);</v>
      </c>
      <c r="H23" t="str">
        <f>"Beacon.Put(112,0,1"&amp;M電入力!$AB24&amp;");"</f>
        <v>Beacon.Put(112,0,1000760);</v>
      </c>
      <c r="I23" t="str">
        <f>"Beacon.Put(112,0,2"&amp;M電入力!$AB25&amp;");"</f>
        <v>Beacon.Put(112,0,2000945);</v>
      </c>
      <c r="J23" t="str">
        <f>"Beacon.Put(112,0,3"&amp;M電入力!$AB26&amp;");"</f>
        <v>Beacon.Put(112,0,3001560);</v>
      </c>
      <c r="K23" t="str">
        <f>"Beacon.Put(112,0,4"&amp;M電入力!$AB27&amp;");"</f>
        <v>Beacon.Put(112,0,4001745);</v>
      </c>
      <c r="L23" t="str">
        <f>"Beacon.Put(112,0,5"&amp;M電入力!$AB28&amp;");"</f>
        <v>Beacon.Put(112,0,5002030);</v>
      </c>
      <c r="M23" t="str">
        <f>"Beacon.Put(112,0,6"&amp;M電入力!$AB29&amp;");"</f>
        <v>Beacon.Put(112,0,6270000);</v>
      </c>
    </row>
    <row r="24" spans="1:13">
      <c r="A24" t="str">
        <f>M電入力!C25&amp;"+25;"</f>
        <v>91012+25;</v>
      </c>
      <c r="B24" t="str">
        <f>"Beacon.Put(111,0,1"&amp;M電入力!AA25&amp;");"</f>
        <v>Beacon.Put(111,0,1000915);</v>
      </c>
      <c r="C24" t="str">
        <f>"Beacon.Put(111,0,2"&amp;M電入力!$AA26&amp;");"</f>
        <v>Beacon.Put(111,0,2001430);</v>
      </c>
      <c r="D24" t="str">
        <f>"Beacon.Put(111,0,3"&amp;M電入力!$AA27&amp;");"</f>
        <v>Beacon.Put(111,0,3250000);</v>
      </c>
      <c r="E24" t="str">
        <f>"Beacon.Put(111,0,4"&amp;M電入力!$AA28&amp;");"</f>
        <v>Beacon.Put(111,0,4002060);</v>
      </c>
      <c r="F24" t="str">
        <f>"Beacon.Put(111,0,5"&amp;M電入力!$AA29&amp;");"</f>
        <v>Beacon.Put(111,0,5002700);</v>
      </c>
      <c r="G24" t="str">
        <f>"Beacon.Put(111,0,6"&amp;M電入力!$AA30&amp;");"</f>
        <v>Beacon.Put(111,0,6000000);</v>
      </c>
      <c r="H24" t="str">
        <f>"Beacon.Put(112,0,1"&amp;M電入力!$AB25&amp;");"</f>
        <v>Beacon.Put(112,0,1000945);</v>
      </c>
      <c r="I24" t="str">
        <f>"Beacon.Put(112,0,2"&amp;M電入力!$AB26&amp;");"</f>
        <v>Beacon.Put(112,0,2001560);</v>
      </c>
      <c r="J24" t="str">
        <f>"Beacon.Put(112,0,3"&amp;M電入力!$AB27&amp;");"</f>
        <v>Beacon.Put(112,0,3001745);</v>
      </c>
      <c r="K24" t="str">
        <f>"Beacon.Put(112,0,4"&amp;M電入力!$AB28&amp;");"</f>
        <v>Beacon.Put(112,0,4002030);</v>
      </c>
      <c r="L24" t="str">
        <f>"Beacon.Put(112,0,5"&amp;M電入力!$AB29&amp;");"</f>
        <v>Beacon.Put(112,0,5270000);</v>
      </c>
      <c r="M24" t="str">
        <f>"Beacon.Put(112,0,6"&amp;M電入力!$AB30&amp;");"</f>
        <v>Beacon.Put(112,0,6000000);</v>
      </c>
    </row>
    <row r="25" spans="1:13">
      <c r="A25" t="str">
        <f>M電入力!C26&amp;"+25;"</f>
        <v>95735+25;</v>
      </c>
      <c r="B25" t="str">
        <f>"Beacon.Put(111,0,1"&amp;M電入力!AA26&amp;");"</f>
        <v>Beacon.Put(111,0,1001430);</v>
      </c>
      <c r="C25" t="str">
        <f>"Beacon.Put(111,0,2"&amp;M電入力!$AA27&amp;");"</f>
        <v>Beacon.Put(111,0,2250000);</v>
      </c>
      <c r="D25" t="str">
        <f>"Beacon.Put(111,0,3"&amp;M電入力!$AA28&amp;");"</f>
        <v>Beacon.Put(111,0,3002060);</v>
      </c>
      <c r="E25" t="str">
        <f>"Beacon.Put(111,0,4"&amp;M電入力!$AA29&amp;");"</f>
        <v>Beacon.Put(111,0,4002700);</v>
      </c>
      <c r="F25" t="str">
        <f>"Beacon.Put(111,0,5"&amp;M電入力!$AA30&amp;");"</f>
        <v>Beacon.Put(111,0,5000000);</v>
      </c>
      <c r="G25" t="str">
        <f>"Beacon.Put(111,0,6"&amp;M電入力!$AA31&amp;");"</f>
        <v>Beacon.Put(111,0,6000000);</v>
      </c>
      <c r="H25" t="str">
        <f>"Beacon.Put(112,0,1"&amp;M電入力!$AB26&amp;");"</f>
        <v>Beacon.Put(112,0,1001560);</v>
      </c>
      <c r="I25" t="str">
        <f>"Beacon.Put(112,0,2"&amp;M電入力!$AB27&amp;");"</f>
        <v>Beacon.Put(112,0,2001745);</v>
      </c>
      <c r="J25" t="str">
        <f>"Beacon.Put(112,0,3"&amp;M電入力!$AB28&amp;");"</f>
        <v>Beacon.Put(112,0,3002030);</v>
      </c>
      <c r="K25" t="str">
        <f>"Beacon.Put(112,0,4"&amp;M電入力!$AB29&amp;");"</f>
        <v>Beacon.Put(112,0,4270000);</v>
      </c>
      <c r="L25" t="str">
        <f>"Beacon.Put(112,0,5"&amp;M電入力!$AB30&amp;");"</f>
        <v>Beacon.Put(112,0,5000000);</v>
      </c>
      <c r="M25" t="str">
        <f>"Beacon.Put(112,0,6"&amp;M電入力!$AB31&amp;");"</f>
        <v>Beacon.Put(112,0,6000000);</v>
      </c>
    </row>
    <row r="26" spans="1:13">
      <c r="A26" t="str">
        <f>M電入力!C27&amp;"+25;"</f>
        <v>98975+25;</v>
      </c>
      <c r="B26" t="str">
        <f>"Beacon.Put(111,0,1"&amp;M電入力!AA27&amp;");"</f>
        <v>Beacon.Put(111,0,1250000);</v>
      </c>
      <c r="C26" t="str">
        <f>"Beacon.Put(111,0,2"&amp;M電入力!$AA28&amp;");"</f>
        <v>Beacon.Put(111,0,2002060);</v>
      </c>
      <c r="D26" t="str">
        <f>"Beacon.Put(111,0,3"&amp;M電入力!$AA29&amp;");"</f>
        <v>Beacon.Put(111,0,3002700);</v>
      </c>
      <c r="E26" t="str">
        <f>"Beacon.Put(111,0,4"&amp;M電入力!$AA30&amp;");"</f>
        <v>Beacon.Put(111,0,4000000);</v>
      </c>
      <c r="F26" t="str">
        <f>"Beacon.Put(111,0,5"&amp;M電入力!$AA31&amp;");"</f>
        <v>Beacon.Put(111,0,5000000);</v>
      </c>
      <c r="G26" t="str">
        <f>"Beacon.Put(111,0,6"&amp;M電入力!$AA32&amp;");"</f>
        <v>Beacon.Put(111,0,6000000);</v>
      </c>
      <c r="H26" t="str">
        <f>"Beacon.Put(112,0,1"&amp;M電入力!$AB27&amp;");"</f>
        <v>Beacon.Put(112,0,1001745);</v>
      </c>
      <c r="I26" t="str">
        <f>"Beacon.Put(112,0,2"&amp;M電入力!$AB28&amp;");"</f>
        <v>Beacon.Put(112,0,2002030);</v>
      </c>
      <c r="J26" t="str">
        <f>"Beacon.Put(112,0,3"&amp;M電入力!$AB29&amp;");"</f>
        <v>Beacon.Put(112,0,3270000);</v>
      </c>
      <c r="K26" t="str">
        <f>"Beacon.Put(112,0,4"&amp;M電入力!$AB30&amp;");"</f>
        <v>Beacon.Put(112,0,4000000);</v>
      </c>
      <c r="L26" t="str">
        <f>"Beacon.Put(112,0,5"&amp;M電入力!$AB31&amp;");"</f>
        <v>Beacon.Put(112,0,5000000);</v>
      </c>
      <c r="M26" t="str">
        <f>"Beacon.Put(112,0,6"&amp;M電入力!$AB32&amp;");"</f>
        <v>Beacon.Put(112,0,6000000);</v>
      </c>
    </row>
    <row r="27" spans="1:13">
      <c r="A27" t="str">
        <f>M電入力!C28&amp;"+25;"</f>
        <v>102162+25;</v>
      </c>
      <c r="B27" t="str">
        <f>"Beacon.Put(111,0,1"&amp;M電入力!AA28&amp;");"</f>
        <v>Beacon.Put(111,0,1002060);</v>
      </c>
      <c r="C27" t="str">
        <f>"Beacon.Put(111,0,2"&amp;M電入力!$AA29&amp;");"</f>
        <v>Beacon.Put(111,0,2002700);</v>
      </c>
      <c r="D27" t="str">
        <f>"Beacon.Put(111,0,3"&amp;M電入力!$AA30&amp;");"</f>
        <v>Beacon.Put(111,0,3000000);</v>
      </c>
      <c r="E27" t="str">
        <f>"Beacon.Put(111,0,4"&amp;M電入力!$AA31&amp;");"</f>
        <v>Beacon.Put(111,0,4000000);</v>
      </c>
      <c r="F27" t="str">
        <f>"Beacon.Put(111,0,5"&amp;M電入力!$AA32&amp;");"</f>
        <v>Beacon.Put(111,0,5000000);</v>
      </c>
      <c r="G27" t="str">
        <f>"Beacon.Put(111,0,6"&amp;M電入力!$AA33&amp;");"</f>
        <v>Beacon.Put(111,0,6000000);</v>
      </c>
      <c r="H27" t="str">
        <f>"Beacon.Put(112,0,1"&amp;M電入力!$AB28&amp;");"</f>
        <v>Beacon.Put(112,0,1002030);</v>
      </c>
      <c r="I27" t="str">
        <f>"Beacon.Put(112,0,2"&amp;M電入力!$AB29&amp;");"</f>
        <v>Beacon.Put(112,0,2270000);</v>
      </c>
      <c r="J27" t="str">
        <f>"Beacon.Put(112,0,3"&amp;M電入力!$AB30&amp;");"</f>
        <v>Beacon.Put(112,0,3000000);</v>
      </c>
      <c r="K27" t="str">
        <f>"Beacon.Put(112,0,4"&amp;M電入力!$AB31&amp;");"</f>
        <v>Beacon.Put(112,0,4000000);</v>
      </c>
      <c r="L27" t="str">
        <f>"Beacon.Put(112,0,5"&amp;M電入力!$AB32&amp;");"</f>
        <v>Beacon.Put(112,0,5000000);</v>
      </c>
      <c r="M27" t="str">
        <f>"Beacon.Put(112,0,6"&amp;M電入力!$AB33&amp;");"</f>
        <v>Beacon.Put(112,0,6000000);</v>
      </c>
    </row>
    <row r="28" spans="1:13">
      <c r="A28" t="str">
        <f>M電入力!C29&amp;"+25;"</f>
        <v>109904+25;</v>
      </c>
      <c r="B28" t="str">
        <f>"Beacon.Put(111,0,1"&amp;M電入力!AA29&amp;");"</f>
        <v>Beacon.Put(111,0,1002700);</v>
      </c>
      <c r="C28" t="str">
        <f>"Beacon.Put(111,0,2"&amp;M電入力!$AA30&amp;");"</f>
        <v>Beacon.Put(111,0,2000000);</v>
      </c>
      <c r="D28" t="str">
        <f>"Beacon.Put(111,0,3"&amp;M電入力!$AA31&amp;");"</f>
        <v>Beacon.Put(111,0,3000000);</v>
      </c>
      <c r="E28" t="str">
        <f>"Beacon.Put(111,0,4"&amp;M電入力!$AA32&amp;");"</f>
        <v>Beacon.Put(111,0,4000000);</v>
      </c>
      <c r="F28" t="str">
        <f>"Beacon.Put(111,0,5"&amp;M電入力!$AA33&amp;");"</f>
        <v>Beacon.Put(111,0,5000000);</v>
      </c>
      <c r="G28" t="str">
        <f>"Beacon.Put(111,0,6"&amp;M電入力!$AA34&amp;");"</f>
        <v>Beacon.Put(111,0,6000000);</v>
      </c>
      <c r="H28" t="str">
        <f>"Beacon.Put(112,0,1"&amp;M電入力!$AB29&amp;");"</f>
        <v>Beacon.Put(112,0,1270000);</v>
      </c>
      <c r="I28" t="str">
        <f>"Beacon.Put(112,0,2"&amp;M電入力!$AB30&amp;");"</f>
        <v>Beacon.Put(112,0,2000000);</v>
      </c>
      <c r="J28" t="str">
        <f>"Beacon.Put(112,0,3"&amp;M電入力!$AB31&amp;");"</f>
        <v>Beacon.Put(112,0,3000000);</v>
      </c>
      <c r="K28" t="str">
        <f>"Beacon.Put(112,0,4"&amp;M電入力!$AB32&amp;");"</f>
        <v>Beacon.Put(112,0,4000000);</v>
      </c>
      <c r="L28" t="str">
        <f>"Beacon.Put(112,0,5"&amp;M電入力!$AB33&amp;");"</f>
        <v>Beacon.Put(112,0,5000000);</v>
      </c>
      <c r="M28" t="str">
        <f>"Beacon.Put(112,0,6"&amp;M電入力!$AB34&amp;");"</f>
        <v>Beacon.Put(112,0,6000000);</v>
      </c>
    </row>
    <row r="29" spans="1:13">
      <c r="A29" t="str">
        <f>M電入力!C30&amp;"+25;"</f>
        <v>+25;</v>
      </c>
      <c r="B29" t="str">
        <f>"Beacon.Put(111,0,1"&amp;M電入力!AA30&amp;");"</f>
        <v>Beacon.Put(111,0,1000000);</v>
      </c>
      <c r="C29" t="str">
        <f>"Beacon.Put(111,0,2"&amp;M電入力!$AA31&amp;");"</f>
        <v>Beacon.Put(111,0,2000000);</v>
      </c>
      <c r="D29" t="str">
        <f>"Beacon.Put(111,0,3"&amp;M電入力!$AA32&amp;");"</f>
        <v>Beacon.Put(111,0,3000000);</v>
      </c>
      <c r="E29" t="str">
        <f>"Beacon.Put(111,0,4"&amp;M電入力!$AA33&amp;");"</f>
        <v>Beacon.Put(111,0,4000000);</v>
      </c>
      <c r="F29" t="str">
        <f>"Beacon.Put(111,0,5"&amp;M電入力!$AA34&amp;");"</f>
        <v>Beacon.Put(111,0,5000000);</v>
      </c>
      <c r="G29" t="str">
        <f>"Beacon.Put(111,0,6"&amp;M電入力!$AA35&amp;");"</f>
        <v>Beacon.Put(111,0,6000000);</v>
      </c>
      <c r="H29" t="str">
        <f>"Beacon.Put(112,0,1"&amp;M電入力!$AB30&amp;");"</f>
        <v>Beacon.Put(112,0,1000000);</v>
      </c>
      <c r="I29" t="str">
        <f>"Beacon.Put(112,0,2"&amp;M電入力!$AB31&amp;");"</f>
        <v>Beacon.Put(112,0,2000000);</v>
      </c>
      <c r="J29" t="str">
        <f>"Beacon.Put(112,0,3"&amp;M電入力!$AB32&amp;");"</f>
        <v>Beacon.Put(112,0,3000000);</v>
      </c>
      <c r="K29" t="str">
        <f>"Beacon.Put(112,0,4"&amp;M電入力!$AB33&amp;");"</f>
        <v>Beacon.Put(112,0,4000000);</v>
      </c>
      <c r="L29" t="str">
        <f>"Beacon.Put(112,0,5"&amp;M電入力!$AB34&amp;");"</f>
        <v>Beacon.Put(112,0,5000000);</v>
      </c>
      <c r="M29" t="str">
        <f>"Beacon.Put(112,0,6"&amp;M電入力!$AB35&amp;");"</f>
        <v>Beacon.Put(112,0,6000000);</v>
      </c>
    </row>
    <row r="30" spans="1:13">
      <c r="A30" t="str">
        <f>M電入力!C31&amp;"+25;"</f>
        <v>+25;</v>
      </c>
      <c r="B30" t="str">
        <f>"Beacon.Put(111,0,1"&amp;M電入力!AA31&amp;");"</f>
        <v>Beacon.Put(111,0,1000000);</v>
      </c>
      <c r="C30" t="str">
        <f>"Beacon.Put(111,0,2"&amp;M電入力!$AA32&amp;");"</f>
        <v>Beacon.Put(111,0,2000000);</v>
      </c>
      <c r="D30" t="str">
        <f>"Beacon.Put(111,0,3"&amp;M電入力!$AA33&amp;");"</f>
        <v>Beacon.Put(111,0,3000000);</v>
      </c>
      <c r="E30" t="str">
        <f>"Beacon.Put(111,0,4"&amp;M電入力!$AA34&amp;");"</f>
        <v>Beacon.Put(111,0,4000000);</v>
      </c>
      <c r="F30" t="str">
        <f>"Beacon.Put(111,0,5"&amp;M電入力!$AA35&amp;");"</f>
        <v>Beacon.Put(111,0,5000000);</v>
      </c>
      <c r="G30" t="str">
        <f>"Beacon.Put(111,0,6"&amp;M電入力!$AA36&amp;");"</f>
        <v>Beacon.Put(111,0,6000000);</v>
      </c>
      <c r="H30" t="str">
        <f>"Beacon.Put(112,0,1"&amp;M電入力!$AB31&amp;");"</f>
        <v>Beacon.Put(112,0,1000000);</v>
      </c>
      <c r="I30" t="str">
        <f>"Beacon.Put(112,0,2"&amp;M電入力!$AB32&amp;");"</f>
        <v>Beacon.Put(112,0,2000000);</v>
      </c>
      <c r="J30" t="str">
        <f>"Beacon.Put(112,0,3"&amp;M電入力!$AB33&amp;");"</f>
        <v>Beacon.Put(112,0,3000000);</v>
      </c>
      <c r="K30" t="str">
        <f>"Beacon.Put(112,0,4"&amp;M電入力!$AB34&amp;");"</f>
        <v>Beacon.Put(112,0,4000000);</v>
      </c>
      <c r="L30" t="str">
        <f>"Beacon.Put(112,0,5"&amp;M電入力!$AB35&amp;");"</f>
        <v>Beacon.Put(112,0,5000000);</v>
      </c>
      <c r="M30" t="str">
        <f>"Beacon.Put(112,0,6"&amp;M電入力!$AB36&amp;");"</f>
        <v>Beacon.Put(112,0,6000000);</v>
      </c>
    </row>
    <row r="31" spans="1:13">
      <c r="A31" t="str">
        <f>M電入力!C32&amp;"+25;"</f>
        <v>+25;</v>
      </c>
      <c r="B31" t="str">
        <f>"Beacon.Put(111,0,1"&amp;M電入力!AA32&amp;");"</f>
        <v>Beacon.Put(111,0,1000000);</v>
      </c>
      <c r="C31" t="str">
        <f>"Beacon.Put(111,0,2"&amp;M電入力!$AA33&amp;");"</f>
        <v>Beacon.Put(111,0,2000000);</v>
      </c>
      <c r="D31" t="str">
        <f>"Beacon.Put(111,0,3"&amp;M電入力!$AA34&amp;");"</f>
        <v>Beacon.Put(111,0,3000000);</v>
      </c>
      <c r="E31" t="str">
        <f>"Beacon.Put(111,0,4"&amp;M電入力!$AA35&amp;");"</f>
        <v>Beacon.Put(111,0,4000000);</v>
      </c>
      <c r="F31" t="str">
        <f>"Beacon.Put(111,0,5"&amp;M電入力!$AA36&amp;");"</f>
        <v>Beacon.Put(111,0,5000000);</v>
      </c>
      <c r="G31" t="str">
        <f>"Beacon.Put(111,0,6"&amp;M電入力!$AA37&amp;");"</f>
        <v>Beacon.Put(111,0,6000000);</v>
      </c>
      <c r="H31" t="str">
        <f>"Beacon.Put(112,0,1"&amp;M電入力!$AB32&amp;");"</f>
        <v>Beacon.Put(112,0,1000000);</v>
      </c>
      <c r="I31" t="str">
        <f>"Beacon.Put(112,0,2"&amp;M電入力!$AB33&amp;");"</f>
        <v>Beacon.Put(112,0,2000000);</v>
      </c>
      <c r="J31" t="str">
        <f>"Beacon.Put(112,0,3"&amp;M電入力!$AB34&amp;");"</f>
        <v>Beacon.Put(112,0,3000000);</v>
      </c>
      <c r="K31" t="str">
        <f>"Beacon.Put(112,0,4"&amp;M電入力!$AB35&amp;");"</f>
        <v>Beacon.Put(112,0,4000000);</v>
      </c>
      <c r="L31" t="str">
        <f>"Beacon.Put(112,0,5"&amp;M電入力!$AB36&amp;");"</f>
        <v>Beacon.Put(112,0,5000000);</v>
      </c>
      <c r="M31" t="str">
        <f>"Beacon.Put(112,0,6"&amp;M電入力!$AB37&amp;");"</f>
        <v>Beacon.Put(112,0,6000000);</v>
      </c>
    </row>
    <row r="32" spans="1:13">
      <c r="A32" t="str">
        <f>M電入力!C33&amp;"+25;"</f>
        <v>+25;</v>
      </c>
      <c r="B32" t="str">
        <f>"Beacon.Put(111,0,1"&amp;M電入力!AA33&amp;");"</f>
        <v>Beacon.Put(111,0,1000000);</v>
      </c>
      <c r="C32" t="str">
        <f>"Beacon.Put(111,0,2"&amp;M電入力!$AA34&amp;");"</f>
        <v>Beacon.Put(111,0,2000000);</v>
      </c>
      <c r="D32" t="str">
        <f>"Beacon.Put(111,0,3"&amp;M電入力!$AA35&amp;");"</f>
        <v>Beacon.Put(111,0,3000000);</v>
      </c>
      <c r="E32" t="str">
        <f>"Beacon.Put(111,0,4"&amp;M電入力!$AA36&amp;");"</f>
        <v>Beacon.Put(111,0,4000000);</v>
      </c>
      <c r="F32" t="str">
        <f>"Beacon.Put(111,0,5"&amp;M電入力!$AA37&amp;");"</f>
        <v>Beacon.Put(111,0,5000000);</v>
      </c>
      <c r="G32" t="str">
        <f>"Beacon.Put(111,0,6"&amp;M電入力!$AA38&amp;");"</f>
        <v>Beacon.Put(111,0,6000000);</v>
      </c>
      <c r="H32" t="str">
        <f>"Beacon.Put(112,0,1"&amp;M電入力!$AB33&amp;");"</f>
        <v>Beacon.Put(112,0,1000000);</v>
      </c>
      <c r="I32" t="str">
        <f>"Beacon.Put(112,0,2"&amp;M電入力!$AB34&amp;");"</f>
        <v>Beacon.Put(112,0,2000000);</v>
      </c>
      <c r="J32" t="str">
        <f>"Beacon.Put(112,0,3"&amp;M電入力!$AB35&amp;");"</f>
        <v>Beacon.Put(112,0,3000000);</v>
      </c>
      <c r="K32" t="str">
        <f>"Beacon.Put(112,0,4"&amp;M電入力!$AB36&amp;");"</f>
        <v>Beacon.Put(112,0,4000000);</v>
      </c>
      <c r="L32" t="str">
        <f>"Beacon.Put(112,0,5"&amp;M電入力!$AB37&amp;");"</f>
        <v>Beacon.Put(112,0,5000000);</v>
      </c>
      <c r="M32" t="str">
        <f>"Beacon.Put(112,0,6"&amp;M電入力!$AB38&amp;");"</f>
        <v>Beacon.Put(112,0,6000000);</v>
      </c>
    </row>
    <row r="33" spans="1:13">
      <c r="A33" t="str">
        <f>M電入力!C34&amp;"+25;"</f>
        <v>+25;</v>
      </c>
      <c r="B33" t="str">
        <f>"Beacon.Put(111,0,1"&amp;M電入力!AA34&amp;");"</f>
        <v>Beacon.Put(111,0,1000000);</v>
      </c>
      <c r="C33" t="str">
        <f>"Beacon.Put(111,0,2"&amp;M電入力!$AA35&amp;");"</f>
        <v>Beacon.Put(111,0,2000000);</v>
      </c>
      <c r="D33" t="str">
        <f>"Beacon.Put(111,0,3"&amp;M電入力!$AA36&amp;");"</f>
        <v>Beacon.Put(111,0,3000000);</v>
      </c>
      <c r="E33" t="str">
        <f>"Beacon.Put(111,0,4"&amp;M電入力!$AA37&amp;");"</f>
        <v>Beacon.Put(111,0,4000000);</v>
      </c>
      <c r="F33" t="str">
        <f>"Beacon.Put(111,0,5"&amp;M電入力!$AA38&amp;");"</f>
        <v>Beacon.Put(111,0,5000000);</v>
      </c>
      <c r="G33" t="str">
        <f>"Beacon.Put(111,0,6"&amp;M電入力!$AA39&amp;");"</f>
        <v>Beacon.Put(111,0,6000000);</v>
      </c>
      <c r="H33" t="str">
        <f>"Beacon.Put(112,0,1"&amp;M電入力!$AB34&amp;");"</f>
        <v>Beacon.Put(112,0,1000000);</v>
      </c>
      <c r="I33" t="str">
        <f>"Beacon.Put(112,0,2"&amp;M電入力!$AB35&amp;");"</f>
        <v>Beacon.Put(112,0,2000000);</v>
      </c>
      <c r="J33" t="str">
        <f>"Beacon.Put(112,0,3"&amp;M電入力!$AB36&amp;");"</f>
        <v>Beacon.Put(112,0,3000000);</v>
      </c>
      <c r="K33" t="str">
        <f>"Beacon.Put(112,0,4"&amp;M電入力!$AB37&amp;");"</f>
        <v>Beacon.Put(112,0,4000000);</v>
      </c>
      <c r="L33" t="str">
        <f>"Beacon.Put(112,0,5"&amp;M電入力!$AB38&amp;");"</f>
        <v>Beacon.Put(112,0,5000000);</v>
      </c>
      <c r="M33" t="str">
        <f>"Beacon.Put(112,0,6"&amp;M電入力!$AB39&amp;");"</f>
        <v>Beacon.Put(112,0,6000000);</v>
      </c>
    </row>
    <row r="34" spans="1:13">
      <c r="A34" t="str">
        <f>M電入力!C35&amp;"+25;"</f>
        <v>+25;</v>
      </c>
      <c r="B34" t="str">
        <f>"Beacon.Put(111,0,1"&amp;M電入力!AA35&amp;");"</f>
        <v>Beacon.Put(111,0,1000000);</v>
      </c>
      <c r="C34" t="str">
        <f>"Beacon.Put(111,0,2"&amp;M電入力!$AA36&amp;");"</f>
        <v>Beacon.Put(111,0,2000000);</v>
      </c>
      <c r="D34" t="str">
        <f>"Beacon.Put(111,0,3"&amp;M電入力!$AA37&amp;");"</f>
        <v>Beacon.Put(111,0,3000000);</v>
      </c>
      <c r="E34" t="str">
        <f>"Beacon.Put(111,0,4"&amp;M電入力!$AA38&amp;");"</f>
        <v>Beacon.Put(111,0,4000000);</v>
      </c>
      <c r="F34" t="str">
        <f>"Beacon.Put(111,0,5"&amp;M電入力!$AA39&amp;");"</f>
        <v>Beacon.Put(111,0,5000000);</v>
      </c>
      <c r="G34" t="str">
        <f>"Beacon.Put(111,0,6"&amp;M電入力!$AA40&amp;");"</f>
        <v>Beacon.Put(111,0,6000000);</v>
      </c>
      <c r="H34" t="str">
        <f>"Beacon.Put(112,0,1"&amp;M電入力!$AB35&amp;");"</f>
        <v>Beacon.Put(112,0,1000000);</v>
      </c>
      <c r="I34" t="str">
        <f>"Beacon.Put(112,0,2"&amp;M電入力!$AB36&amp;");"</f>
        <v>Beacon.Put(112,0,2000000);</v>
      </c>
      <c r="J34" t="str">
        <f>"Beacon.Put(112,0,3"&amp;M電入力!$AB37&amp;");"</f>
        <v>Beacon.Put(112,0,3000000);</v>
      </c>
      <c r="K34" t="str">
        <f>"Beacon.Put(112,0,4"&amp;M電入力!$AB38&amp;");"</f>
        <v>Beacon.Put(112,0,4000000);</v>
      </c>
      <c r="L34" t="str">
        <f>"Beacon.Put(112,0,5"&amp;M電入力!$AB39&amp;");"</f>
        <v>Beacon.Put(112,0,5000000);</v>
      </c>
      <c r="M34" t="str">
        <f>"Beacon.Put(112,0,6"&amp;M電入力!$AB40&amp;");"</f>
        <v>Beacon.Put(112,0,6000000);</v>
      </c>
    </row>
    <row r="35" spans="1:13">
      <c r="A35" t="str">
        <f>M電入力!C36&amp;"+25;"</f>
        <v>+25;</v>
      </c>
      <c r="B35" t="str">
        <f>"Beacon.Put(111,0,1"&amp;M電入力!AA36&amp;");"</f>
        <v>Beacon.Put(111,0,1000000);</v>
      </c>
      <c r="C35" t="str">
        <f>"Beacon.Put(111,0,2"&amp;M電入力!$AA37&amp;");"</f>
        <v>Beacon.Put(111,0,2000000);</v>
      </c>
      <c r="D35" t="str">
        <f>"Beacon.Put(111,0,3"&amp;M電入力!$AA38&amp;");"</f>
        <v>Beacon.Put(111,0,3000000);</v>
      </c>
      <c r="E35" t="str">
        <f>"Beacon.Put(111,0,4"&amp;M電入力!$AA39&amp;");"</f>
        <v>Beacon.Put(111,0,4000000);</v>
      </c>
      <c r="F35" t="str">
        <f>"Beacon.Put(111,0,5"&amp;M電入力!$AA40&amp;");"</f>
        <v>Beacon.Put(111,0,5000000);</v>
      </c>
      <c r="G35" t="str">
        <f>"Beacon.Put(111,0,6"&amp;M電入力!$AA41&amp;");"</f>
        <v>Beacon.Put(111,0,6000000);</v>
      </c>
      <c r="H35" t="str">
        <f>"Beacon.Put(112,0,1"&amp;M電入力!$AB36&amp;");"</f>
        <v>Beacon.Put(112,0,1000000);</v>
      </c>
      <c r="I35" t="str">
        <f>"Beacon.Put(112,0,2"&amp;M電入力!$AB37&amp;");"</f>
        <v>Beacon.Put(112,0,2000000);</v>
      </c>
      <c r="J35" t="str">
        <f>"Beacon.Put(112,0,3"&amp;M電入力!$AB38&amp;");"</f>
        <v>Beacon.Put(112,0,3000000);</v>
      </c>
      <c r="K35" t="str">
        <f>"Beacon.Put(112,0,4"&amp;M電入力!$AB39&amp;");"</f>
        <v>Beacon.Put(112,0,4000000);</v>
      </c>
      <c r="L35" t="str">
        <f>"Beacon.Put(112,0,5"&amp;M電入力!$AB40&amp;");"</f>
        <v>Beacon.Put(112,0,5000000);</v>
      </c>
      <c r="M35" t="str">
        <f>"Beacon.Put(112,0,6"&amp;M電入力!$AB41&amp;");"</f>
        <v>Beacon.Put(112,0,6000000);</v>
      </c>
    </row>
    <row r="36" spans="1:13">
      <c r="A36" t="str">
        <f>M電入力!C37&amp;"+25;"</f>
        <v>+25;</v>
      </c>
      <c r="B36" t="str">
        <f>"Beacon.Put(111,0,1"&amp;M電入力!AA37&amp;");"</f>
        <v>Beacon.Put(111,0,1000000);</v>
      </c>
      <c r="C36" t="str">
        <f>"Beacon.Put(111,0,2"&amp;M電入力!$AA38&amp;");"</f>
        <v>Beacon.Put(111,0,2000000);</v>
      </c>
      <c r="D36" t="str">
        <f>"Beacon.Put(111,0,3"&amp;M電入力!$AA39&amp;");"</f>
        <v>Beacon.Put(111,0,3000000);</v>
      </c>
      <c r="E36" t="str">
        <f>"Beacon.Put(111,0,4"&amp;M電入力!$AA40&amp;");"</f>
        <v>Beacon.Put(111,0,4000000);</v>
      </c>
      <c r="F36" t="str">
        <f>"Beacon.Put(111,0,5"&amp;M電入力!$AA41&amp;");"</f>
        <v>Beacon.Put(111,0,5000000);</v>
      </c>
      <c r="G36" t="str">
        <f>"Beacon.Put(111,0,6"&amp;M電入力!$AA42&amp;");"</f>
        <v>Beacon.Put(111,0,6000000);</v>
      </c>
      <c r="H36" t="str">
        <f>"Beacon.Put(112,0,1"&amp;M電入力!$AB37&amp;");"</f>
        <v>Beacon.Put(112,0,1000000);</v>
      </c>
      <c r="I36" t="str">
        <f>"Beacon.Put(112,0,2"&amp;M電入力!$AB38&amp;");"</f>
        <v>Beacon.Put(112,0,2000000);</v>
      </c>
      <c r="J36" t="str">
        <f>"Beacon.Put(112,0,3"&amp;M電入力!$AB39&amp;");"</f>
        <v>Beacon.Put(112,0,3000000);</v>
      </c>
      <c r="K36" t="str">
        <f>"Beacon.Put(112,0,4"&amp;M電入力!$AB40&amp;");"</f>
        <v>Beacon.Put(112,0,4000000);</v>
      </c>
      <c r="L36" t="str">
        <f>"Beacon.Put(112,0,5"&amp;M電入力!$AB41&amp;");"</f>
        <v>Beacon.Put(112,0,5000000);</v>
      </c>
      <c r="M36" t="str">
        <f>"Beacon.Put(112,0,6"&amp;M電入力!$AB42&amp;");"</f>
        <v>Beacon.Put(112,0,6000000);</v>
      </c>
    </row>
    <row r="37" spans="1:13">
      <c r="A37" t="str">
        <f>M電入力!C38&amp;"+25;"</f>
        <v>+25;</v>
      </c>
      <c r="B37" t="str">
        <f>"Beacon.Put(111,0,1"&amp;M電入力!AA38&amp;");"</f>
        <v>Beacon.Put(111,0,1000000);</v>
      </c>
      <c r="C37" t="str">
        <f>"Beacon.Put(111,0,2"&amp;M電入力!$AA39&amp;");"</f>
        <v>Beacon.Put(111,0,2000000);</v>
      </c>
      <c r="D37" t="str">
        <f>"Beacon.Put(111,0,3"&amp;M電入力!$AA40&amp;");"</f>
        <v>Beacon.Put(111,0,3000000);</v>
      </c>
      <c r="E37" t="str">
        <f>"Beacon.Put(111,0,4"&amp;M電入力!$AA41&amp;");"</f>
        <v>Beacon.Put(111,0,4000000);</v>
      </c>
      <c r="F37" t="str">
        <f>"Beacon.Put(111,0,5"&amp;M電入力!$AA42&amp;");"</f>
        <v>Beacon.Put(111,0,5000000);</v>
      </c>
      <c r="G37" t="str">
        <f>"Beacon.Put(111,0,6"&amp;M電入力!$AA43&amp;");"</f>
        <v>Beacon.Put(111,0,6000000);</v>
      </c>
      <c r="H37" t="str">
        <f>"Beacon.Put(112,0,1"&amp;M電入力!$AB38&amp;");"</f>
        <v>Beacon.Put(112,0,1000000);</v>
      </c>
      <c r="I37" t="str">
        <f>"Beacon.Put(112,0,2"&amp;M電入力!$AB39&amp;");"</f>
        <v>Beacon.Put(112,0,2000000);</v>
      </c>
      <c r="J37" t="str">
        <f>"Beacon.Put(112,0,3"&amp;M電入力!$AB40&amp;");"</f>
        <v>Beacon.Put(112,0,3000000);</v>
      </c>
      <c r="K37" t="str">
        <f>"Beacon.Put(112,0,4"&amp;M電入力!$AB41&amp;");"</f>
        <v>Beacon.Put(112,0,4000000);</v>
      </c>
      <c r="L37" t="str">
        <f>"Beacon.Put(112,0,5"&amp;M電入力!$AB42&amp;");"</f>
        <v>Beacon.Put(112,0,5000000);</v>
      </c>
      <c r="M37" t="str">
        <f>"Beacon.Put(112,0,6"&amp;M電入力!$AB43&amp;");"</f>
        <v>Beacon.Put(112,0,6000000);</v>
      </c>
    </row>
    <row r="38" spans="1:13">
      <c r="A38" t="str">
        <f>M電入力!C39&amp;"+25;"</f>
        <v>+25;</v>
      </c>
      <c r="B38" t="str">
        <f>"Beacon.Put(111,0,1"&amp;M電入力!AA39&amp;");"</f>
        <v>Beacon.Put(111,0,1000000);</v>
      </c>
      <c r="C38" t="str">
        <f>"Beacon.Put(111,0,2"&amp;M電入力!$AA40&amp;");"</f>
        <v>Beacon.Put(111,0,2000000);</v>
      </c>
      <c r="D38" t="str">
        <f>"Beacon.Put(111,0,3"&amp;M電入力!$AA41&amp;");"</f>
        <v>Beacon.Put(111,0,3000000);</v>
      </c>
      <c r="E38" t="str">
        <f>"Beacon.Put(111,0,4"&amp;M電入力!$AA42&amp;");"</f>
        <v>Beacon.Put(111,0,4000000);</v>
      </c>
      <c r="F38" t="str">
        <f>"Beacon.Put(111,0,5"&amp;M電入力!$AA43&amp;");"</f>
        <v>Beacon.Put(111,0,5000000);</v>
      </c>
      <c r="G38" t="str">
        <f>"Beacon.Put(111,0,6"&amp;M電入力!$AA44&amp;");"</f>
        <v>Beacon.Put(111,0,6000000);</v>
      </c>
      <c r="H38" t="str">
        <f>"Beacon.Put(112,0,1"&amp;M電入力!$AB39&amp;");"</f>
        <v>Beacon.Put(112,0,1000000);</v>
      </c>
      <c r="I38" t="str">
        <f>"Beacon.Put(112,0,2"&amp;M電入力!$AB40&amp;");"</f>
        <v>Beacon.Put(112,0,2000000);</v>
      </c>
      <c r="J38" t="str">
        <f>"Beacon.Put(112,0,3"&amp;M電入力!$AB41&amp;");"</f>
        <v>Beacon.Put(112,0,3000000);</v>
      </c>
      <c r="K38" t="str">
        <f>"Beacon.Put(112,0,4"&amp;M電入力!$AB42&amp;");"</f>
        <v>Beacon.Put(112,0,4000000);</v>
      </c>
      <c r="L38" t="str">
        <f>"Beacon.Put(112,0,5"&amp;M電入力!$AB43&amp;");"</f>
        <v>Beacon.Put(112,0,5000000);</v>
      </c>
      <c r="M38" t="str">
        <f>"Beacon.Put(112,0,6"&amp;M電入力!$AB44&amp;");"</f>
        <v>Beacon.Put(112,0,6000000);</v>
      </c>
    </row>
    <row r="39" spans="1:13">
      <c r="A39" t="str">
        <f>M電入力!C40&amp;"+25;"</f>
        <v>+25;</v>
      </c>
      <c r="B39" t="str">
        <f>"Beacon.Put(111,0,1"&amp;M電入力!AA40&amp;");"</f>
        <v>Beacon.Put(111,0,1000000);</v>
      </c>
      <c r="C39" t="str">
        <f>"Beacon.Put(111,0,2"&amp;M電入力!$AA41&amp;");"</f>
        <v>Beacon.Put(111,0,2000000);</v>
      </c>
      <c r="D39" t="str">
        <f>"Beacon.Put(111,0,3"&amp;M電入力!$AA42&amp;");"</f>
        <v>Beacon.Put(111,0,3000000);</v>
      </c>
      <c r="E39" t="str">
        <f>"Beacon.Put(111,0,4"&amp;M電入力!$AA43&amp;");"</f>
        <v>Beacon.Put(111,0,4000000);</v>
      </c>
      <c r="F39" t="str">
        <f>"Beacon.Put(111,0,5"&amp;M電入力!$AA44&amp;");"</f>
        <v>Beacon.Put(111,0,5000000);</v>
      </c>
      <c r="G39" t="str">
        <f>"Beacon.Put(111,0,6"&amp;M電入力!$AA45&amp;");"</f>
        <v>Beacon.Put(111,0,6000000);</v>
      </c>
      <c r="H39" t="str">
        <f>"Beacon.Put(112,0,1"&amp;M電入力!$AB40&amp;");"</f>
        <v>Beacon.Put(112,0,1000000);</v>
      </c>
      <c r="I39" t="str">
        <f>"Beacon.Put(112,0,2"&amp;M電入力!$AB41&amp;");"</f>
        <v>Beacon.Put(112,0,2000000);</v>
      </c>
      <c r="J39" t="str">
        <f>"Beacon.Put(112,0,3"&amp;M電入力!$AB42&amp;");"</f>
        <v>Beacon.Put(112,0,3000000);</v>
      </c>
      <c r="K39" t="str">
        <f>"Beacon.Put(112,0,4"&amp;M電入力!$AB43&amp;");"</f>
        <v>Beacon.Put(112,0,4000000);</v>
      </c>
      <c r="L39" t="str">
        <f>"Beacon.Put(112,0,5"&amp;M電入力!$AB44&amp;");"</f>
        <v>Beacon.Put(112,0,5000000);</v>
      </c>
      <c r="M39" t="str">
        <f>"Beacon.Put(112,0,6"&amp;M電入力!$AB45&amp;");"</f>
        <v>Beacon.Put(112,0,6000000);</v>
      </c>
    </row>
    <row r="40" spans="1:13">
      <c r="A40" t="str">
        <f>M電入力!C41&amp;"+25;"</f>
        <v>+25;</v>
      </c>
      <c r="B40" t="str">
        <f>"Beacon.Put(111,0,1"&amp;M電入力!AA41&amp;");"</f>
        <v>Beacon.Put(111,0,1000000);</v>
      </c>
      <c r="C40" t="str">
        <f>"Beacon.Put(111,0,2"&amp;M電入力!$AA42&amp;");"</f>
        <v>Beacon.Put(111,0,2000000);</v>
      </c>
      <c r="D40" t="str">
        <f>"Beacon.Put(111,0,3"&amp;M電入力!$AA43&amp;");"</f>
        <v>Beacon.Put(111,0,3000000);</v>
      </c>
      <c r="E40" t="str">
        <f>"Beacon.Put(111,0,4"&amp;M電入力!$AA44&amp;");"</f>
        <v>Beacon.Put(111,0,4000000);</v>
      </c>
      <c r="F40" t="str">
        <f>"Beacon.Put(111,0,5"&amp;M電入力!$AA45&amp;");"</f>
        <v>Beacon.Put(111,0,5000000);</v>
      </c>
      <c r="G40" t="str">
        <f>"Beacon.Put(111,0,6"&amp;M電入力!$AA46&amp;");"</f>
        <v>Beacon.Put(111,0,6000000);</v>
      </c>
      <c r="H40" t="str">
        <f>"Beacon.Put(112,0,1"&amp;M電入力!$AB41&amp;");"</f>
        <v>Beacon.Put(112,0,1000000);</v>
      </c>
      <c r="I40" t="str">
        <f>"Beacon.Put(112,0,2"&amp;M電入力!$AB42&amp;");"</f>
        <v>Beacon.Put(112,0,2000000);</v>
      </c>
      <c r="J40" t="str">
        <f>"Beacon.Put(112,0,3"&amp;M電入力!$AB43&amp;");"</f>
        <v>Beacon.Put(112,0,3000000);</v>
      </c>
      <c r="K40" t="str">
        <f>"Beacon.Put(112,0,4"&amp;M電入力!$AB44&amp;");"</f>
        <v>Beacon.Put(112,0,4000000);</v>
      </c>
      <c r="L40" t="str">
        <f>"Beacon.Put(112,0,5"&amp;M電入力!$AB45&amp;");"</f>
        <v>Beacon.Put(112,0,5000000);</v>
      </c>
      <c r="M40" t="str">
        <f>"Beacon.Put(112,0,6"&amp;M電入力!$AB46&amp;");"</f>
        <v>Beacon.Put(112,0,6000000);</v>
      </c>
    </row>
    <row r="41" spans="1:13">
      <c r="A41" t="str">
        <f>M電入力!C42&amp;"+25;"</f>
        <v>+25;</v>
      </c>
      <c r="B41" t="str">
        <f>"Beacon.Put(111,0,1"&amp;M電入力!AA42&amp;");"</f>
        <v>Beacon.Put(111,0,1000000);</v>
      </c>
      <c r="C41" t="str">
        <f>"Beacon.Put(111,0,2"&amp;M電入力!$AA43&amp;");"</f>
        <v>Beacon.Put(111,0,2000000);</v>
      </c>
      <c r="D41" t="str">
        <f>"Beacon.Put(111,0,3"&amp;M電入力!$AA44&amp;");"</f>
        <v>Beacon.Put(111,0,3000000);</v>
      </c>
      <c r="E41" t="str">
        <f>"Beacon.Put(111,0,4"&amp;M電入力!$AA45&amp;");"</f>
        <v>Beacon.Put(111,0,4000000);</v>
      </c>
      <c r="F41" t="str">
        <f>"Beacon.Put(111,0,5"&amp;M電入力!$AA46&amp;");"</f>
        <v>Beacon.Put(111,0,5000000);</v>
      </c>
      <c r="G41" t="str">
        <f>"Beacon.Put(111,0,6"&amp;M電入力!$AA47&amp;");"</f>
        <v>Beacon.Put(111,0,6000000);</v>
      </c>
      <c r="H41" t="str">
        <f>"Beacon.Put(112,0,1"&amp;M電入力!$AB42&amp;");"</f>
        <v>Beacon.Put(112,0,1000000);</v>
      </c>
      <c r="I41" t="str">
        <f>"Beacon.Put(112,0,2"&amp;M電入力!$AB43&amp;");"</f>
        <v>Beacon.Put(112,0,2000000);</v>
      </c>
      <c r="J41" t="str">
        <f>"Beacon.Put(112,0,3"&amp;M電入力!$AB44&amp;");"</f>
        <v>Beacon.Put(112,0,3000000);</v>
      </c>
      <c r="K41" t="str">
        <f>"Beacon.Put(112,0,4"&amp;M電入力!$AB45&amp;");"</f>
        <v>Beacon.Put(112,0,4000000);</v>
      </c>
      <c r="L41" t="str">
        <f>"Beacon.Put(112,0,5"&amp;M電入力!$AB46&amp;");"</f>
        <v>Beacon.Put(112,0,5000000);</v>
      </c>
      <c r="M41" t="str">
        <f>"Beacon.Put(112,0,6"&amp;M電入力!$AB47&amp;");"</f>
        <v>Beacon.Put(112,0,6000000);</v>
      </c>
    </row>
    <row r="42" spans="1:13">
      <c r="A42" t="str">
        <f>M電入力!C43&amp;"+25;"</f>
        <v>+25;</v>
      </c>
      <c r="B42" t="str">
        <f>"Beacon.Put(111,0,1"&amp;M電入力!AA43&amp;");"</f>
        <v>Beacon.Put(111,0,1000000);</v>
      </c>
      <c r="C42" t="str">
        <f>"Beacon.Put(111,0,2"&amp;M電入力!$AA44&amp;");"</f>
        <v>Beacon.Put(111,0,2000000);</v>
      </c>
      <c r="D42" t="str">
        <f>"Beacon.Put(111,0,3"&amp;M電入力!$AA45&amp;");"</f>
        <v>Beacon.Put(111,0,3000000);</v>
      </c>
      <c r="E42" t="str">
        <f>"Beacon.Put(111,0,4"&amp;M電入力!$AA46&amp;");"</f>
        <v>Beacon.Put(111,0,4000000);</v>
      </c>
      <c r="F42" t="str">
        <f>"Beacon.Put(111,0,5"&amp;M電入力!$AA47&amp;");"</f>
        <v>Beacon.Put(111,0,5000000);</v>
      </c>
      <c r="G42" t="str">
        <f>"Beacon.Put(111,0,6"&amp;M電入力!$AA48&amp;");"</f>
        <v>Beacon.Put(111,0,6000000);</v>
      </c>
      <c r="H42" t="str">
        <f>"Beacon.Put(112,0,1"&amp;M電入力!$AB43&amp;");"</f>
        <v>Beacon.Put(112,0,1000000);</v>
      </c>
      <c r="I42" t="str">
        <f>"Beacon.Put(112,0,2"&amp;M電入力!$AB44&amp;");"</f>
        <v>Beacon.Put(112,0,2000000);</v>
      </c>
      <c r="J42" t="str">
        <f>"Beacon.Put(112,0,3"&amp;M電入力!$AB45&amp;");"</f>
        <v>Beacon.Put(112,0,3000000);</v>
      </c>
      <c r="K42" t="str">
        <f>"Beacon.Put(112,0,4"&amp;M電入力!$AB46&amp;");"</f>
        <v>Beacon.Put(112,0,4000000);</v>
      </c>
      <c r="L42" t="str">
        <f>"Beacon.Put(112,0,5"&amp;M電入力!$AB47&amp;");"</f>
        <v>Beacon.Put(112,0,5000000);</v>
      </c>
      <c r="M42" t="str">
        <f>"Beacon.Put(112,0,6"&amp;M電入力!$AB48&amp;");"</f>
        <v>Beacon.Put(112,0,6000000);</v>
      </c>
    </row>
    <row r="43" spans="1:13">
      <c r="A43" t="str">
        <f>M電入力!C44&amp;"+25;"</f>
        <v>+25;</v>
      </c>
      <c r="B43" t="str">
        <f>"Beacon.Put(111,0,1"&amp;M電入力!AA44&amp;");"</f>
        <v>Beacon.Put(111,0,1000000);</v>
      </c>
      <c r="C43" t="str">
        <f>"Beacon.Put(111,0,2"&amp;M電入力!$AA45&amp;");"</f>
        <v>Beacon.Put(111,0,2000000);</v>
      </c>
      <c r="D43" t="str">
        <f>"Beacon.Put(111,0,3"&amp;M電入力!$AA46&amp;");"</f>
        <v>Beacon.Put(111,0,3000000);</v>
      </c>
      <c r="E43" t="str">
        <f>"Beacon.Put(111,0,4"&amp;M電入力!$AA47&amp;");"</f>
        <v>Beacon.Put(111,0,4000000);</v>
      </c>
      <c r="F43" t="str">
        <f>"Beacon.Put(111,0,5"&amp;M電入力!$AA48&amp;");"</f>
        <v>Beacon.Put(111,0,5000000);</v>
      </c>
      <c r="G43" t="str">
        <f>"Beacon.Put(111,0,6"&amp;M電入力!$AA49&amp;");"</f>
        <v>Beacon.Put(111,0,6000000);</v>
      </c>
      <c r="H43" t="str">
        <f>"Beacon.Put(112,0,1"&amp;M電入力!$AB44&amp;");"</f>
        <v>Beacon.Put(112,0,1000000);</v>
      </c>
      <c r="I43" t="str">
        <f>"Beacon.Put(112,0,2"&amp;M電入力!$AB45&amp;");"</f>
        <v>Beacon.Put(112,0,2000000);</v>
      </c>
      <c r="J43" t="str">
        <f>"Beacon.Put(112,0,3"&amp;M電入力!$AB46&amp;");"</f>
        <v>Beacon.Put(112,0,3000000);</v>
      </c>
      <c r="K43" t="str">
        <f>"Beacon.Put(112,0,4"&amp;M電入力!$AB47&amp;");"</f>
        <v>Beacon.Put(112,0,4000000);</v>
      </c>
      <c r="L43" t="str">
        <f>"Beacon.Put(112,0,5"&amp;M電入力!$AB48&amp;");"</f>
        <v>Beacon.Put(112,0,5000000);</v>
      </c>
      <c r="M43" t="str">
        <f>"Beacon.Put(112,0,6"&amp;M電入力!$AB49&amp;");"</f>
        <v>Beacon.Put(112,0,6000000);</v>
      </c>
    </row>
    <row r="44" spans="1:13">
      <c r="A44" t="str">
        <f>M電入力!C45&amp;"+25;"</f>
        <v>+25;</v>
      </c>
      <c r="B44" t="str">
        <f>"Beacon.Put(111,0,1"&amp;M電入力!AA45&amp;");"</f>
        <v>Beacon.Put(111,0,1000000);</v>
      </c>
      <c r="C44" t="str">
        <f>"Beacon.Put(111,0,2"&amp;M電入力!$AA46&amp;");"</f>
        <v>Beacon.Put(111,0,2000000);</v>
      </c>
      <c r="D44" t="str">
        <f>"Beacon.Put(111,0,3"&amp;M電入力!$AA47&amp;");"</f>
        <v>Beacon.Put(111,0,3000000);</v>
      </c>
      <c r="E44" t="str">
        <f>"Beacon.Put(111,0,4"&amp;M電入力!$AA48&amp;");"</f>
        <v>Beacon.Put(111,0,4000000);</v>
      </c>
      <c r="F44" t="str">
        <f>"Beacon.Put(111,0,5"&amp;M電入力!$AA49&amp;");"</f>
        <v>Beacon.Put(111,0,5000000);</v>
      </c>
      <c r="G44" t="str">
        <f>"Beacon.Put(111,0,6"&amp;M電入力!$AA50&amp;");"</f>
        <v>Beacon.Put(111,0,6000000);</v>
      </c>
      <c r="H44" t="str">
        <f>"Beacon.Put(112,0,1"&amp;M電入力!$AB45&amp;");"</f>
        <v>Beacon.Put(112,0,1000000);</v>
      </c>
      <c r="I44" t="str">
        <f>"Beacon.Put(112,0,2"&amp;M電入力!$AB46&amp;");"</f>
        <v>Beacon.Put(112,0,2000000);</v>
      </c>
      <c r="J44" t="str">
        <f>"Beacon.Put(112,0,3"&amp;M電入力!$AB47&amp;");"</f>
        <v>Beacon.Put(112,0,3000000);</v>
      </c>
      <c r="K44" t="str">
        <f>"Beacon.Put(112,0,4"&amp;M電入力!$AB48&amp;");"</f>
        <v>Beacon.Put(112,0,4000000);</v>
      </c>
      <c r="L44" t="str">
        <f>"Beacon.Put(112,0,5"&amp;M電入力!$AB49&amp;");"</f>
        <v>Beacon.Put(112,0,5000000);</v>
      </c>
      <c r="M44" t="str">
        <f>"Beacon.Put(112,0,6"&amp;M電入力!$AB50&amp;");"</f>
        <v>Beacon.Put(112,0,6000000);</v>
      </c>
    </row>
    <row r="45" spans="1:13">
      <c r="A45" t="str">
        <f>M電入力!C46&amp;"+25;"</f>
        <v>+25;</v>
      </c>
      <c r="B45" t="str">
        <f>"Beacon.Put(111,0,1"&amp;M電入力!AA46&amp;");"</f>
        <v>Beacon.Put(111,0,1000000);</v>
      </c>
      <c r="C45" t="str">
        <f>"Beacon.Put(111,0,2"&amp;M電入力!$AA47&amp;");"</f>
        <v>Beacon.Put(111,0,2000000);</v>
      </c>
      <c r="D45" t="str">
        <f>"Beacon.Put(111,0,3"&amp;M電入力!$AA48&amp;");"</f>
        <v>Beacon.Put(111,0,3000000);</v>
      </c>
      <c r="E45" t="str">
        <f>"Beacon.Put(111,0,4"&amp;M電入力!$AA49&amp;");"</f>
        <v>Beacon.Put(111,0,4000000);</v>
      </c>
      <c r="F45" t="str">
        <f>"Beacon.Put(111,0,5"&amp;M電入力!$AA50&amp;");"</f>
        <v>Beacon.Put(111,0,5000000);</v>
      </c>
      <c r="G45" t="str">
        <f>"Beacon.Put(111,0,6"&amp;M電入力!$AA51&amp;");"</f>
        <v>Beacon.Put(111,0,6000000);</v>
      </c>
      <c r="H45" t="str">
        <f>"Beacon.Put(112,0,1"&amp;M電入力!$AB46&amp;");"</f>
        <v>Beacon.Put(112,0,1000000);</v>
      </c>
      <c r="I45" t="str">
        <f>"Beacon.Put(112,0,2"&amp;M電入力!$AB47&amp;");"</f>
        <v>Beacon.Put(112,0,2000000);</v>
      </c>
      <c r="J45" t="str">
        <f>"Beacon.Put(112,0,3"&amp;M電入力!$AB48&amp;");"</f>
        <v>Beacon.Put(112,0,3000000);</v>
      </c>
      <c r="K45" t="str">
        <f>"Beacon.Put(112,0,4"&amp;M電入力!$AB49&amp;");"</f>
        <v>Beacon.Put(112,0,4000000);</v>
      </c>
      <c r="L45" t="str">
        <f>"Beacon.Put(112,0,5"&amp;M電入力!$AB50&amp;");"</f>
        <v>Beacon.Put(112,0,5000000);</v>
      </c>
      <c r="M45" t="str">
        <f>"Beacon.Put(112,0,6"&amp;M電入力!$AB51&amp;");"</f>
        <v>Beacon.Put(112,0,6000000);</v>
      </c>
    </row>
    <row r="46" spans="1:13">
      <c r="A46" t="str">
        <f>M電入力!C47&amp;"+25;"</f>
        <v>+25;</v>
      </c>
      <c r="B46" t="str">
        <f>"Beacon.Put(111,0,1"&amp;M電入力!AA47&amp;");"</f>
        <v>Beacon.Put(111,0,1000000);</v>
      </c>
      <c r="C46" t="str">
        <f>"Beacon.Put(111,0,2"&amp;M電入力!$AA48&amp;");"</f>
        <v>Beacon.Put(111,0,2000000);</v>
      </c>
      <c r="D46" t="str">
        <f>"Beacon.Put(111,0,3"&amp;M電入力!$AA49&amp;");"</f>
        <v>Beacon.Put(111,0,3000000);</v>
      </c>
      <c r="E46" t="str">
        <f>"Beacon.Put(111,0,4"&amp;M電入力!$AA50&amp;");"</f>
        <v>Beacon.Put(111,0,4000000);</v>
      </c>
      <c r="F46" t="str">
        <f>"Beacon.Put(111,0,5"&amp;M電入力!$AA51&amp;");"</f>
        <v>Beacon.Put(111,0,5000000);</v>
      </c>
      <c r="G46" t="str">
        <f>"Beacon.Put(111,0,6"&amp;M電入力!$AA52&amp;");"</f>
        <v>Beacon.Put(111,0,6000000);</v>
      </c>
      <c r="H46" t="str">
        <f>"Beacon.Put(112,0,1"&amp;M電入力!$AB47&amp;");"</f>
        <v>Beacon.Put(112,0,1000000);</v>
      </c>
      <c r="I46" t="str">
        <f>"Beacon.Put(112,0,2"&amp;M電入力!$AB48&amp;");"</f>
        <v>Beacon.Put(112,0,2000000);</v>
      </c>
      <c r="J46" t="str">
        <f>"Beacon.Put(112,0,3"&amp;M電入力!$AB49&amp;");"</f>
        <v>Beacon.Put(112,0,3000000);</v>
      </c>
      <c r="K46" t="str">
        <f>"Beacon.Put(112,0,4"&amp;M電入力!$AB50&amp;");"</f>
        <v>Beacon.Put(112,0,4000000);</v>
      </c>
      <c r="L46" t="str">
        <f>"Beacon.Put(112,0,5"&amp;M電入力!$AB51&amp;");"</f>
        <v>Beacon.Put(112,0,5000000);</v>
      </c>
      <c r="M46" t="str">
        <f>"Beacon.Put(112,0,6"&amp;M電入力!$AB52&amp;");"</f>
        <v>Beacon.Put(112,0,6000000);</v>
      </c>
    </row>
    <row r="47" spans="1:13">
      <c r="A47" t="str">
        <f>M電入力!C48&amp;"+25;"</f>
        <v>+25;</v>
      </c>
      <c r="B47" t="str">
        <f>"Beacon.Put(111,0,1"&amp;M電入力!AA48&amp;");"</f>
        <v>Beacon.Put(111,0,1000000);</v>
      </c>
      <c r="C47" t="str">
        <f>"Beacon.Put(111,0,2"&amp;M電入力!$AA49&amp;");"</f>
        <v>Beacon.Put(111,0,2000000);</v>
      </c>
      <c r="D47" t="str">
        <f>"Beacon.Put(111,0,3"&amp;M電入力!$AA50&amp;");"</f>
        <v>Beacon.Put(111,0,3000000);</v>
      </c>
      <c r="E47" t="str">
        <f>"Beacon.Put(111,0,4"&amp;M電入力!$AA51&amp;");"</f>
        <v>Beacon.Put(111,0,4000000);</v>
      </c>
      <c r="F47" t="str">
        <f>"Beacon.Put(111,0,5"&amp;M電入力!$AA52&amp;");"</f>
        <v>Beacon.Put(111,0,5000000);</v>
      </c>
      <c r="G47" t="str">
        <f>"Beacon.Put(111,0,6"&amp;M電入力!$AA53&amp;");"</f>
        <v>Beacon.Put(111,0,6000000);</v>
      </c>
      <c r="H47" t="str">
        <f>"Beacon.Put(112,0,1"&amp;M電入力!$AB48&amp;");"</f>
        <v>Beacon.Put(112,0,1000000);</v>
      </c>
      <c r="I47" t="str">
        <f>"Beacon.Put(112,0,2"&amp;M電入力!$AB49&amp;");"</f>
        <v>Beacon.Put(112,0,2000000);</v>
      </c>
      <c r="J47" t="str">
        <f>"Beacon.Put(112,0,3"&amp;M電入力!$AB50&amp;");"</f>
        <v>Beacon.Put(112,0,3000000);</v>
      </c>
      <c r="K47" t="str">
        <f>"Beacon.Put(112,0,4"&amp;M電入力!$AB51&amp;");"</f>
        <v>Beacon.Put(112,0,4000000);</v>
      </c>
      <c r="L47" t="str">
        <f>"Beacon.Put(112,0,5"&amp;M電入力!$AB52&amp;");"</f>
        <v>Beacon.Put(112,0,5000000);</v>
      </c>
      <c r="M47" t="str">
        <f>"Beacon.Put(112,0,6"&amp;M電入力!$AB53&amp;");"</f>
        <v>Beacon.Put(112,0,6000000);</v>
      </c>
    </row>
    <row r="48" spans="1:13">
      <c r="A48" t="str">
        <f>M電入力!C49&amp;"+25;"</f>
        <v>+25;</v>
      </c>
      <c r="B48" t="str">
        <f>"Beacon.Put(111,0,1"&amp;M電入力!AA49&amp;");"</f>
        <v>Beacon.Put(111,0,1000000);</v>
      </c>
      <c r="C48" t="str">
        <f>"Beacon.Put(111,0,2"&amp;M電入力!$AA50&amp;");"</f>
        <v>Beacon.Put(111,0,2000000);</v>
      </c>
      <c r="D48" t="str">
        <f>"Beacon.Put(111,0,3"&amp;M電入力!$AA51&amp;");"</f>
        <v>Beacon.Put(111,0,3000000);</v>
      </c>
      <c r="E48" t="str">
        <f>"Beacon.Put(111,0,4"&amp;M電入力!$AA52&amp;");"</f>
        <v>Beacon.Put(111,0,4000000);</v>
      </c>
      <c r="F48" t="str">
        <f>"Beacon.Put(111,0,5"&amp;M電入力!$AA53&amp;");"</f>
        <v>Beacon.Put(111,0,5000000);</v>
      </c>
      <c r="G48" t="str">
        <f>"Beacon.Put(111,0,6"&amp;M電入力!$AA54&amp;");"</f>
        <v>Beacon.Put(111,0,6000000);</v>
      </c>
      <c r="H48" t="str">
        <f>"Beacon.Put(112,0,1"&amp;M電入力!$AB49&amp;");"</f>
        <v>Beacon.Put(112,0,1000000);</v>
      </c>
      <c r="I48" t="str">
        <f>"Beacon.Put(112,0,2"&amp;M電入力!$AB50&amp;");"</f>
        <v>Beacon.Put(112,0,2000000);</v>
      </c>
      <c r="J48" t="str">
        <f>"Beacon.Put(112,0,3"&amp;M電入力!$AB51&amp;");"</f>
        <v>Beacon.Put(112,0,3000000);</v>
      </c>
      <c r="K48" t="str">
        <f>"Beacon.Put(112,0,4"&amp;M電入力!$AB52&amp;");"</f>
        <v>Beacon.Put(112,0,4000000);</v>
      </c>
      <c r="L48" t="str">
        <f>"Beacon.Put(112,0,5"&amp;M電入力!$AB53&amp;");"</f>
        <v>Beacon.Put(112,0,5000000);</v>
      </c>
      <c r="M48" t="str">
        <f>"Beacon.Put(112,0,6"&amp;M電入力!$AB54&amp;");"</f>
        <v>Beacon.Put(112,0,6000000);</v>
      </c>
    </row>
    <row r="49" spans="1:13">
      <c r="A49" t="str">
        <f>M電入力!C50&amp;"+25;"</f>
        <v>+25;</v>
      </c>
      <c r="B49" t="str">
        <f>"Beacon.Put(111,0,1"&amp;M電入力!AA50&amp;");"</f>
        <v>Beacon.Put(111,0,1000000);</v>
      </c>
      <c r="C49" t="str">
        <f>"Beacon.Put(111,0,2"&amp;M電入力!$AA51&amp;");"</f>
        <v>Beacon.Put(111,0,2000000);</v>
      </c>
      <c r="D49" t="str">
        <f>"Beacon.Put(111,0,3"&amp;M電入力!$AA52&amp;");"</f>
        <v>Beacon.Put(111,0,3000000);</v>
      </c>
      <c r="E49" t="str">
        <f>"Beacon.Put(111,0,4"&amp;M電入力!$AA53&amp;");"</f>
        <v>Beacon.Put(111,0,4000000);</v>
      </c>
      <c r="F49" t="str">
        <f>"Beacon.Put(111,0,5"&amp;M電入力!$AA54&amp;");"</f>
        <v>Beacon.Put(111,0,5000000);</v>
      </c>
      <c r="G49" t="str">
        <f>"Beacon.Put(111,0,6"&amp;M電入力!$AA55&amp;");"</f>
        <v>Beacon.Put(111,0,6000000);</v>
      </c>
      <c r="H49" t="str">
        <f>"Beacon.Put(112,0,1"&amp;M電入力!$AB50&amp;");"</f>
        <v>Beacon.Put(112,0,1000000);</v>
      </c>
      <c r="I49" t="str">
        <f>"Beacon.Put(112,0,2"&amp;M電入力!$AB51&amp;");"</f>
        <v>Beacon.Put(112,0,2000000);</v>
      </c>
      <c r="J49" t="str">
        <f>"Beacon.Put(112,0,3"&amp;M電入力!$AB52&amp;");"</f>
        <v>Beacon.Put(112,0,3000000);</v>
      </c>
      <c r="K49" t="str">
        <f>"Beacon.Put(112,0,4"&amp;M電入力!$AB53&amp;");"</f>
        <v>Beacon.Put(112,0,4000000);</v>
      </c>
      <c r="L49" t="str">
        <f>"Beacon.Put(112,0,5"&amp;M電入力!$AB54&amp;");"</f>
        <v>Beacon.Put(112,0,5000000);</v>
      </c>
      <c r="M49" t="str">
        <f>"Beacon.Put(112,0,6"&amp;M電入力!$AB55&amp;");"</f>
        <v>Beacon.Put(112,0,6000000);</v>
      </c>
    </row>
    <row r="50" spans="1:13">
      <c r="A50" t="str">
        <f>M電入力!C51&amp;"+25;"</f>
        <v>+25;</v>
      </c>
      <c r="B50" t="str">
        <f>"Beacon.Put(111,0,1"&amp;M電入力!AA51&amp;");"</f>
        <v>Beacon.Put(111,0,1000000);</v>
      </c>
      <c r="C50" t="str">
        <f>"Beacon.Put(111,0,2"&amp;M電入力!$AA52&amp;");"</f>
        <v>Beacon.Put(111,0,2000000);</v>
      </c>
      <c r="D50" t="str">
        <f>"Beacon.Put(111,0,3"&amp;M電入力!$AA53&amp;");"</f>
        <v>Beacon.Put(111,0,3000000);</v>
      </c>
      <c r="E50" t="str">
        <f>"Beacon.Put(111,0,4"&amp;M電入力!$AA54&amp;");"</f>
        <v>Beacon.Put(111,0,4000000);</v>
      </c>
      <c r="F50" t="str">
        <f>"Beacon.Put(111,0,5"&amp;M電入力!$AA55&amp;");"</f>
        <v>Beacon.Put(111,0,5000000);</v>
      </c>
      <c r="G50" t="str">
        <f>"Beacon.Put(111,0,6"&amp;M電入力!$AA56&amp;");"</f>
        <v>Beacon.Put(111,0,6000000);</v>
      </c>
      <c r="H50" t="str">
        <f>"Beacon.Put(112,0,1"&amp;M電入力!$AB51&amp;");"</f>
        <v>Beacon.Put(112,0,1000000);</v>
      </c>
      <c r="I50" t="str">
        <f>"Beacon.Put(112,0,2"&amp;M電入力!$AB52&amp;");"</f>
        <v>Beacon.Put(112,0,2000000);</v>
      </c>
      <c r="J50" t="str">
        <f>"Beacon.Put(112,0,3"&amp;M電入力!$AB53&amp;");"</f>
        <v>Beacon.Put(112,0,3000000);</v>
      </c>
      <c r="K50" t="str">
        <f>"Beacon.Put(112,0,4"&amp;M電入力!$AB54&amp;");"</f>
        <v>Beacon.Put(112,0,4000000);</v>
      </c>
      <c r="L50" t="str">
        <f>"Beacon.Put(112,0,5"&amp;M電入力!$AB55&amp;");"</f>
        <v>Beacon.Put(112,0,5000000);</v>
      </c>
      <c r="M50" t="str">
        <f>"Beacon.Put(112,0,6"&amp;M電入力!$AB56&amp;");"</f>
        <v>Beacon.Put(112,0,6000000);</v>
      </c>
    </row>
    <row r="51" spans="1:13">
      <c r="A51" t="str">
        <f>M電入力!C52&amp;"+25;"</f>
        <v>+25;</v>
      </c>
      <c r="B51" t="str">
        <f>"Beacon.Put(111,0,1"&amp;M電入力!AA52&amp;");"</f>
        <v>Beacon.Put(111,0,1000000);</v>
      </c>
      <c r="C51" t="str">
        <f>"Beacon.Put(111,0,2"&amp;M電入力!$AA53&amp;");"</f>
        <v>Beacon.Put(111,0,2000000);</v>
      </c>
      <c r="D51" t="str">
        <f>"Beacon.Put(111,0,3"&amp;M電入力!$AA54&amp;");"</f>
        <v>Beacon.Put(111,0,3000000);</v>
      </c>
      <c r="E51" t="str">
        <f>"Beacon.Put(111,0,4"&amp;M電入力!$AA55&amp;");"</f>
        <v>Beacon.Put(111,0,4000000);</v>
      </c>
      <c r="F51" t="str">
        <f>"Beacon.Put(111,0,5"&amp;M電入力!$AA56&amp;");"</f>
        <v>Beacon.Put(111,0,5000000);</v>
      </c>
      <c r="G51" t="str">
        <f>"Beacon.Put(111,0,6"&amp;M電入力!$AA57&amp;");"</f>
        <v>Beacon.Put(111,0,6000000);</v>
      </c>
      <c r="H51" t="str">
        <f>"Beacon.Put(112,0,1"&amp;M電入力!$AB52&amp;");"</f>
        <v>Beacon.Put(112,0,1000000);</v>
      </c>
      <c r="I51" t="str">
        <f>"Beacon.Put(112,0,2"&amp;M電入力!$AB53&amp;");"</f>
        <v>Beacon.Put(112,0,2000000);</v>
      </c>
      <c r="J51" t="str">
        <f>"Beacon.Put(112,0,3"&amp;M電入力!$AB54&amp;");"</f>
        <v>Beacon.Put(112,0,3000000);</v>
      </c>
      <c r="K51" t="str">
        <f>"Beacon.Put(112,0,4"&amp;M電入力!$AB55&amp;");"</f>
        <v>Beacon.Put(112,0,4000000);</v>
      </c>
      <c r="L51" t="str">
        <f>"Beacon.Put(112,0,5"&amp;M電入力!$AB56&amp;");"</f>
        <v>Beacon.Put(112,0,5000000);</v>
      </c>
      <c r="M51" t="str">
        <f>"Beacon.Put(112,0,6"&amp;M電入力!$AB57&amp;");"</f>
        <v>Beacon.Put(112,0,6000000);</v>
      </c>
    </row>
    <row r="52" spans="1:13">
      <c r="A52" t="str">
        <f>M電入力!C53&amp;"+25;"</f>
        <v>+25;</v>
      </c>
      <c r="B52" t="str">
        <f>"Beacon.Put(111,0,1"&amp;M電入力!AA53&amp;");"</f>
        <v>Beacon.Put(111,0,1000000);</v>
      </c>
      <c r="C52" t="str">
        <f>"Beacon.Put(111,0,2"&amp;M電入力!$AA54&amp;");"</f>
        <v>Beacon.Put(111,0,2000000);</v>
      </c>
      <c r="D52" t="str">
        <f>"Beacon.Put(111,0,3"&amp;M電入力!$AA55&amp;");"</f>
        <v>Beacon.Put(111,0,3000000);</v>
      </c>
      <c r="E52" t="str">
        <f>"Beacon.Put(111,0,4"&amp;M電入力!$AA56&amp;");"</f>
        <v>Beacon.Put(111,0,4000000);</v>
      </c>
      <c r="F52" t="str">
        <f>"Beacon.Put(111,0,5"&amp;M電入力!$AA57&amp;");"</f>
        <v>Beacon.Put(111,0,5000000);</v>
      </c>
      <c r="G52" t="str">
        <f>"Beacon.Put(111,0,6"&amp;M電入力!$AA58&amp;");"</f>
        <v>Beacon.Put(111,0,6000000);</v>
      </c>
      <c r="H52" t="str">
        <f>"Beacon.Put(112,0,1"&amp;M電入力!$AB53&amp;");"</f>
        <v>Beacon.Put(112,0,1000000);</v>
      </c>
      <c r="I52" t="str">
        <f>"Beacon.Put(112,0,2"&amp;M電入力!$AB54&amp;");"</f>
        <v>Beacon.Put(112,0,2000000);</v>
      </c>
      <c r="J52" t="str">
        <f>"Beacon.Put(112,0,3"&amp;M電入力!$AB55&amp;");"</f>
        <v>Beacon.Put(112,0,3000000);</v>
      </c>
      <c r="K52" t="str">
        <f>"Beacon.Put(112,0,4"&amp;M電入力!$AB56&amp;");"</f>
        <v>Beacon.Put(112,0,4000000);</v>
      </c>
      <c r="L52" t="str">
        <f>"Beacon.Put(112,0,5"&amp;M電入力!$AB57&amp;");"</f>
        <v>Beacon.Put(112,0,5000000);</v>
      </c>
      <c r="M52" t="str">
        <f>"Beacon.Put(112,0,6"&amp;M電入力!$AB58&amp;");"</f>
        <v>Beacon.Put(112,0,6000000);</v>
      </c>
    </row>
    <row r="53" spans="1:13">
      <c r="A53" t="str">
        <f>M電入力!C54&amp;"+25;"</f>
        <v>+25;</v>
      </c>
      <c r="B53" t="str">
        <f>"Beacon.Put(111,0,1"&amp;M電入力!AA54&amp;");"</f>
        <v>Beacon.Put(111,0,1000000);</v>
      </c>
      <c r="C53" t="str">
        <f>"Beacon.Put(111,0,2"&amp;M電入力!$AA55&amp;");"</f>
        <v>Beacon.Put(111,0,2000000);</v>
      </c>
      <c r="D53" t="str">
        <f>"Beacon.Put(111,0,3"&amp;M電入力!$AA56&amp;");"</f>
        <v>Beacon.Put(111,0,3000000);</v>
      </c>
      <c r="E53" t="str">
        <f>"Beacon.Put(111,0,4"&amp;M電入力!$AA57&amp;");"</f>
        <v>Beacon.Put(111,0,4000000);</v>
      </c>
      <c r="F53" t="str">
        <f>"Beacon.Put(111,0,5"&amp;M電入力!$AA58&amp;");"</f>
        <v>Beacon.Put(111,0,5000000);</v>
      </c>
      <c r="G53" t="str">
        <f>"Beacon.Put(111,0,6"&amp;M電入力!$AA59&amp;");"</f>
        <v>Beacon.Put(111,0,6000000);</v>
      </c>
      <c r="H53" t="str">
        <f>"Beacon.Put(112,0,1"&amp;M電入力!$AB54&amp;");"</f>
        <v>Beacon.Put(112,0,1000000);</v>
      </c>
      <c r="I53" t="str">
        <f>"Beacon.Put(112,0,2"&amp;M電入力!$AB55&amp;");"</f>
        <v>Beacon.Put(112,0,2000000);</v>
      </c>
      <c r="J53" t="str">
        <f>"Beacon.Put(112,0,3"&amp;M電入力!$AB56&amp;");"</f>
        <v>Beacon.Put(112,0,3000000);</v>
      </c>
      <c r="K53" t="str">
        <f>"Beacon.Put(112,0,4"&amp;M電入力!$AB57&amp;");"</f>
        <v>Beacon.Put(112,0,4000000);</v>
      </c>
      <c r="L53" t="str">
        <f>"Beacon.Put(112,0,5"&amp;M電入力!$AB58&amp;");"</f>
        <v>Beacon.Put(112,0,5000000);</v>
      </c>
      <c r="M53" t="str">
        <f>"Beacon.Put(112,0,6"&amp;M電入力!$AB59&amp;");"</f>
        <v>Beacon.Put(112,0,6000000);</v>
      </c>
    </row>
    <row r="54" spans="1:13">
      <c r="A54" t="str">
        <f>M電入力!C55&amp;"+25;"</f>
        <v>+25;</v>
      </c>
      <c r="B54" t="str">
        <f>"Beacon.Put(111,0,1"&amp;M電入力!AA55&amp;");"</f>
        <v>Beacon.Put(111,0,1000000);</v>
      </c>
      <c r="C54" t="str">
        <f>"Beacon.Put(111,0,2"&amp;M電入力!$AA56&amp;");"</f>
        <v>Beacon.Put(111,0,2000000);</v>
      </c>
      <c r="D54" t="str">
        <f>"Beacon.Put(111,0,3"&amp;M電入力!$AA57&amp;");"</f>
        <v>Beacon.Put(111,0,3000000);</v>
      </c>
      <c r="E54" t="str">
        <f>"Beacon.Put(111,0,4"&amp;M電入力!$AA58&amp;");"</f>
        <v>Beacon.Put(111,0,4000000);</v>
      </c>
      <c r="F54" t="str">
        <f>"Beacon.Put(111,0,5"&amp;M電入力!$AA59&amp;");"</f>
        <v>Beacon.Put(111,0,5000000);</v>
      </c>
      <c r="G54" t="str">
        <f>"Beacon.Put(111,0,6"&amp;M電入力!$AA60&amp;");"</f>
        <v>Beacon.Put(111,0,6000000);</v>
      </c>
      <c r="H54" t="str">
        <f>"Beacon.Put(112,0,1"&amp;M電入力!$AB55&amp;");"</f>
        <v>Beacon.Put(112,0,1000000);</v>
      </c>
      <c r="I54" t="str">
        <f>"Beacon.Put(112,0,2"&amp;M電入力!$AB56&amp;");"</f>
        <v>Beacon.Put(112,0,2000000);</v>
      </c>
      <c r="J54" t="str">
        <f>"Beacon.Put(112,0,3"&amp;M電入力!$AB57&amp;");"</f>
        <v>Beacon.Put(112,0,3000000);</v>
      </c>
      <c r="K54" t="str">
        <f>"Beacon.Put(112,0,4"&amp;M電入力!$AB58&amp;");"</f>
        <v>Beacon.Put(112,0,4000000);</v>
      </c>
      <c r="L54" t="str">
        <f>"Beacon.Put(112,0,5"&amp;M電入力!$AB59&amp;");"</f>
        <v>Beacon.Put(112,0,5000000);</v>
      </c>
      <c r="M54" t="str">
        <f>"Beacon.Put(112,0,6"&amp;M電入力!$AB60&amp;");"</f>
        <v>Beacon.Put(112,0,6000000);</v>
      </c>
    </row>
    <row r="55" spans="1:13">
      <c r="A55" t="str">
        <f>M電入力!C56&amp;"+25;"</f>
        <v>+25;</v>
      </c>
      <c r="B55" t="str">
        <f>"Beacon.Put(111,0,1"&amp;M電入力!AA56&amp;");"</f>
        <v>Beacon.Put(111,0,1000000);</v>
      </c>
      <c r="C55" t="str">
        <f>"Beacon.Put(111,0,2"&amp;M電入力!$AA57&amp;");"</f>
        <v>Beacon.Put(111,0,2000000);</v>
      </c>
      <c r="D55" t="str">
        <f>"Beacon.Put(111,0,3"&amp;M電入力!$AA58&amp;");"</f>
        <v>Beacon.Put(111,0,3000000);</v>
      </c>
      <c r="E55" t="str">
        <f>"Beacon.Put(111,0,4"&amp;M電入力!$AA59&amp;");"</f>
        <v>Beacon.Put(111,0,4000000);</v>
      </c>
      <c r="F55" t="str">
        <f>"Beacon.Put(111,0,5"&amp;M電入力!$AA60&amp;");"</f>
        <v>Beacon.Put(111,0,5000000);</v>
      </c>
      <c r="G55" t="str">
        <f>"Beacon.Put(111,0,6"&amp;M電入力!$AA61&amp;");"</f>
        <v>Beacon.Put(111,0,6000000);</v>
      </c>
      <c r="H55" t="str">
        <f>"Beacon.Put(112,0,1"&amp;M電入力!$AB56&amp;");"</f>
        <v>Beacon.Put(112,0,1000000);</v>
      </c>
      <c r="I55" t="str">
        <f>"Beacon.Put(112,0,2"&amp;M電入力!$AB57&amp;");"</f>
        <v>Beacon.Put(112,0,2000000);</v>
      </c>
      <c r="J55" t="str">
        <f>"Beacon.Put(112,0,3"&amp;M電入力!$AB58&amp;");"</f>
        <v>Beacon.Put(112,0,3000000);</v>
      </c>
      <c r="K55" t="str">
        <f>"Beacon.Put(112,0,4"&amp;M電入力!$AB59&amp;");"</f>
        <v>Beacon.Put(112,0,4000000);</v>
      </c>
      <c r="L55" t="str">
        <f>"Beacon.Put(112,0,5"&amp;M電入力!$AB60&amp;");"</f>
        <v>Beacon.Put(112,0,5000000);</v>
      </c>
      <c r="M55" t="str">
        <f>"Beacon.Put(112,0,6"&amp;M電入力!$AB61&amp;");"</f>
        <v>Beacon.Put(112,0,6000000);</v>
      </c>
    </row>
    <row r="56" spans="1:13">
      <c r="A56" t="str">
        <f>M電入力!C57&amp;"+25;"</f>
        <v>+25;</v>
      </c>
      <c r="B56" t="str">
        <f>"Beacon.Put(111,0,1"&amp;M電入力!AA57&amp;");"</f>
        <v>Beacon.Put(111,0,1000000);</v>
      </c>
      <c r="C56" t="str">
        <f>"Beacon.Put(111,0,2"&amp;M電入力!$AA58&amp;");"</f>
        <v>Beacon.Put(111,0,2000000);</v>
      </c>
      <c r="D56" t="str">
        <f>"Beacon.Put(111,0,3"&amp;M電入力!$AA59&amp;");"</f>
        <v>Beacon.Put(111,0,3000000);</v>
      </c>
      <c r="E56" t="str">
        <f>"Beacon.Put(111,0,4"&amp;M電入力!$AA60&amp;");"</f>
        <v>Beacon.Put(111,0,4000000);</v>
      </c>
      <c r="F56" t="str">
        <f>"Beacon.Put(111,0,5"&amp;M電入力!$AA61&amp;");"</f>
        <v>Beacon.Put(111,0,5000000);</v>
      </c>
      <c r="G56" t="str">
        <f>"Beacon.Put(111,0,6"&amp;M電入力!$AA62&amp;");"</f>
        <v>Beacon.Put(111,0,6000000);</v>
      </c>
      <c r="H56" t="str">
        <f>"Beacon.Put(112,0,1"&amp;M電入力!$AB57&amp;");"</f>
        <v>Beacon.Put(112,0,1000000);</v>
      </c>
      <c r="I56" t="str">
        <f>"Beacon.Put(112,0,2"&amp;M電入力!$AB58&amp;");"</f>
        <v>Beacon.Put(112,0,2000000);</v>
      </c>
      <c r="J56" t="str">
        <f>"Beacon.Put(112,0,3"&amp;M電入力!$AB59&amp;");"</f>
        <v>Beacon.Put(112,0,3000000);</v>
      </c>
      <c r="K56" t="str">
        <f>"Beacon.Put(112,0,4"&amp;M電入力!$AB60&amp;");"</f>
        <v>Beacon.Put(112,0,4000000);</v>
      </c>
      <c r="L56" t="str">
        <f>"Beacon.Put(112,0,5"&amp;M電入力!$AB61&amp;");"</f>
        <v>Beacon.Put(112,0,5000000);</v>
      </c>
      <c r="M56" t="str">
        <f>"Beacon.Put(112,0,6"&amp;M電入力!$AB62&amp;");"</f>
        <v>Beacon.Put(112,0,6000000);</v>
      </c>
    </row>
    <row r="57" spans="1:13">
      <c r="A57" t="str">
        <f>M電入力!C58&amp;"+25;"</f>
        <v>+25;</v>
      </c>
      <c r="B57" t="str">
        <f>"Beacon.Put(111,0,1"&amp;M電入力!AA58&amp;");"</f>
        <v>Beacon.Put(111,0,1000000);</v>
      </c>
      <c r="C57" t="str">
        <f>"Beacon.Put(111,0,2"&amp;M電入力!$AA59&amp;");"</f>
        <v>Beacon.Put(111,0,2000000);</v>
      </c>
      <c r="D57" t="str">
        <f>"Beacon.Put(111,0,3"&amp;M電入力!$AA60&amp;");"</f>
        <v>Beacon.Put(111,0,3000000);</v>
      </c>
      <c r="E57" t="str">
        <f>"Beacon.Put(111,0,4"&amp;M電入力!$AA61&amp;");"</f>
        <v>Beacon.Put(111,0,4000000);</v>
      </c>
      <c r="F57" t="str">
        <f>"Beacon.Put(111,0,5"&amp;M電入力!$AA62&amp;");"</f>
        <v>Beacon.Put(111,0,5000000);</v>
      </c>
      <c r="G57" t="str">
        <f>"Beacon.Put(111,0,6"&amp;M電入力!$AA63&amp;");"</f>
        <v>Beacon.Put(111,0,6000000);</v>
      </c>
      <c r="H57" t="str">
        <f>"Beacon.Put(112,0,1"&amp;M電入力!$AB58&amp;");"</f>
        <v>Beacon.Put(112,0,1000000);</v>
      </c>
      <c r="I57" t="str">
        <f>"Beacon.Put(112,0,2"&amp;M電入力!$AB59&amp;");"</f>
        <v>Beacon.Put(112,0,2000000);</v>
      </c>
      <c r="J57" t="str">
        <f>"Beacon.Put(112,0,3"&amp;M電入力!$AB60&amp;");"</f>
        <v>Beacon.Put(112,0,3000000);</v>
      </c>
      <c r="K57" t="str">
        <f>"Beacon.Put(112,0,4"&amp;M電入力!$AB61&amp;");"</f>
        <v>Beacon.Put(112,0,4000000);</v>
      </c>
      <c r="L57" t="str">
        <f>"Beacon.Put(112,0,5"&amp;M電入力!$AB62&amp;");"</f>
        <v>Beacon.Put(112,0,5000000);</v>
      </c>
      <c r="M57" t="str">
        <f>"Beacon.Put(112,0,6"&amp;M電入力!$AB63&amp;");"</f>
        <v>Beacon.Put(112,0,6000000);</v>
      </c>
    </row>
    <row r="58" spans="1:13">
      <c r="A58" t="str">
        <f>M電入力!C59&amp;"+25;"</f>
        <v>+25;</v>
      </c>
      <c r="B58" t="str">
        <f>"Beacon.Put(111,0,1"&amp;M電入力!AA59&amp;");"</f>
        <v>Beacon.Put(111,0,1000000);</v>
      </c>
      <c r="C58" t="str">
        <f>"Beacon.Put(111,0,2"&amp;M電入力!$AA60&amp;");"</f>
        <v>Beacon.Put(111,0,2000000);</v>
      </c>
      <c r="D58" t="str">
        <f>"Beacon.Put(111,0,3"&amp;M電入力!$AA61&amp;");"</f>
        <v>Beacon.Put(111,0,3000000);</v>
      </c>
      <c r="E58" t="str">
        <f>"Beacon.Put(111,0,4"&amp;M電入力!$AA62&amp;");"</f>
        <v>Beacon.Put(111,0,4000000);</v>
      </c>
      <c r="F58" t="str">
        <f>"Beacon.Put(111,0,5"&amp;M電入力!$AA63&amp;");"</f>
        <v>Beacon.Put(111,0,5000000);</v>
      </c>
      <c r="G58" t="str">
        <f>"Beacon.Put(111,0,6"&amp;M電入力!$AA64&amp;");"</f>
        <v>Beacon.Put(111,0,6000000);</v>
      </c>
      <c r="H58" t="str">
        <f>"Beacon.Put(112,0,1"&amp;M電入力!$AB59&amp;");"</f>
        <v>Beacon.Put(112,0,1000000);</v>
      </c>
      <c r="I58" t="str">
        <f>"Beacon.Put(112,0,2"&amp;M電入力!$AB60&amp;");"</f>
        <v>Beacon.Put(112,0,2000000);</v>
      </c>
      <c r="J58" t="str">
        <f>"Beacon.Put(112,0,3"&amp;M電入力!$AB61&amp;");"</f>
        <v>Beacon.Put(112,0,3000000);</v>
      </c>
      <c r="K58" t="str">
        <f>"Beacon.Put(112,0,4"&amp;M電入力!$AB62&amp;");"</f>
        <v>Beacon.Put(112,0,4000000);</v>
      </c>
      <c r="L58" t="str">
        <f>"Beacon.Put(112,0,5"&amp;M電入力!$AB63&amp;");"</f>
        <v>Beacon.Put(112,0,5000000);</v>
      </c>
      <c r="M58" t="str">
        <f>"Beacon.Put(112,0,6"&amp;M電入力!$AB64&amp;");"</f>
        <v>Beacon.Put(112,0,6000000);</v>
      </c>
    </row>
    <row r="59" spans="1:13">
      <c r="A59" t="str">
        <f>M電入力!C60&amp;"+25;"</f>
        <v>+25;</v>
      </c>
      <c r="B59" t="str">
        <f>"Beacon.Put(111,0,1"&amp;M電入力!AA60&amp;");"</f>
        <v>Beacon.Put(111,0,1000000);</v>
      </c>
      <c r="C59" t="str">
        <f>"Beacon.Put(111,0,2"&amp;M電入力!$AA61&amp;");"</f>
        <v>Beacon.Put(111,0,2000000);</v>
      </c>
      <c r="D59" t="str">
        <f>"Beacon.Put(111,0,3"&amp;M電入力!$AA62&amp;");"</f>
        <v>Beacon.Put(111,0,3000000);</v>
      </c>
      <c r="E59" t="str">
        <f>"Beacon.Put(111,0,4"&amp;M電入力!$AA63&amp;");"</f>
        <v>Beacon.Put(111,0,4000000);</v>
      </c>
      <c r="F59" t="str">
        <f>"Beacon.Put(111,0,5"&amp;M電入力!$AA64&amp;");"</f>
        <v>Beacon.Put(111,0,5000000);</v>
      </c>
      <c r="G59" t="str">
        <f>"Beacon.Put(111,0,6"&amp;M電入力!$AA65&amp;");"</f>
        <v>Beacon.Put(111,0,6000000);</v>
      </c>
      <c r="H59" t="str">
        <f>"Beacon.Put(112,0,1"&amp;M電入力!$AB60&amp;");"</f>
        <v>Beacon.Put(112,0,1000000);</v>
      </c>
      <c r="I59" t="str">
        <f>"Beacon.Put(112,0,2"&amp;M電入力!$AB61&amp;");"</f>
        <v>Beacon.Put(112,0,2000000);</v>
      </c>
      <c r="J59" t="str">
        <f>"Beacon.Put(112,0,3"&amp;M電入力!$AB62&amp;");"</f>
        <v>Beacon.Put(112,0,3000000);</v>
      </c>
      <c r="K59" t="str">
        <f>"Beacon.Put(112,0,4"&amp;M電入力!$AB63&amp;");"</f>
        <v>Beacon.Put(112,0,4000000);</v>
      </c>
      <c r="L59" t="str">
        <f>"Beacon.Put(112,0,5"&amp;M電入力!$AB64&amp;");"</f>
        <v>Beacon.Put(112,0,5000000);</v>
      </c>
      <c r="M59" t="str">
        <f>"Beacon.Put(112,0,6"&amp;M電入力!$AB65&amp;");"</f>
        <v>Beacon.Put(112,0,6000000);</v>
      </c>
    </row>
    <row r="60" spans="1:13">
      <c r="A60" t="str">
        <f>M電入力!C61&amp;"+25;"</f>
        <v>+25;</v>
      </c>
      <c r="B60" t="str">
        <f>"Beacon.Put(111,0,1"&amp;M電入力!AA61&amp;");"</f>
        <v>Beacon.Put(111,0,1000000);</v>
      </c>
      <c r="C60" t="str">
        <f>"Beacon.Put(111,0,2"&amp;M電入力!$AA62&amp;");"</f>
        <v>Beacon.Put(111,0,2000000);</v>
      </c>
      <c r="D60" t="str">
        <f>"Beacon.Put(111,0,3"&amp;M電入力!$AA63&amp;");"</f>
        <v>Beacon.Put(111,0,3000000);</v>
      </c>
      <c r="E60" t="str">
        <f>"Beacon.Put(111,0,4"&amp;M電入力!$AA64&amp;");"</f>
        <v>Beacon.Put(111,0,4000000);</v>
      </c>
      <c r="F60" t="str">
        <f>"Beacon.Put(111,0,5"&amp;M電入力!$AA65&amp;");"</f>
        <v>Beacon.Put(111,0,5000000);</v>
      </c>
      <c r="G60" t="str">
        <f>"Beacon.Put(111,0,6"&amp;M電入力!$AA66&amp;");"</f>
        <v>Beacon.Put(111,0,6000000);</v>
      </c>
      <c r="H60" t="str">
        <f>"Beacon.Put(112,0,1"&amp;M電入力!$AB61&amp;");"</f>
        <v>Beacon.Put(112,0,1000000);</v>
      </c>
      <c r="I60" t="str">
        <f>"Beacon.Put(112,0,2"&amp;M電入力!$AB62&amp;");"</f>
        <v>Beacon.Put(112,0,2000000);</v>
      </c>
      <c r="J60" t="str">
        <f>"Beacon.Put(112,0,3"&amp;M電入力!$AB63&amp;");"</f>
        <v>Beacon.Put(112,0,3000000);</v>
      </c>
      <c r="K60" t="str">
        <f>"Beacon.Put(112,0,4"&amp;M電入力!$AB64&amp;");"</f>
        <v>Beacon.Put(112,0,4000000);</v>
      </c>
      <c r="L60" t="str">
        <f>"Beacon.Put(112,0,5"&amp;M電入力!$AB65&amp;");"</f>
        <v>Beacon.Put(112,0,5000000);</v>
      </c>
      <c r="M60" t="str">
        <f>"Beacon.Put(112,0,6"&amp;M電入力!$AB66&amp;");"</f>
        <v>Beacon.Put(112,0,6000000);</v>
      </c>
    </row>
    <row r="61" spans="1:13">
      <c r="A61" t="str">
        <f>M電入力!C62&amp;"+25;"</f>
        <v>+25;</v>
      </c>
      <c r="B61" t="str">
        <f>"Beacon.Put(111,0,1"&amp;M電入力!AA62&amp;");"</f>
        <v>Beacon.Put(111,0,1000000);</v>
      </c>
      <c r="C61" t="str">
        <f>"Beacon.Put(111,0,2"&amp;M電入力!$AA63&amp;");"</f>
        <v>Beacon.Put(111,0,2000000);</v>
      </c>
      <c r="D61" t="str">
        <f>"Beacon.Put(111,0,3"&amp;M電入力!$AA64&amp;");"</f>
        <v>Beacon.Put(111,0,3000000);</v>
      </c>
      <c r="E61" t="str">
        <f>"Beacon.Put(111,0,4"&amp;M電入力!$AA65&amp;");"</f>
        <v>Beacon.Put(111,0,4000000);</v>
      </c>
      <c r="F61" t="str">
        <f>"Beacon.Put(111,0,5"&amp;M電入力!$AA66&amp;");"</f>
        <v>Beacon.Put(111,0,5000000);</v>
      </c>
      <c r="G61" t="str">
        <f>"Beacon.Put(111,0,6"&amp;M電入力!$AA67&amp;");"</f>
        <v>Beacon.Put(111,0,6000000);</v>
      </c>
      <c r="H61" t="str">
        <f>"Beacon.Put(112,0,1"&amp;M電入力!$AB62&amp;");"</f>
        <v>Beacon.Put(112,0,1000000);</v>
      </c>
      <c r="I61" t="str">
        <f>"Beacon.Put(112,0,2"&amp;M電入力!$AB63&amp;");"</f>
        <v>Beacon.Put(112,0,2000000);</v>
      </c>
      <c r="J61" t="str">
        <f>"Beacon.Put(112,0,3"&amp;M電入力!$AB64&amp;");"</f>
        <v>Beacon.Put(112,0,3000000);</v>
      </c>
      <c r="K61" t="str">
        <f>"Beacon.Put(112,0,4"&amp;M電入力!$AB65&amp;");"</f>
        <v>Beacon.Put(112,0,4000000);</v>
      </c>
      <c r="L61" t="str">
        <f>"Beacon.Put(112,0,5"&amp;M電入力!$AB66&amp;");"</f>
        <v>Beacon.Put(112,0,5000000);</v>
      </c>
      <c r="M61" t="str">
        <f>"Beacon.Put(112,0,6"&amp;M電入力!$AB67&amp;");"</f>
        <v>Beacon.Put(112,0,6000000);</v>
      </c>
    </row>
    <row r="62" spans="1:13">
      <c r="A62" t="str">
        <f>M電入力!C63&amp;"+25;"</f>
        <v>+25;</v>
      </c>
      <c r="B62" t="str">
        <f>"Beacon.Put(111,0,1"&amp;M電入力!AA63&amp;");"</f>
        <v>Beacon.Put(111,0,1000000);</v>
      </c>
      <c r="C62" t="str">
        <f>"Beacon.Put(111,0,2"&amp;M電入力!$AA64&amp;");"</f>
        <v>Beacon.Put(111,0,2000000);</v>
      </c>
      <c r="D62" t="str">
        <f>"Beacon.Put(111,0,3"&amp;M電入力!$AA65&amp;");"</f>
        <v>Beacon.Put(111,0,3000000);</v>
      </c>
      <c r="E62" t="str">
        <f>"Beacon.Put(111,0,4"&amp;M電入力!$AA66&amp;");"</f>
        <v>Beacon.Put(111,0,4000000);</v>
      </c>
      <c r="F62" t="str">
        <f>"Beacon.Put(111,0,5"&amp;M電入力!$AA67&amp;");"</f>
        <v>Beacon.Put(111,0,5000000);</v>
      </c>
      <c r="G62" t="str">
        <f>"Beacon.Put(111,0,6"&amp;M電入力!$AA68&amp;");"</f>
        <v>Beacon.Put(111,0,6000000);</v>
      </c>
      <c r="H62" t="str">
        <f>"Beacon.Put(112,0,1"&amp;M電入力!$AB63&amp;");"</f>
        <v>Beacon.Put(112,0,1000000);</v>
      </c>
      <c r="I62" t="str">
        <f>"Beacon.Put(112,0,2"&amp;M電入力!$AB64&amp;");"</f>
        <v>Beacon.Put(112,0,2000000);</v>
      </c>
      <c r="J62" t="str">
        <f>"Beacon.Put(112,0,3"&amp;M電入力!$AB65&amp;");"</f>
        <v>Beacon.Put(112,0,3000000);</v>
      </c>
      <c r="K62" t="str">
        <f>"Beacon.Put(112,0,4"&amp;M電入力!$AB66&amp;");"</f>
        <v>Beacon.Put(112,0,4000000);</v>
      </c>
      <c r="L62" t="str">
        <f>"Beacon.Put(112,0,5"&amp;M電入力!$AB67&amp;");"</f>
        <v>Beacon.Put(112,0,5000000);</v>
      </c>
      <c r="M62" t="str">
        <f>"Beacon.Put(112,0,6"&amp;M電入力!$AB68&amp;");"</f>
        <v>Beacon.Put(112,0,6000000);</v>
      </c>
    </row>
    <row r="63" spans="1:13">
      <c r="A63" t="str">
        <f>M電入力!C64&amp;"+25;"</f>
        <v>+25;</v>
      </c>
      <c r="B63" t="str">
        <f>"Beacon.Put(111,0,1"&amp;M電入力!AA64&amp;");"</f>
        <v>Beacon.Put(111,0,1000000);</v>
      </c>
      <c r="C63" t="str">
        <f>"Beacon.Put(111,0,2"&amp;M電入力!$AA65&amp;");"</f>
        <v>Beacon.Put(111,0,2000000);</v>
      </c>
      <c r="D63" t="str">
        <f>"Beacon.Put(111,0,3"&amp;M電入力!$AA66&amp;");"</f>
        <v>Beacon.Put(111,0,3000000);</v>
      </c>
      <c r="E63" t="str">
        <f>"Beacon.Put(111,0,4"&amp;M電入力!$AA67&amp;");"</f>
        <v>Beacon.Put(111,0,4000000);</v>
      </c>
      <c r="F63" t="str">
        <f>"Beacon.Put(111,0,5"&amp;M電入力!$AA68&amp;");"</f>
        <v>Beacon.Put(111,0,5000000);</v>
      </c>
      <c r="G63" t="str">
        <f>"Beacon.Put(111,0,6"&amp;M電入力!$AA69&amp;");"</f>
        <v>Beacon.Put(111,0,6000000);</v>
      </c>
      <c r="H63" t="str">
        <f>"Beacon.Put(112,0,1"&amp;M電入力!$AB64&amp;");"</f>
        <v>Beacon.Put(112,0,1000000);</v>
      </c>
      <c r="I63" t="str">
        <f>"Beacon.Put(112,0,2"&amp;M電入力!$AB65&amp;");"</f>
        <v>Beacon.Put(112,0,2000000);</v>
      </c>
      <c r="J63" t="str">
        <f>"Beacon.Put(112,0,3"&amp;M電入力!$AB66&amp;");"</f>
        <v>Beacon.Put(112,0,3000000);</v>
      </c>
      <c r="K63" t="str">
        <f>"Beacon.Put(112,0,4"&amp;M電入力!$AB67&amp;");"</f>
        <v>Beacon.Put(112,0,4000000);</v>
      </c>
      <c r="L63" t="str">
        <f>"Beacon.Put(112,0,5"&amp;M電入力!$AB68&amp;");"</f>
        <v>Beacon.Put(112,0,5000000);</v>
      </c>
      <c r="M63" t="str">
        <f>"Beacon.Put(112,0,6"&amp;M電入力!$AB69&amp;");"</f>
        <v>Beacon.Put(112,0,6000000);</v>
      </c>
    </row>
    <row r="64" spans="1:13">
      <c r="A64" t="str">
        <f>M電入力!C65&amp;"+25;"</f>
        <v>+25;</v>
      </c>
      <c r="B64" t="str">
        <f>"Beacon.Put(111,0,1"&amp;M電入力!AA65&amp;");"</f>
        <v>Beacon.Put(111,0,1000000);</v>
      </c>
      <c r="C64" t="str">
        <f>"Beacon.Put(111,0,2"&amp;M電入力!$AA66&amp;");"</f>
        <v>Beacon.Put(111,0,2000000);</v>
      </c>
      <c r="D64" t="str">
        <f>"Beacon.Put(111,0,3"&amp;M電入力!$AA67&amp;");"</f>
        <v>Beacon.Put(111,0,3000000);</v>
      </c>
      <c r="E64" t="str">
        <f>"Beacon.Put(111,0,4"&amp;M電入力!$AA68&amp;");"</f>
        <v>Beacon.Put(111,0,4000000);</v>
      </c>
      <c r="F64" t="str">
        <f>"Beacon.Put(111,0,5"&amp;M電入力!$AA69&amp;");"</f>
        <v>Beacon.Put(111,0,5000000);</v>
      </c>
      <c r="G64" t="str">
        <f>"Beacon.Put(111,0,6"&amp;M電入力!$AA70&amp;");"</f>
        <v>Beacon.Put(111,0,6000000);</v>
      </c>
      <c r="H64" t="str">
        <f>"Beacon.Put(112,0,1"&amp;M電入力!$AB65&amp;");"</f>
        <v>Beacon.Put(112,0,1000000);</v>
      </c>
      <c r="I64" t="str">
        <f>"Beacon.Put(112,0,2"&amp;M電入力!$AB66&amp;");"</f>
        <v>Beacon.Put(112,0,2000000);</v>
      </c>
      <c r="J64" t="str">
        <f>"Beacon.Put(112,0,3"&amp;M電入力!$AB67&amp;");"</f>
        <v>Beacon.Put(112,0,3000000);</v>
      </c>
      <c r="K64" t="str">
        <f>"Beacon.Put(112,0,4"&amp;M電入力!$AB68&amp;");"</f>
        <v>Beacon.Put(112,0,4000000);</v>
      </c>
      <c r="L64" t="str">
        <f>"Beacon.Put(112,0,5"&amp;M電入力!$AB69&amp;");"</f>
        <v>Beacon.Put(112,0,5000000);</v>
      </c>
      <c r="M64" t="str">
        <f>"Beacon.Put(112,0,6"&amp;M電入力!$AB70&amp;");"</f>
        <v>Beacon.Put(112,0,6000000);</v>
      </c>
    </row>
    <row r="65" spans="1:13">
      <c r="A65" t="str">
        <f>M電入力!C66&amp;"+25;"</f>
        <v>+25;</v>
      </c>
      <c r="B65" t="str">
        <f>"Beacon.Put(111,0,1"&amp;M電入力!AA66&amp;");"</f>
        <v>Beacon.Put(111,0,1000000);</v>
      </c>
      <c r="C65" t="str">
        <f>"Beacon.Put(111,0,2"&amp;M電入力!$AA67&amp;");"</f>
        <v>Beacon.Put(111,0,2000000);</v>
      </c>
      <c r="D65" t="str">
        <f>"Beacon.Put(111,0,3"&amp;M電入力!$AA68&amp;");"</f>
        <v>Beacon.Put(111,0,3000000);</v>
      </c>
      <c r="E65" t="str">
        <f>"Beacon.Put(111,0,4"&amp;M電入力!$AA69&amp;");"</f>
        <v>Beacon.Put(111,0,4000000);</v>
      </c>
      <c r="F65" t="str">
        <f>"Beacon.Put(111,0,5"&amp;M電入力!$AA70&amp;");"</f>
        <v>Beacon.Put(111,0,5000000);</v>
      </c>
      <c r="G65" t="str">
        <f>"Beacon.Put(111,0,6"&amp;M電入力!$AA71&amp;");"</f>
        <v>Beacon.Put(111,0,6000000);</v>
      </c>
      <c r="H65" t="str">
        <f>"Beacon.Put(112,0,1"&amp;M電入力!$AB66&amp;");"</f>
        <v>Beacon.Put(112,0,1000000);</v>
      </c>
      <c r="I65" t="str">
        <f>"Beacon.Put(112,0,2"&amp;M電入力!$AB67&amp;");"</f>
        <v>Beacon.Put(112,0,2000000);</v>
      </c>
      <c r="J65" t="str">
        <f>"Beacon.Put(112,0,3"&amp;M電入力!$AB68&amp;");"</f>
        <v>Beacon.Put(112,0,3000000);</v>
      </c>
      <c r="K65" t="str">
        <f>"Beacon.Put(112,0,4"&amp;M電入力!$AB69&amp;");"</f>
        <v>Beacon.Put(112,0,4000000);</v>
      </c>
      <c r="L65" t="str">
        <f>"Beacon.Put(112,0,5"&amp;M電入力!$AB70&amp;");"</f>
        <v>Beacon.Put(112,0,5000000);</v>
      </c>
      <c r="M65" t="str">
        <f>"Beacon.Put(112,0,6"&amp;M電入力!$AB71&amp;");"</f>
        <v>Beacon.Put(112,0,6000000);</v>
      </c>
    </row>
    <row r="66" spans="1:13">
      <c r="A66" t="str">
        <f>M電入力!C67&amp;"+25;"</f>
        <v>+25;</v>
      </c>
      <c r="B66" t="str">
        <f>"Beacon.Put(111,0,1"&amp;M電入力!AA67&amp;");"</f>
        <v>Beacon.Put(111,0,1000000);</v>
      </c>
      <c r="C66" t="str">
        <f>"Beacon.Put(111,0,2"&amp;M電入力!$AA68&amp;");"</f>
        <v>Beacon.Put(111,0,2000000);</v>
      </c>
      <c r="D66" t="str">
        <f>"Beacon.Put(111,0,3"&amp;M電入力!$AA69&amp;");"</f>
        <v>Beacon.Put(111,0,3000000);</v>
      </c>
      <c r="E66" t="str">
        <f>"Beacon.Put(111,0,4"&amp;M電入力!$AA70&amp;");"</f>
        <v>Beacon.Put(111,0,4000000);</v>
      </c>
      <c r="F66" t="str">
        <f>"Beacon.Put(111,0,5"&amp;M電入力!$AA71&amp;");"</f>
        <v>Beacon.Put(111,0,5000000);</v>
      </c>
      <c r="G66" t="str">
        <f>"Beacon.Put(111,0,6"&amp;M電入力!$AA72&amp;");"</f>
        <v>Beacon.Put(111,0,6000000);</v>
      </c>
      <c r="H66" t="str">
        <f>"Beacon.Put(112,0,1"&amp;M電入力!$AB67&amp;");"</f>
        <v>Beacon.Put(112,0,1000000);</v>
      </c>
      <c r="I66" t="str">
        <f>"Beacon.Put(112,0,2"&amp;M電入力!$AB68&amp;");"</f>
        <v>Beacon.Put(112,0,2000000);</v>
      </c>
      <c r="J66" t="str">
        <f>"Beacon.Put(112,0,3"&amp;M電入力!$AB69&amp;");"</f>
        <v>Beacon.Put(112,0,3000000);</v>
      </c>
      <c r="K66" t="str">
        <f>"Beacon.Put(112,0,4"&amp;M電入力!$AB70&amp;");"</f>
        <v>Beacon.Put(112,0,4000000);</v>
      </c>
      <c r="L66" t="str">
        <f>"Beacon.Put(112,0,5"&amp;M電入力!$AB71&amp;");"</f>
        <v>Beacon.Put(112,0,5000000);</v>
      </c>
      <c r="M66" t="str">
        <f>"Beacon.Put(112,0,6"&amp;M電入力!$AB72&amp;");"</f>
        <v>Beacon.Put(112,0,6000000);</v>
      </c>
    </row>
    <row r="67" spans="1:13">
      <c r="A67" t="str">
        <f>M電入力!C68&amp;"+25;"</f>
        <v>+25;</v>
      </c>
      <c r="B67" t="str">
        <f>"Beacon.Put(111,0,1"&amp;M電入力!AA68&amp;");"</f>
        <v>Beacon.Put(111,0,1000000);</v>
      </c>
      <c r="C67" t="str">
        <f>"Beacon.Put(111,0,2"&amp;M電入力!$AA69&amp;");"</f>
        <v>Beacon.Put(111,0,2000000);</v>
      </c>
      <c r="D67" t="str">
        <f>"Beacon.Put(111,0,3"&amp;M電入力!$AA70&amp;");"</f>
        <v>Beacon.Put(111,0,3000000);</v>
      </c>
      <c r="E67" t="str">
        <f>"Beacon.Put(111,0,4"&amp;M電入力!$AA71&amp;");"</f>
        <v>Beacon.Put(111,0,4000000);</v>
      </c>
      <c r="F67" t="str">
        <f>"Beacon.Put(111,0,5"&amp;M電入力!$AA72&amp;");"</f>
        <v>Beacon.Put(111,0,5000000);</v>
      </c>
      <c r="G67" t="str">
        <f>"Beacon.Put(111,0,6"&amp;M電入力!$AA73&amp;");"</f>
        <v>Beacon.Put(111,0,6000000);</v>
      </c>
      <c r="H67" t="str">
        <f>"Beacon.Put(112,0,1"&amp;M電入力!$AB68&amp;");"</f>
        <v>Beacon.Put(112,0,1000000);</v>
      </c>
      <c r="I67" t="str">
        <f>"Beacon.Put(112,0,2"&amp;M電入力!$AB69&amp;");"</f>
        <v>Beacon.Put(112,0,2000000);</v>
      </c>
      <c r="J67" t="str">
        <f>"Beacon.Put(112,0,3"&amp;M電入力!$AB70&amp;");"</f>
        <v>Beacon.Put(112,0,3000000);</v>
      </c>
      <c r="K67" t="str">
        <f>"Beacon.Put(112,0,4"&amp;M電入力!$AB71&amp;");"</f>
        <v>Beacon.Put(112,0,4000000);</v>
      </c>
      <c r="L67" t="str">
        <f>"Beacon.Put(112,0,5"&amp;M電入力!$AB72&amp;");"</f>
        <v>Beacon.Put(112,0,5000000);</v>
      </c>
      <c r="M67" t="str">
        <f>"Beacon.Put(112,0,6"&amp;M電入力!$AB73&amp;");"</f>
        <v>Beacon.Put(112,0,6000000);</v>
      </c>
    </row>
    <row r="68" spans="1:13">
      <c r="A68" t="str">
        <f>M電入力!C69&amp;"+25;"</f>
        <v>+25;</v>
      </c>
      <c r="B68" t="str">
        <f>"Beacon.Put(111,0,1"&amp;M電入力!AA69&amp;");"</f>
        <v>Beacon.Put(111,0,1000000);</v>
      </c>
      <c r="C68" t="str">
        <f>"Beacon.Put(111,0,2"&amp;M電入力!$AA70&amp;");"</f>
        <v>Beacon.Put(111,0,2000000);</v>
      </c>
      <c r="D68" t="str">
        <f>"Beacon.Put(111,0,3"&amp;M電入力!$AA71&amp;");"</f>
        <v>Beacon.Put(111,0,3000000);</v>
      </c>
      <c r="E68" t="str">
        <f>"Beacon.Put(111,0,4"&amp;M電入力!$AA72&amp;");"</f>
        <v>Beacon.Put(111,0,4000000);</v>
      </c>
      <c r="F68" t="str">
        <f>"Beacon.Put(111,0,5"&amp;M電入力!$AA73&amp;");"</f>
        <v>Beacon.Put(111,0,5000000);</v>
      </c>
      <c r="G68" t="str">
        <f>"Beacon.Put(111,0,6"&amp;M電入力!$AA74&amp;");"</f>
        <v>Beacon.Put(111,0,6000000);</v>
      </c>
      <c r="H68" t="str">
        <f>"Beacon.Put(112,0,1"&amp;M電入力!$AB69&amp;");"</f>
        <v>Beacon.Put(112,0,1000000);</v>
      </c>
      <c r="I68" t="str">
        <f>"Beacon.Put(112,0,2"&amp;M電入力!$AB70&amp;");"</f>
        <v>Beacon.Put(112,0,2000000);</v>
      </c>
      <c r="J68" t="str">
        <f>"Beacon.Put(112,0,3"&amp;M電入力!$AB71&amp;");"</f>
        <v>Beacon.Put(112,0,3000000);</v>
      </c>
      <c r="K68" t="str">
        <f>"Beacon.Put(112,0,4"&amp;M電入力!$AB72&amp;");"</f>
        <v>Beacon.Put(112,0,4000000);</v>
      </c>
      <c r="L68" t="str">
        <f>"Beacon.Put(112,0,5"&amp;M電入力!$AB73&amp;");"</f>
        <v>Beacon.Put(112,0,5000000);</v>
      </c>
      <c r="M68" t="str">
        <f>"Beacon.Put(112,0,6"&amp;M電入力!$AB74&amp;");"</f>
        <v>Beacon.Put(112,0,6000000);</v>
      </c>
    </row>
    <row r="69" spans="1:13">
      <c r="A69" t="str">
        <f>M電入力!C70&amp;"+25;"</f>
        <v>+25;</v>
      </c>
      <c r="B69" t="str">
        <f>"Beacon.Put(111,0,1"&amp;M電入力!AA70&amp;");"</f>
        <v>Beacon.Put(111,0,1000000);</v>
      </c>
      <c r="C69" t="str">
        <f>"Beacon.Put(111,0,2"&amp;M電入力!$AA71&amp;");"</f>
        <v>Beacon.Put(111,0,2000000);</v>
      </c>
      <c r="D69" t="str">
        <f>"Beacon.Put(111,0,3"&amp;M電入力!$AA72&amp;");"</f>
        <v>Beacon.Put(111,0,3000000);</v>
      </c>
      <c r="E69" t="str">
        <f>"Beacon.Put(111,0,4"&amp;M電入力!$AA73&amp;");"</f>
        <v>Beacon.Put(111,0,4000000);</v>
      </c>
      <c r="F69" t="str">
        <f>"Beacon.Put(111,0,5"&amp;M電入力!$AA74&amp;");"</f>
        <v>Beacon.Put(111,0,5000000);</v>
      </c>
      <c r="G69" t="str">
        <f>"Beacon.Put(111,0,6"&amp;M電入力!$AA75&amp;");"</f>
        <v>Beacon.Put(111,0,6000000);</v>
      </c>
      <c r="H69" t="str">
        <f>"Beacon.Put(112,0,1"&amp;M電入力!$AB70&amp;");"</f>
        <v>Beacon.Put(112,0,1000000);</v>
      </c>
      <c r="I69" t="str">
        <f>"Beacon.Put(112,0,2"&amp;M電入力!$AB71&amp;");"</f>
        <v>Beacon.Put(112,0,2000000);</v>
      </c>
      <c r="J69" t="str">
        <f>"Beacon.Put(112,0,3"&amp;M電入力!$AB72&amp;");"</f>
        <v>Beacon.Put(112,0,3000000);</v>
      </c>
      <c r="K69" t="str">
        <f>"Beacon.Put(112,0,4"&amp;M電入力!$AB73&amp;");"</f>
        <v>Beacon.Put(112,0,4000000);</v>
      </c>
      <c r="L69" t="str">
        <f>"Beacon.Put(112,0,5"&amp;M電入力!$AB74&amp;");"</f>
        <v>Beacon.Put(112,0,5000000);</v>
      </c>
      <c r="M69" t="str">
        <f>"Beacon.Put(112,0,6"&amp;M電入力!$AB75&amp;");"</f>
        <v>Beacon.Put(112,0,6000000);</v>
      </c>
    </row>
    <row r="70" spans="1:13">
      <c r="A70" t="str">
        <f>M電入力!C71&amp;"+25;"</f>
        <v>+25;</v>
      </c>
      <c r="B70" t="str">
        <f>"Beacon.Put(111,0,1"&amp;M電入力!AA71&amp;");"</f>
        <v>Beacon.Put(111,0,1000000);</v>
      </c>
      <c r="C70" t="str">
        <f>"Beacon.Put(111,0,2"&amp;M電入力!$AA72&amp;");"</f>
        <v>Beacon.Put(111,0,2000000);</v>
      </c>
      <c r="D70" t="str">
        <f>"Beacon.Put(111,0,3"&amp;M電入力!$AA73&amp;");"</f>
        <v>Beacon.Put(111,0,3000000);</v>
      </c>
      <c r="E70" t="str">
        <f>"Beacon.Put(111,0,4"&amp;M電入力!$AA74&amp;");"</f>
        <v>Beacon.Put(111,0,4000000);</v>
      </c>
      <c r="F70" t="str">
        <f>"Beacon.Put(111,0,5"&amp;M電入力!$AA75&amp;");"</f>
        <v>Beacon.Put(111,0,5000000);</v>
      </c>
      <c r="G70" t="str">
        <f>"Beacon.Put(111,0,6"&amp;M電入力!$AA76&amp;");"</f>
        <v>Beacon.Put(111,0,6000000);</v>
      </c>
      <c r="H70" t="str">
        <f>"Beacon.Put(112,0,1"&amp;M電入力!$AB71&amp;");"</f>
        <v>Beacon.Put(112,0,1000000);</v>
      </c>
      <c r="I70" t="str">
        <f>"Beacon.Put(112,0,2"&amp;M電入力!$AB72&amp;");"</f>
        <v>Beacon.Put(112,0,2000000);</v>
      </c>
      <c r="J70" t="str">
        <f>"Beacon.Put(112,0,3"&amp;M電入力!$AB73&amp;");"</f>
        <v>Beacon.Put(112,0,3000000);</v>
      </c>
      <c r="K70" t="str">
        <f>"Beacon.Put(112,0,4"&amp;M電入力!$AB74&amp;");"</f>
        <v>Beacon.Put(112,0,4000000);</v>
      </c>
      <c r="L70" t="str">
        <f>"Beacon.Put(112,0,5"&amp;M電入力!$AB75&amp;");"</f>
        <v>Beacon.Put(112,0,5000000);</v>
      </c>
      <c r="M70" t="str">
        <f>"Beacon.Put(112,0,6"&amp;M電入力!$AB76&amp;");"</f>
        <v>Beacon.Put(112,0,6000000);</v>
      </c>
    </row>
    <row r="71" spans="1:13">
      <c r="A71" t="str">
        <f>M電入力!C72&amp;"+25;"</f>
        <v>+25;</v>
      </c>
      <c r="B71" t="str">
        <f>"Beacon.Put(111,0,1"&amp;M電入力!AA72&amp;");"</f>
        <v>Beacon.Put(111,0,1000000);</v>
      </c>
      <c r="C71" t="str">
        <f>"Beacon.Put(111,0,2"&amp;M電入力!$AA73&amp;");"</f>
        <v>Beacon.Put(111,0,2000000);</v>
      </c>
      <c r="D71" t="str">
        <f>"Beacon.Put(111,0,3"&amp;M電入力!$AA74&amp;");"</f>
        <v>Beacon.Put(111,0,3000000);</v>
      </c>
      <c r="E71" t="str">
        <f>"Beacon.Put(111,0,4"&amp;M電入力!$AA75&amp;");"</f>
        <v>Beacon.Put(111,0,4000000);</v>
      </c>
      <c r="F71" t="str">
        <f>"Beacon.Put(111,0,5"&amp;M電入力!$AA76&amp;");"</f>
        <v>Beacon.Put(111,0,5000000);</v>
      </c>
      <c r="G71" t="str">
        <f>"Beacon.Put(111,0,6"&amp;M電入力!$AA77&amp;");"</f>
        <v>Beacon.Put(111,0,6000000);</v>
      </c>
      <c r="H71" t="str">
        <f>"Beacon.Put(112,0,1"&amp;M電入力!$AB72&amp;");"</f>
        <v>Beacon.Put(112,0,1000000);</v>
      </c>
      <c r="I71" t="str">
        <f>"Beacon.Put(112,0,2"&amp;M電入力!$AB73&amp;");"</f>
        <v>Beacon.Put(112,0,2000000);</v>
      </c>
      <c r="J71" t="str">
        <f>"Beacon.Put(112,0,3"&amp;M電入力!$AB74&amp;");"</f>
        <v>Beacon.Put(112,0,3000000);</v>
      </c>
      <c r="K71" t="str">
        <f>"Beacon.Put(112,0,4"&amp;M電入力!$AB75&amp;");"</f>
        <v>Beacon.Put(112,0,4000000);</v>
      </c>
      <c r="L71" t="str">
        <f>"Beacon.Put(112,0,5"&amp;M電入力!$AB76&amp;");"</f>
        <v>Beacon.Put(112,0,5000000);</v>
      </c>
      <c r="M71" t="str">
        <f>"Beacon.Put(112,0,6"&amp;M電入力!$AB77&amp;");"</f>
        <v>Beacon.Put(112,0,6000000);</v>
      </c>
    </row>
    <row r="72" spans="1:13">
      <c r="A72" t="str">
        <f>M電入力!C73&amp;"+25;"</f>
        <v>+25;</v>
      </c>
      <c r="B72" t="str">
        <f>"Beacon.Put(111,0,1"&amp;M電入力!AA73&amp;");"</f>
        <v>Beacon.Put(111,0,1000000);</v>
      </c>
      <c r="C72" t="str">
        <f>"Beacon.Put(111,0,2"&amp;M電入力!$AA74&amp;");"</f>
        <v>Beacon.Put(111,0,2000000);</v>
      </c>
      <c r="D72" t="str">
        <f>"Beacon.Put(111,0,3"&amp;M電入力!$AA75&amp;");"</f>
        <v>Beacon.Put(111,0,3000000);</v>
      </c>
      <c r="E72" t="str">
        <f>"Beacon.Put(111,0,4"&amp;M電入力!$AA76&amp;");"</f>
        <v>Beacon.Put(111,0,4000000);</v>
      </c>
      <c r="F72" t="str">
        <f>"Beacon.Put(111,0,5"&amp;M電入力!$AA77&amp;");"</f>
        <v>Beacon.Put(111,0,5000000);</v>
      </c>
      <c r="G72" t="str">
        <f>"Beacon.Put(111,0,6"&amp;M電入力!$AA78&amp;");"</f>
        <v>Beacon.Put(111,0,6000000);</v>
      </c>
      <c r="H72" t="str">
        <f>"Beacon.Put(112,0,1"&amp;M電入力!$AB73&amp;");"</f>
        <v>Beacon.Put(112,0,1000000);</v>
      </c>
      <c r="I72" t="str">
        <f>"Beacon.Put(112,0,2"&amp;M電入力!$AB74&amp;");"</f>
        <v>Beacon.Put(112,0,2000000);</v>
      </c>
      <c r="J72" t="str">
        <f>"Beacon.Put(112,0,3"&amp;M電入力!$AB75&amp;");"</f>
        <v>Beacon.Put(112,0,3000000);</v>
      </c>
      <c r="K72" t="str">
        <f>"Beacon.Put(112,0,4"&amp;M電入力!$AB76&amp;");"</f>
        <v>Beacon.Put(112,0,4000000);</v>
      </c>
      <c r="L72" t="str">
        <f>"Beacon.Put(112,0,5"&amp;M電入力!$AB77&amp;");"</f>
        <v>Beacon.Put(112,0,5000000);</v>
      </c>
      <c r="M72" t="str">
        <f>"Beacon.Put(112,0,6"&amp;M電入力!$AB78&amp;");"</f>
        <v>Beacon.Put(112,0,6000000);</v>
      </c>
    </row>
    <row r="73" spans="1:13">
      <c r="A73" t="str">
        <f>M電入力!C74&amp;"+25;"</f>
        <v>+25;</v>
      </c>
      <c r="B73" t="str">
        <f>"Beacon.Put(111,0,1"&amp;M電入力!AA74&amp;");"</f>
        <v>Beacon.Put(111,0,1000000);</v>
      </c>
      <c r="C73" t="str">
        <f>"Beacon.Put(111,0,2"&amp;M電入力!$AA75&amp;");"</f>
        <v>Beacon.Put(111,0,2000000);</v>
      </c>
      <c r="D73" t="str">
        <f>"Beacon.Put(111,0,3"&amp;M電入力!$AA76&amp;");"</f>
        <v>Beacon.Put(111,0,3000000);</v>
      </c>
      <c r="E73" t="str">
        <f>"Beacon.Put(111,0,4"&amp;M電入力!$AA77&amp;");"</f>
        <v>Beacon.Put(111,0,4000000);</v>
      </c>
      <c r="F73" t="str">
        <f>"Beacon.Put(111,0,5"&amp;M電入力!$AA78&amp;");"</f>
        <v>Beacon.Put(111,0,5000000);</v>
      </c>
      <c r="G73" t="str">
        <f>"Beacon.Put(111,0,6"&amp;M電入力!$AA79&amp;");"</f>
        <v>Beacon.Put(111,0,6000000);</v>
      </c>
      <c r="H73" t="str">
        <f>"Beacon.Put(112,0,1"&amp;M電入力!$AB74&amp;");"</f>
        <v>Beacon.Put(112,0,1000000);</v>
      </c>
      <c r="I73" t="str">
        <f>"Beacon.Put(112,0,2"&amp;M電入力!$AB75&amp;");"</f>
        <v>Beacon.Put(112,0,2000000);</v>
      </c>
      <c r="J73" t="str">
        <f>"Beacon.Put(112,0,3"&amp;M電入力!$AB76&amp;");"</f>
        <v>Beacon.Put(112,0,3000000);</v>
      </c>
      <c r="K73" t="str">
        <f>"Beacon.Put(112,0,4"&amp;M電入力!$AB77&amp;");"</f>
        <v>Beacon.Put(112,0,4000000);</v>
      </c>
      <c r="L73" t="str">
        <f>"Beacon.Put(112,0,5"&amp;M電入力!$AB78&amp;");"</f>
        <v>Beacon.Put(112,0,5000000);</v>
      </c>
      <c r="M73" t="str">
        <f>"Beacon.Put(112,0,6"&amp;M電入力!$AB79&amp;");"</f>
        <v>Beacon.Put(112,0,6000000);</v>
      </c>
    </row>
    <row r="74" spans="1:13">
      <c r="A74" t="str">
        <f>M電入力!C75&amp;"+25;"</f>
        <v>+25;</v>
      </c>
      <c r="B74" t="str">
        <f>"Beacon.Put(111,0,1"&amp;M電入力!AA75&amp;");"</f>
        <v>Beacon.Put(111,0,1000000);</v>
      </c>
      <c r="C74" t="str">
        <f>"Beacon.Put(111,0,2"&amp;M電入力!$AA76&amp;");"</f>
        <v>Beacon.Put(111,0,2000000);</v>
      </c>
      <c r="D74" t="str">
        <f>"Beacon.Put(111,0,3"&amp;M電入力!$AA77&amp;");"</f>
        <v>Beacon.Put(111,0,3000000);</v>
      </c>
      <c r="E74" t="str">
        <f>"Beacon.Put(111,0,4"&amp;M電入力!$AA78&amp;");"</f>
        <v>Beacon.Put(111,0,4000000);</v>
      </c>
      <c r="F74" t="str">
        <f>"Beacon.Put(111,0,5"&amp;M電入力!$AA79&amp;");"</f>
        <v>Beacon.Put(111,0,5000000);</v>
      </c>
      <c r="G74" t="str">
        <f>"Beacon.Put(111,0,6"&amp;M電入力!$AA80&amp;");"</f>
        <v>Beacon.Put(111,0,6000000);</v>
      </c>
      <c r="H74" t="str">
        <f>"Beacon.Put(112,0,1"&amp;M電入力!$AB75&amp;");"</f>
        <v>Beacon.Put(112,0,1000000);</v>
      </c>
      <c r="I74" t="str">
        <f>"Beacon.Put(112,0,2"&amp;M電入力!$AB76&amp;");"</f>
        <v>Beacon.Put(112,0,2000000);</v>
      </c>
      <c r="J74" t="str">
        <f>"Beacon.Put(112,0,3"&amp;M電入力!$AB77&amp;");"</f>
        <v>Beacon.Put(112,0,3000000);</v>
      </c>
      <c r="K74" t="str">
        <f>"Beacon.Put(112,0,4"&amp;M電入力!$AB78&amp;");"</f>
        <v>Beacon.Put(112,0,4000000);</v>
      </c>
      <c r="L74" t="str">
        <f>"Beacon.Put(112,0,5"&amp;M電入力!$AB79&amp;");"</f>
        <v>Beacon.Put(112,0,5000000);</v>
      </c>
      <c r="M74" t="str">
        <f>"Beacon.Put(112,0,6"&amp;M電入力!$AB80&amp;");"</f>
        <v>Beacon.Put(112,0,6000000);</v>
      </c>
    </row>
    <row r="75" spans="1:13">
      <c r="A75" t="str">
        <f>M電入力!C76&amp;"+25;"</f>
        <v>+25;</v>
      </c>
      <c r="B75" t="str">
        <f>"Beacon.Put(111,0,1"&amp;M電入力!AA76&amp;");"</f>
        <v>Beacon.Put(111,0,1000000);</v>
      </c>
      <c r="C75" t="str">
        <f>"Beacon.Put(111,0,2"&amp;M電入力!$AA77&amp;");"</f>
        <v>Beacon.Put(111,0,2000000);</v>
      </c>
      <c r="D75" t="str">
        <f>"Beacon.Put(111,0,3"&amp;M電入力!$AA78&amp;");"</f>
        <v>Beacon.Put(111,0,3000000);</v>
      </c>
      <c r="E75" t="str">
        <f>"Beacon.Put(111,0,4"&amp;M電入力!$AA79&amp;");"</f>
        <v>Beacon.Put(111,0,4000000);</v>
      </c>
      <c r="F75" t="str">
        <f>"Beacon.Put(111,0,5"&amp;M電入力!$AA80&amp;");"</f>
        <v>Beacon.Put(111,0,5000000);</v>
      </c>
      <c r="G75" t="str">
        <f>"Beacon.Put(111,0,6"&amp;M電入力!$AA81&amp;");"</f>
        <v>Beacon.Put(111,0,6000000);</v>
      </c>
      <c r="H75" t="str">
        <f>"Beacon.Put(112,0,1"&amp;M電入力!$AB76&amp;");"</f>
        <v>Beacon.Put(112,0,1000000);</v>
      </c>
      <c r="I75" t="str">
        <f>"Beacon.Put(112,0,2"&amp;M電入力!$AB77&amp;");"</f>
        <v>Beacon.Put(112,0,2000000);</v>
      </c>
      <c r="J75" t="str">
        <f>"Beacon.Put(112,0,3"&amp;M電入力!$AB78&amp;");"</f>
        <v>Beacon.Put(112,0,3000000);</v>
      </c>
      <c r="K75" t="str">
        <f>"Beacon.Put(112,0,4"&amp;M電入力!$AB79&amp;");"</f>
        <v>Beacon.Put(112,0,4000000);</v>
      </c>
      <c r="L75" t="str">
        <f>"Beacon.Put(112,0,5"&amp;M電入力!$AB80&amp;");"</f>
        <v>Beacon.Put(112,0,5000000);</v>
      </c>
      <c r="M75" t="str">
        <f>"Beacon.Put(112,0,6"&amp;M電入力!$AB81&amp;");"</f>
        <v>Beacon.Put(112,0,6000000);</v>
      </c>
    </row>
    <row r="76" spans="1:13">
      <c r="A76" t="str">
        <f>M電入力!C77&amp;"+25;"</f>
        <v>+25;</v>
      </c>
      <c r="B76" t="str">
        <f>"Beacon.Put(111,0,1"&amp;M電入力!AA77&amp;");"</f>
        <v>Beacon.Put(111,0,1000000);</v>
      </c>
      <c r="C76" t="str">
        <f>"Beacon.Put(111,0,2"&amp;M電入力!$AA78&amp;");"</f>
        <v>Beacon.Put(111,0,2000000);</v>
      </c>
      <c r="D76" t="str">
        <f>"Beacon.Put(111,0,3"&amp;M電入力!$AA79&amp;");"</f>
        <v>Beacon.Put(111,0,3000000);</v>
      </c>
      <c r="E76" t="str">
        <f>"Beacon.Put(111,0,4"&amp;M電入力!$AA80&amp;");"</f>
        <v>Beacon.Put(111,0,4000000);</v>
      </c>
      <c r="F76" t="str">
        <f>"Beacon.Put(111,0,5"&amp;M電入力!$AA81&amp;");"</f>
        <v>Beacon.Put(111,0,5000000);</v>
      </c>
      <c r="G76" t="str">
        <f>"Beacon.Put(111,0,6"&amp;M電入力!$AA82&amp;");"</f>
        <v>Beacon.Put(111,0,6000000);</v>
      </c>
      <c r="H76" t="str">
        <f>"Beacon.Put(112,0,1"&amp;M電入力!$AB77&amp;");"</f>
        <v>Beacon.Put(112,0,1000000);</v>
      </c>
      <c r="I76" t="str">
        <f>"Beacon.Put(112,0,2"&amp;M電入力!$AB78&amp;");"</f>
        <v>Beacon.Put(112,0,2000000);</v>
      </c>
      <c r="J76" t="str">
        <f>"Beacon.Put(112,0,3"&amp;M電入力!$AB79&amp;");"</f>
        <v>Beacon.Put(112,0,3000000);</v>
      </c>
      <c r="K76" t="str">
        <f>"Beacon.Put(112,0,4"&amp;M電入力!$AB80&amp;");"</f>
        <v>Beacon.Put(112,0,4000000);</v>
      </c>
      <c r="L76" t="str">
        <f>"Beacon.Put(112,0,5"&amp;M電入力!$AB81&amp;");"</f>
        <v>Beacon.Put(112,0,5000000);</v>
      </c>
      <c r="M76" t="str">
        <f>"Beacon.Put(112,0,6"&amp;M電入力!$AB82&amp;");"</f>
        <v>Beacon.Put(112,0,6000000);</v>
      </c>
    </row>
    <row r="77" spans="1:13">
      <c r="A77" t="str">
        <f>M電入力!C78&amp;"+25;"</f>
        <v>+25;</v>
      </c>
      <c r="B77" t="str">
        <f>"Beacon.Put(111,0,1"&amp;M電入力!AA78&amp;");"</f>
        <v>Beacon.Put(111,0,1000000);</v>
      </c>
      <c r="C77" t="str">
        <f>"Beacon.Put(111,0,2"&amp;M電入力!$AA79&amp;");"</f>
        <v>Beacon.Put(111,0,2000000);</v>
      </c>
      <c r="D77" t="str">
        <f>"Beacon.Put(111,0,3"&amp;M電入力!$AA80&amp;");"</f>
        <v>Beacon.Put(111,0,3000000);</v>
      </c>
      <c r="E77" t="str">
        <f>"Beacon.Put(111,0,4"&amp;M電入力!$AA81&amp;");"</f>
        <v>Beacon.Put(111,0,4000000);</v>
      </c>
      <c r="F77" t="str">
        <f>"Beacon.Put(111,0,5"&amp;M電入力!$AA82&amp;");"</f>
        <v>Beacon.Put(111,0,5000000);</v>
      </c>
      <c r="G77" t="str">
        <f>"Beacon.Put(111,0,6"&amp;M電入力!$AA83&amp;");"</f>
        <v>Beacon.Put(111,0,6000000);</v>
      </c>
      <c r="H77" t="str">
        <f>"Beacon.Put(112,0,1"&amp;M電入力!$AB78&amp;");"</f>
        <v>Beacon.Put(112,0,1000000);</v>
      </c>
      <c r="I77" t="str">
        <f>"Beacon.Put(112,0,2"&amp;M電入力!$AB79&amp;");"</f>
        <v>Beacon.Put(112,0,2000000);</v>
      </c>
      <c r="J77" t="str">
        <f>"Beacon.Put(112,0,3"&amp;M電入力!$AB80&amp;");"</f>
        <v>Beacon.Put(112,0,3000000);</v>
      </c>
      <c r="K77" t="str">
        <f>"Beacon.Put(112,0,4"&amp;M電入力!$AB81&amp;");"</f>
        <v>Beacon.Put(112,0,4000000);</v>
      </c>
      <c r="L77" t="str">
        <f>"Beacon.Put(112,0,5"&amp;M電入力!$AB82&amp;");"</f>
        <v>Beacon.Put(112,0,5000000);</v>
      </c>
      <c r="M77" t="str">
        <f>"Beacon.Put(112,0,6"&amp;M電入力!$AB83&amp;");"</f>
        <v>Beacon.Put(112,0,6000000);</v>
      </c>
    </row>
    <row r="78" spans="1:13">
      <c r="A78" t="str">
        <f>M電入力!C79&amp;"+25;"</f>
        <v>+25;</v>
      </c>
      <c r="B78" t="str">
        <f>"Beacon.Put(111,0,1"&amp;M電入力!AA79&amp;");"</f>
        <v>Beacon.Put(111,0,1000000);</v>
      </c>
      <c r="C78" t="str">
        <f>"Beacon.Put(111,0,2"&amp;M電入力!$AA80&amp;");"</f>
        <v>Beacon.Put(111,0,2000000);</v>
      </c>
      <c r="D78" t="str">
        <f>"Beacon.Put(111,0,3"&amp;M電入力!$AA81&amp;");"</f>
        <v>Beacon.Put(111,0,3000000);</v>
      </c>
      <c r="E78" t="str">
        <f>"Beacon.Put(111,0,4"&amp;M電入力!$AA82&amp;");"</f>
        <v>Beacon.Put(111,0,4000000);</v>
      </c>
      <c r="F78" t="str">
        <f>"Beacon.Put(111,0,5"&amp;M電入力!$AA83&amp;");"</f>
        <v>Beacon.Put(111,0,5000000);</v>
      </c>
      <c r="G78" t="str">
        <f>"Beacon.Put(111,0,6"&amp;M電入力!$AA84&amp;");"</f>
        <v>Beacon.Put(111,0,6000000);</v>
      </c>
      <c r="H78" t="str">
        <f>"Beacon.Put(112,0,1"&amp;M電入力!$AB79&amp;");"</f>
        <v>Beacon.Put(112,0,1000000);</v>
      </c>
      <c r="I78" t="str">
        <f>"Beacon.Put(112,0,2"&amp;M電入力!$AB80&amp;");"</f>
        <v>Beacon.Put(112,0,2000000);</v>
      </c>
      <c r="J78" t="str">
        <f>"Beacon.Put(112,0,3"&amp;M電入力!$AB81&amp;");"</f>
        <v>Beacon.Put(112,0,3000000);</v>
      </c>
      <c r="K78" t="str">
        <f>"Beacon.Put(112,0,4"&amp;M電入力!$AB82&amp;");"</f>
        <v>Beacon.Put(112,0,4000000);</v>
      </c>
      <c r="L78" t="str">
        <f>"Beacon.Put(112,0,5"&amp;M電入力!$AB83&amp;");"</f>
        <v>Beacon.Put(112,0,5000000);</v>
      </c>
      <c r="M78" t="str">
        <f>"Beacon.Put(112,0,6"&amp;M電入力!$AB84&amp;");"</f>
        <v>Beacon.Put(112,0,6000000);</v>
      </c>
    </row>
    <row r="79" spans="1:13">
      <c r="A79" t="str">
        <f>M電入力!C80&amp;"+25;"</f>
        <v>+25;</v>
      </c>
      <c r="B79" t="str">
        <f>"Beacon.Put(111,0,1"&amp;M電入力!AA80&amp;");"</f>
        <v>Beacon.Put(111,0,1000000);</v>
      </c>
      <c r="C79" t="str">
        <f>"Beacon.Put(111,0,2"&amp;M電入力!$AA81&amp;");"</f>
        <v>Beacon.Put(111,0,2000000);</v>
      </c>
      <c r="D79" t="str">
        <f>"Beacon.Put(111,0,3"&amp;M電入力!$AA82&amp;");"</f>
        <v>Beacon.Put(111,0,3000000);</v>
      </c>
      <c r="E79" t="str">
        <f>"Beacon.Put(111,0,4"&amp;M電入力!$AA83&amp;");"</f>
        <v>Beacon.Put(111,0,4000000);</v>
      </c>
      <c r="F79" t="str">
        <f>"Beacon.Put(111,0,5"&amp;M電入力!$AA84&amp;");"</f>
        <v>Beacon.Put(111,0,5000000);</v>
      </c>
      <c r="G79" t="str">
        <f>"Beacon.Put(111,0,6"&amp;M電入力!$AA85&amp;");"</f>
        <v>Beacon.Put(111,0,6000000);</v>
      </c>
      <c r="H79" t="str">
        <f>"Beacon.Put(112,0,1"&amp;M電入力!$AB80&amp;");"</f>
        <v>Beacon.Put(112,0,1000000);</v>
      </c>
      <c r="I79" t="str">
        <f>"Beacon.Put(112,0,2"&amp;M電入力!$AB81&amp;");"</f>
        <v>Beacon.Put(112,0,2000000);</v>
      </c>
      <c r="J79" t="str">
        <f>"Beacon.Put(112,0,3"&amp;M電入力!$AB82&amp;");"</f>
        <v>Beacon.Put(112,0,3000000);</v>
      </c>
      <c r="K79" t="str">
        <f>"Beacon.Put(112,0,4"&amp;M電入力!$AB83&amp;");"</f>
        <v>Beacon.Put(112,0,4000000);</v>
      </c>
      <c r="L79" t="str">
        <f>"Beacon.Put(112,0,5"&amp;M電入力!$AB84&amp;");"</f>
        <v>Beacon.Put(112,0,5000000);</v>
      </c>
      <c r="M79" t="str">
        <f>"Beacon.Put(112,0,6"&amp;M電入力!$AB85&amp;");"</f>
        <v>Beacon.Put(112,0,6000000);</v>
      </c>
    </row>
    <row r="80" spans="1:13">
      <c r="A80" t="str">
        <f>M電入力!C81&amp;"+25;"</f>
        <v>+25;</v>
      </c>
      <c r="B80" t="str">
        <f>"Beacon.Put(111,0,1"&amp;M電入力!AA81&amp;");"</f>
        <v>Beacon.Put(111,0,1000000);</v>
      </c>
      <c r="C80" t="str">
        <f>"Beacon.Put(111,0,2"&amp;M電入力!$AA82&amp;");"</f>
        <v>Beacon.Put(111,0,2000000);</v>
      </c>
      <c r="D80" t="str">
        <f>"Beacon.Put(111,0,3"&amp;M電入力!$AA83&amp;");"</f>
        <v>Beacon.Put(111,0,3000000);</v>
      </c>
      <c r="E80" t="str">
        <f>"Beacon.Put(111,0,4"&amp;M電入力!$AA84&amp;");"</f>
        <v>Beacon.Put(111,0,4000000);</v>
      </c>
      <c r="F80" t="str">
        <f>"Beacon.Put(111,0,5"&amp;M電入力!$AA85&amp;");"</f>
        <v>Beacon.Put(111,0,5000000);</v>
      </c>
      <c r="G80" t="str">
        <f>"Beacon.Put(111,0,6"&amp;M電入力!$AA86&amp;");"</f>
        <v>Beacon.Put(111,0,6000000);</v>
      </c>
      <c r="H80" t="str">
        <f>"Beacon.Put(112,0,1"&amp;M電入力!$AB81&amp;");"</f>
        <v>Beacon.Put(112,0,1000000);</v>
      </c>
      <c r="I80" t="str">
        <f>"Beacon.Put(112,0,2"&amp;M電入力!$AB82&amp;");"</f>
        <v>Beacon.Put(112,0,2000000);</v>
      </c>
      <c r="J80" t="str">
        <f>"Beacon.Put(112,0,3"&amp;M電入力!$AB83&amp;");"</f>
        <v>Beacon.Put(112,0,3000000);</v>
      </c>
      <c r="K80" t="str">
        <f>"Beacon.Put(112,0,4"&amp;M電入力!$AB84&amp;");"</f>
        <v>Beacon.Put(112,0,4000000);</v>
      </c>
      <c r="L80" t="str">
        <f>"Beacon.Put(112,0,5"&amp;M電入力!$AB85&amp;");"</f>
        <v>Beacon.Put(112,0,5000000);</v>
      </c>
      <c r="M80" t="str">
        <f>"Beacon.Put(112,0,6"&amp;M電入力!$AB86&amp;");"</f>
        <v>Beacon.Put(112,0,6000000);</v>
      </c>
    </row>
    <row r="81" spans="1:13">
      <c r="A81" t="str">
        <f>M電入力!C82&amp;"+25;"</f>
        <v>+25;</v>
      </c>
      <c r="B81" t="str">
        <f>"Beacon.Put(111,0,1"&amp;M電入力!AA82&amp;");"</f>
        <v>Beacon.Put(111,0,1000000);</v>
      </c>
      <c r="C81" t="str">
        <f>"Beacon.Put(111,0,2"&amp;M電入力!$AA83&amp;");"</f>
        <v>Beacon.Put(111,0,2000000);</v>
      </c>
      <c r="D81" t="str">
        <f>"Beacon.Put(111,0,3"&amp;M電入力!$AA84&amp;");"</f>
        <v>Beacon.Put(111,0,3000000);</v>
      </c>
      <c r="E81" t="str">
        <f>"Beacon.Put(111,0,4"&amp;M電入力!$AA85&amp;");"</f>
        <v>Beacon.Put(111,0,4000000);</v>
      </c>
      <c r="F81" t="str">
        <f>"Beacon.Put(111,0,5"&amp;M電入力!$AA86&amp;");"</f>
        <v>Beacon.Put(111,0,5000000);</v>
      </c>
      <c r="G81" t="str">
        <f>"Beacon.Put(111,0,6"&amp;M電入力!$AA87&amp;");"</f>
        <v>Beacon.Put(111,0,6000000);</v>
      </c>
      <c r="H81" t="str">
        <f>"Beacon.Put(112,0,1"&amp;M電入力!$AB82&amp;");"</f>
        <v>Beacon.Put(112,0,1000000);</v>
      </c>
      <c r="I81" t="str">
        <f>"Beacon.Put(112,0,2"&amp;M電入力!$AB83&amp;");"</f>
        <v>Beacon.Put(112,0,2000000);</v>
      </c>
      <c r="J81" t="str">
        <f>"Beacon.Put(112,0,3"&amp;M電入力!$AB84&amp;");"</f>
        <v>Beacon.Put(112,0,3000000);</v>
      </c>
      <c r="K81" t="str">
        <f>"Beacon.Put(112,0,4"&amp;M電入力!$AB85&amp;");"</f>
        <v>Beacon.Put(112,0,4000000);</v>
      </c>
      <c r="L81" t="str">
        <f>"Beacon.Put(112,0,5"&amp;M電入力!$AB86&amp;");"</f>
        <v>Beacon.Put(112,0,5000000);</v>
      </c>
      <c r="M81" t="str">
        <f>"Beacon.Put(112,0,6"&amp;M電入力!$AB87&amp;");"</f>
        <v>Beacon.Put(112,0,6000000);</v>
      </c>
    </row>
    <row r="82" spans="1:13">
      <c r="A82" t="str">
        <f>M電入力!C83&amp;"+25;"</f>
        <v>+25;</v>
      </c>
      <c r="B82" t="str">
        <f>"Beacon.Put(111,0,1"&amp;M電入力!AA83&amp;");"</f>
        <v>Beacon.Put(111,0,1000000);</v>
      </c>
      <c r="C82" t="str">
        <f>"Beacon.Put(111,0,2"&amp;M電入力!$AA84&amp;");"</f>
        <v>Beacon.Put(111,0,2000000);</v>
      </c>
      <c r="D82" t="str">
        <f>"Beacon.Put(111,0,3"&amp;M電入力!$AA85&amp;");"</f>
        <v>Beacon.Put(111,0,3000000);</v>
      </c>
      <c r="E82" t="str">
        <f>"Beacon.Put(111,0,4"&amp;M電入力!$AA86&amp;");"</f>
        <v>Beacon.Put(111,0,4000000);</v>
      </c>
      <c r="F82" t="str">
        <f>"Beacon.Put(111,0,5"&amp;M電入力!$AA87&amp;");"</f>
        <v>Beacon.Put(111,0,5000000);</v>
      </c>
      <c r="G82" t="str">
        <f>"Beacon.Put(111,0,6"&amp;M電入力!$AA88&amp;");"</f>
        <v>Beacon.Put(111,0,6000000);</v>
      </c>
      <c r="H82" t="str">
        <f>"Beacon.Put(112,0,1"&amp;M電入力!$AB83&amp;");"</f>
        <v>Beacon.Put(112,0,1000000);</v>
      </c>
      <c r="I82" t="str">
        <f>"Beacon.Put(112,0,2"&amp;M電入力!$AB84&amp;");"</f>
        <v>Beacon.Put(112,0,2000000);</v>
      </c>
      <c r="J82" t="str">
        <f>"Beacon.Put(112,0,3"&amp;M電入力!$AB85&amp;");"</f>
        <v>Beacon.Put(112,0,3000000);</v>
      </c>
      <c r="K82" t="str">
        <f>"Beacon.Put(112,0,4"&amp;M電入力!$AB86&amp;");"</f>
        <v>Beacon.Put(112,0,4000000);</v>
      </c>
      <c r="L82" t="str">
        <f>"Beacon.Put(112,0,5"&amp;M電入力!$AB87&amp;");"</f>
        <v>Beacon.Put(112,0,5000000);</v>
      </c>
      <c r="M82" t="str">
        <f>"Beacon.Put(112,0,6"&amp;M電入力!$AB88&amp;");"</f>
        <v>Beacon.Put(112,0,6000000);</v>
      </c>
    </row>
    <row r="83" spans="1:13">
      <c r="A83" t="str">
        <f>M電入力!C84&amp;"+25;"</f>
        <v>+25;</v>
      </c>
      <c r="B83" t="str">
        <f>"Beacon.Put(111,0,1"&amp;M電入力!AA84&amp;");"</f>
        <v>Beacon.Put(111,0,1000000);</v>
      </c>
      <c r="C83" t="str">
        <f>"Beacon.Put(111,0,2"&amp;M電入力!$AA85&amp;");"</f>
        <v>Beacon.Put(111,0,2000000);</v>
      </c>
      <c r="D83" t="str">
        <f>"Beacon.Put(111,0,3"&amp;M電入力!$AA86&amp;");"</f>
        <v>Beacon.Put(111,0,3000000);</v>
      </c>
      <c r="E83" t="str">
        <f>"Beacon.Put(111,0,4"&amp;M電入力!$AA87&amp;");"</f>
        <v>Beacon.Put(111,0,4000000);</v>
      </c>
      <c r="F83" t="str">
        <f>"Beacon.Put(111,0,5"&amp;M電入力!$AA88&amp;");"</f>
        <v>Beacon.Put(111,0,5000000);</v>
      </c>
      <c r="G83" t="str">
        <f>"Beacon.Put(111,0,6"&amp;M電入力!$AA89&amp;");"</f>
        <v>Beacon.Put(111,0,6000000);</v>
      </c>
      <c r="H83" t="str">
        <f>"Beacon.Put(112,0,1"&amp;M電入力!$AB84&amp;");"</f>
        <v>Beacon.Put(112,0,1000000);</v>
      </c>
      <c r="I83" t="str">
        <f>"Beacon.Put(112,0,2"&amp;M電入力!$AB85&amp;");"</f>
        <v>Beacon.Put(112,0,2000000);</v>
      </c>
      <c r="J83" t="str">
        <f>"Beacon.Put(112,0,3"&amp;M電入力!$AB86&amp;");"</f>
        <v>Beacon.Put(112,0,3000000);</v>
      </c>
      <c r="K83" t="str">
        <f>"Beacon.Put(112,0,4"&amp;M電入力!$AB87&amp;");"</f>
        <v>Beacon.Put(112,0,4000000);</v>
      </c>
      <c r="L83" t="str">
        <f>"Beacon.Put(112,0,5"&amp;M電入力!$AB88&amp;");"</f>
        <v>Beacon.Put(112,0,5000000);</v>
      </c>
      <c r="M83" t="str">
        <f>"Beacon.Put(112,0,6"&amp;M電入力!$AB89&amp;");"</f>
        <v>Beacon.Put(112,0,6000000);</v>
      </c>
    </row>
    <row r="84" spans="1:13">
      <c r="A84" t="str">
        <f>M電入力!C85&amp;"+25;"</f>
        <v>+25;</v>
      </c>
      <c r="B84" t="str">
        <f>"Beacon.Put(111,0,1"&amp;M電入力!AA85&amp;");"</f>
        <v>Beacon.Put(111,0,1000000);</v>
      </c>
      <c r="C84" t="str">
        <f>"Beacon.Put(111,0,2"&amp;M電入力!$AA86&amp;");"</f>
        <v>Beacon.Put(111,0,2000000);</v>
      </c>
      <c r="D84" t="str">
        <f>"Beacon.Put(111,0,3"&amp;M電入力!$AA87&amp;");"</f>
        <v>Beacon.Put(111,0,3000000);</v>
      </c>
      <c r="E84" t="str">
        <f>"Beacon.Put(111,0,4"&amp;M電入力!$AA88&amp;");"</f>
        <v>Beacon.Put(111,0,4000000);</v>
      </c>
      <c r="F84" t="str">
        <f>"Beacon.Put(111,0,5"&amp;M電入力!$AA89&amp;");"</f>
        <v>Beacon.Put(111,0,5000000);</v>
      </c>
      <c r="G84" t="str">
        <f>"Beacon.Put(111,0,6"&amp;M電入力!$AA90&amp;");"</f>
        <v>Beacon.Put(111,0,6000000);</v>
      </c>
      <c r="H84" t="str">
        <f>"Beacon.Put(112,0,1"&amp;M電入力!$AB85&amp;");"</f>
        <v>Beacon.Put(112,0,1000000);</v>
      </c>
      <c r="I84" t="str">
        <f>"Beacon.Put(112,0,2"&amp;M電入力!$AB86&amp;");"</f>
        <v>Beacon.Put(112,0,2000000);</v>
      </c>
      <c r="J84" t="str">
        <f>"Beacon.Put(112,0,3"&amp;M電入力!$AB87&amp;");"</f>
        <v>Beacon.Put(112,0,3000000);</v>
      </c>
      <c r="K84" t="str">
        <f>"Beacon.Put(112,0,4"&amp;M電入力!$AB88&amp;");"</f>
        <v>Beacon.Put(112,0,4000000);</v>
      </c>
      <c r="L84" t="str">
        <f>"Beacon.Put(112,0,5"&amp;M電入力!$AB89&amp;");"</f>
        <v>Beacon.Put(112,0,5000000);</v>
      </c>
      <c r="M84" t="str">
        <f>"Beacon.Put(112,0,6"&amp;M電入力!$AB90&amp;");"</f>
        <v>Beacon.Put(112,0,6000000);</v>
      </c>
    </row>
    <row r="85" spans="1:13">
      <c r="A85" t="str">
        <f>M電入力!C86&amp;"+25;"</f>
        <v>+25;</v>
      </c>
      <c r="B85" t="str">
        <f>"Beacon.Put(111,0,1"&amp;M電入力!AA86&amp;");"</f>
        <v>Beacon.Put(111,0,1000000);</v>
      </c>
      <c r="C85" t="str">
        <f>"Beacon.Put(111,0,2"&amp;M電入力!$AA87&amp;");"</f>
        <v>Beacon.Put(111,0,2000000);</v>
      </c>
      <c r="D85" t="str">
        <f>"Beacon.Put(111,0,3"&amp;M電入力!$AA88&amp;");"</f>
        <v>Beacon.Put(111,0,3000000);</v>
      </c>
      <c r="E85" t="str">
        <f>"Beacon.Put(111,0,4"&amp;M電入力!$AA89&amp;");"</f>
        <v>Beacon.Put(111,0,4000000);</v>
      </c>
      <c r="F85" t="str">
        <f>"Beacon.Put(111,0,5"&amp;M電入力!$AA90&amp;");"</f>
        <v>Beacon.Put(111,0,5000000);</v>
      </c>
      <c r="G85" t="str">
        <f>"Beacon.Put(111,0,6"&amp;M電入力!$AA91&amp;");"</f>
        <v>Beacon.Put(111,0,6000000);</v>
      </c>
      <c r="H85" t="str">
        <f>"Beacon.Put(112,0,1"&amp;M電入力!$AB86&amp;");"</f>
        <v>Beacon.Put(112,0,1000000);</v>
      </c>
      <c r="I85" t="str">
        <f>"Beacon.Put(112,0,2"&amp;M電入力!$AB87&amp;");"</f>
        <v>Beacon.Put(112,0,2000000);</v>
      </c>
      <c r="J85" t="str">
        <f>"Beacon.Put(112,0,3"&amp;M電入力!$AB88&amp;");"</f>
        <v>Beacon.Put(112,0,3000000);</v>
      </c>
      <c r="K85" t="str">
        <f>"Beacon.Put(112,0,4"&amp;M電入力!$AB89&amp;");"</f>
        <v>Beacon.Put(112,0,4000000);</v>
      </c>
      <c r="L85" t="str">
        <f>"Beacon.Put(112,0,5"&amp;M電入力!$AB90&amp;");"</f>
        <v>Beacon.Put(112,0,5000000);</v>
      </c>
      <c r="M85" t="str">
        <f>"Beacon.Put(112,0,6"&amp;M電入力!$AB91&amp;");"</f>
        <v>Beacon.Put(112,0,6000000);</v>
      </c>
    </row>
    <row r="86" spans="1:13">
      <c r="A86" t="str">
        <f>M電入力!C87&amp;"+25;"</f>
        <v>+25;</v>
      </c>
      <c r="B86" t="str">
        <f>"Beacon.Put(111,0,1"&amp;M電入力!AA87&amp;");"</f>
        <v>Beacon.Put(111,0,1000000);</v>
      </c>
      <c r="C86" t="str">
        <f>"Beacon.Put(111,0,2"&amp;M電入力!$AA88&amp;");"</f>
        <v>Beacon.Put(111,0,2000000);</v>
      </c>
      <c r="D86" t="str">
        <f>"Beacon.Put(111,0,3"&amp;M電入力!$AA89&amp;");"</f>
        <v>Beacon.Put(111,0,3000000);</v>
      </c>
      <c r="E86" t="str">
        <f>"Beacon.Put(111,0,4"&amp;M電入力!$AA90&amp;");"</f>
        <v>Beacon.Put(111,0,4000000);</v>
      </c>
      <c r="F86" t="str">
        <f>"Beacon.Put(111,0,5"&amp;M電入力!$AA91&amp;");"</f>
        <v>Beacon.Put(111,0,5000000);</v>
      </c>
      <c r="G86" t="str">
        <f>"Beacon.Put(111,0,6"&amp;M電入力!$AA92&amp;");"</f>
        <v>Beacon.Put(111,0,6000000);</v>
      </c>
      <c r="H86" t="str">
        <f>"Beacon.Put(112,0,1"&amp;M電入力!$AB87&amp;");"</f>
        <v>Beacon.Put(112,0,1000000);</v>
      </c>
      <c r="I86" t="str">
        <f>"Beacon.Put(112,0,2"&amp;M電入力!$AB88&amp;");"</f>
        <v>Beacon.Put(112,0,2000000);</v>
      </c>
      <c r="J86" t="str">
        <f>"Beacon.Put(112,0,3"&amp;M電入力!$AB89&amp;");"</f>
        <v>Beacon.Put(112,0,3000000);</v>
      </c>
      <c r="K86" t="str">
        <f>"Beacon.Put(112,0,4"&amp;M電入力!$AB90&amp;");"</f>
        <v>Beacon.Put(112,0,4000000);</v>
      </c>
      <c r="L86" t="str">
        <f>"Beacon.Put(112,0,5"&amp;M電入力!$AB91&amp;");"</f>
        <v>Beacon.Put(112,0,5000000);</v>
      </c>
      <c r="M86" t="str">
        <f>"Beacon.Put(112,0,6"&amp;M電入力!$AB92&amp;");"</f>
        <v>Beacon.Put(112,0,6000000);</v>
      </c>
    </row>
    <row r="87" spans="1:13">
      <c r="A87" t="str">
        <f>M電入力!C88&amp;"+25;"</f>
        <v>+25;</v>
      </c>
      <c r="B87" t="str">
        <f>"Beacon.Put(111,0,1"&amp;M電入力!AA88&amp;");"</f>
        <v>Beacon.Put(111,0,1000000);</v>
      </c>
      <c r="C87" t="str">
        <f>"Beacon.Put(111,0,2"&amp;M電入力!$AA89&amp;");"</f>
        <v>Beacon.Put(111,0,2000000);</v>
      </c>
      <c r="D87" t="str">
        <f>"Beacon.Put(111,0,3"&amp;M電入力!$AA90&amp;");"</f>
        <v>Beacon.Put(111,0,3000000);</v>
      </c>
      <c r="E87" t="str">
        <f>"Beacon.Put(111,0,4"&amp;M電入力!$AA91&amp;");"</f>
        <v>Beacon.Put(111,0,4000000);</v>
      </c>
      <c r="F87" t="str">
        <f>"Beacon.Put(111,0,5"&amp;M電入力!$AA92&amp;");"</f>
        <v>Beacon.Put(111,0,5000000);</v>
      </c>
      <c r="G87" t="str">
        <f>"Beacon.Put(111,0,6"&amp;M電入力!$AA93&amp;");"</f>
        <v>Beacon.Put(111,0,6000000);</v>
      </c>
      <c r="H87" t="str">
        <f>"Beacon.Put(112,0,1"&amp;M電入力!$AB88&amp;");"</f>
        <v>Beacon.Put(112,0,1000000);</v>
      </c>
      <c r="I87" t="str">
        <f>"Beacon.Put(112,0,2"&amp;M電入力!$AB89&amp;");"</f>
        <v>Beacon.Put(112,0,2000000);</v>
      </c>
      <c r="J87" t="str">
        <f>"Beacon.Put(112,0,3"&amp;M電入力!$AB90&amp;");"</f>
        <v>Beacon.Put(112,0,3000000);</v>
      </c>
      <c r="K87" t="str">
        <f>"Beacon.Put(112,0,4"&amp;M電入力!$AB91&amp;");"</f>
        <v>Beacon.Put(112,0,4000000);</v>
      </c>
      <c r="L87" t="str">
        <f>"Beacon.Put(112,0,5"&amp;M電入力!$AB92&amp;");"</f>
        <v>Beacon.Put(112,0,5000000);</v>
      </c>
      <c r="M87" t="str">
        <f>"Beacon.Put(112,0,6"&amp;M電入力!$AB93&amp;");"</f>
        <v>Beacon.Put(112,0,6000000);</v>
      </c>
    </row>
    <row r="88" spans="1:13">
      <c r="A88" t="str">
        <f>M電入力!C89&amp;"+25;"</f>
        <v>+25;</v>
      </c>
      <c r="B88" t="str">
        <f>"Beacon.Put(111,0,1"&amp;M電入力!AA89&amp;");"</f>
        <v>Beacon.Put(111,0,1000000);</v>
      </c>
      <c r="C88" t="str">
        <f>"Beacon.Put(111,0,2"&amp;M電入力!$AA90&amp;");"</f>
        <v>Beacon.Put(111,0,2000000);</v>
      </c>
      <c r="D88" t="str">
        <f>"Beacon.Put(111,0,3"&amp;M電入力!$AA91&amp;");"</f>
        <v>Beacon.Put(111,0,3000000);</v>
      </c>
      <c r="E88" t="str">
        <f>"Beacon.Put(111,0,4"&amp;M電入力!$AA92&amp;");"</f>
        <v>Beacon.Put(111,0,4000000);</v>
      </c>
      <c r="F88" t="str">
        <f>"Beacon.Put(111,0,5"&amp;M電入力!$AA93&amp;");"</f>
        <v>Beacon.Put(111,0,5000000);</v>
      </c>
      <c r="G88" t="str">
        <f>"Beacon.Put(111,0,6"&amp;M電入力!$AA94&amp;");"</f>
        <v>Beacon.Put(111,0,6000000);</v>
      </c>
      <c r="H88" t="str">
        <f>"Beacon.Put(112,0,1"&amp;M電入力!$AB89&amp;");"</f>
        <v>Beacon.Put(112,0,1000000);</v>
      </c>
      <c r="I88" t="str">
        <f>"Beacon.Put(112,0,2"&amp;M電入力!$AB90&amp;");"</f>
        <v>Beacon.Put(112,0,2000000);</v>
      </c>
      <c r="J88" t="str">
        <f>"Beacon.Put(112,0,3"&amp;M電入力!$AB91&amp;");"</f>
        <v>Beacon.Put(112,0,3000000);</v>
      </c>
      <c r="K88" t="str">
        <f>"Beacon.Put(112,0,4"&amp;M電入力!$AB92&amp;");"</f>
        <v>Beacon.Put(112,0,4000000);</v>
      </c>
      <c r="L88" t="str">
        <f>"Beacon.Put(112,0,5"&amp;M電入力!$AB93&amp;");"</f>
        <v>Beacon.Put(112,0,5000000);</v>
      </c>
      <c r="M88" t="str">
        <f>"Beacon.Put(112,0,6"&amp;M電入力!$AB94&amp;");"</f>
        <v>Beacon.Put(112,0,6000000);</v>
      </c>
    </row>
    <row r="89" spans="1:13">
      <c r="A89" t="str">
        <f>M電入力!C90&amp;"+25;"</f>
        <v>+25;</v>
      </c>
      <c r="B89" t="str">
        <f>"Beacon.Put(111,0,1"&amp;M電入力!AA90&amp;");"</f>
        <v>Beacon.Put(111,0,1000000);</v>
      </c>
      <c r="C89" t="str">
        <f>"Beacon.Put(111,0,2"&amp;M電入力!$AA91&amp;");"</f>
        <v>Beacon.Put(111,0,2000000);</v>
      </c>
      <c r="D89" t="str">
        <f>"Beacon.Put(111,0,3"&amp;M電入力!$AA92&amp;");"</f>
        <v>Beacon.Put(111,0,3000000);</v>
      </c>
      <c r="E89" t="str">
        <f>"Beacon.Put(111,0,4"&amp;M電入力!$AA93&amp;");"</f>
        <v>Beacon.Put(111,0,4000000);</v>
      </c>
      <c r="F89" t="str">
        <f>"Beacon.Put(111,0,5"&amp;M電入力!$AA94&amp;");"</f>
        <v>Beacon.Put(111,0,5000000);</v>
      </c>
      <c r="G89" t="str">
        <f>"Beacon.Put(111,0,6"&amp;M電入力!$AA95&amp;");"</f>
        <v>Beacon.Put(111,0,6000000);</v>
      </c>
      <c r="H89" t="str">
        <f>"Beacon.Put(112,0,1"&amp;M電入力!$AB90&amp;");"</f>
        <v>Beacon.Put(112,0,1000000);</v>
      </c>
      <c r="I89" t="str">
        <f>"Beacon.Put(112,0,2"&amp;M電入力!$AB91&amp;");"</f>
        <v>Beacon.Put(112,0,2000000);</v>
      </c>
      <c r="J89" t="str">
        <f>"Beacon.Put(112,0,3"&amp;M電入力!$AB92&amp;");"</f>
        <v>Beacon.Put(112,0,3000000);</v>
      </c>
      <c r="K89" t="str">
        <f>"Beacon.Put(112,0,4"&amp;M電入力!$AB93&amp;");"</f>
        <v>Beacon.Put(112,0,4000000);</v>
      </c>
      <c r="L89" t="str">
        <f>"Beacon.Put(112,0,5"&amp;M電入力!$AB94&amp;");"</f>
        <v>Beacon.Put(112,0,5000000);</v>
      </c>
      <c r="M89" t="str">
        <f>"Beacon.Put(112,0,6"&amp;M電入力!$AB95&amp;");"</f>
        <v>Beacon.Put(112,0,6000000);</v>
      </c>
    </row>
    <row r="90" spans="1:13">
      <c r="A90" t="str">
        <f>M電入力!C91&amp;"+25;"</f>
        <v>+25;</v>
      </c>
      <c r="B90" t="str">
        <f>"Beacon.Put(111,0,1"&amp;M電入力!AA91&amp;");"</f>
        <v>Beacon.Put(111,0,1000000);</v>
      </c>
      <c r="C90" t="str">
        <f>"Beacon.Put(111,0,2"&amp;M電入力!$AA92&amp;");"</f>
        <v>Beacon.Put(111,0,2000000);</v>
      </c>
      <c r="D90" t="str">
        <f>"Beacon.Put(111,0,3"&amp;M電入力!$AA93&amp;");"</f>
        <v>Beacon.Put(111,0,3000000);</v>
      </c>
      <c r="E90" t="str">
        <f>"Beacon.Put(111,0,4"&amp;M電入力!$AA94&amp;");"</f>
        <v>Beacon.Put(111,0,4000000);</v>
      </c>
      <c r="F90" t="str">
        <f>"Beacon.Put(111,0,5"&amp;M電入力!$AA95&amp;");"</f>
        <v>Beacon.Put(111,0,5000000);</v>
      </c>
      <c r="G90" t="str">
        <f>"Beacon.Put(111,0,6"&amp;M電入力!$AA96&amp;");"</f>
        <v>Beacon.Put(111,0,6000000);</v>
      </c>
      <c r="H90" t="str">
        <f>"Beacon.Put(112,0,1"&amp;M電入力!$AB91&amp;");"</f>
        <v>Beacon.Put(112,0,1000000);</v>
      </c>
      <c r="I90" t="str">
        <f>"Beacon.Put(112,0,2"&amp;M電入力!$AB92&amp;");"</f>
        <v>Beacon.Put(112,0,2000000);</v>
      </c>
      <c r="J90" t="str">
        <f>"Beacon.Put(112,0,3"&amp;M電入力!$AB93&amp;");"</f>
        <v>Beacon.Put(112,0,3000000);</v>
      </c>
      <c r="K90" t="str">
        <f>"Beacon.Put(112,0,4"&amp;M電入力!$AB94&amp;");"</f>
        <v>Beacon.Put(112,0,4000000);</v>
      </c>
      <c r="L90" t="str">
        <f>"Beacon.Put(112,0,5"&amp;M電入力!$AB95&amp;");"</f>
        <v>Beacon.Put(112,0,5000000);</v>
      </c>
      <c r="M90" t="str">
        <f>"Beacon.Put(112,0,6"&amp;M電入力!$AB96&amp;");"</f>
        <v>Beacon.Put(112,0,6000000);</v>
      </c>
    </row>
    <row r="91" spans="1:13">
      <c r="A91" t="str">
        <f>M電入力!C92&amp;"+25;"</f>
        <v>+25;</v>
      </c>
      <c r="B91" t="str">
        <f>"Beacon.Put(111,0,1"&amp;M電入力!AA92&amp;");"</f>
        <v>Beacon.Put(111,0,1000000);</v>
      </c>
      <c r="C91" t="str">
        <f>"Beacon.Put(111,0,2"&amp;M電入力!$AA93&amp;");"</f>
        <v>Beacon.Put(111,0,2000000);</v>
      </c>
      <c r="D91" t="str">
        <f>"Beacon.Put(111,0,3"&amp;M電入力!$AA94&amp;");"</f>
        <v>Beacon.Put(111,0,3000000);</v>
      </c>
      <c r="E91" t="str">
        <f>"Beacon.Put(111,0,4"&amp;M電入力!$AA95&amp;");"</f>
        <v>Beacon.Put(111,0,4000000);</v>
      </c>
      <c r="F91" t="str">
        <f>"Beacon.Put(111,0,5"&amp;M電入力!$AA96&amp;");"</f>
        <v>Beacon.Put(111,0,5000000);</v>
      </c>
      <c r="G91" t="str">
        <f>"Beacon.Put(111,0,6"&amp;M電入力!$AA97&amp;");"</f>
        <v>Beacon.Put(111,0,6000000);</v>
      </c>
      <c r="H91" t="str">
        <f>"Beacon.Put(112,0,1"&amp;M電入力!$AB92&amp;");"</f>
        <v>Beacon.Put(112,0,1000000);</v>
      </c>
      <c r="I91" t="str">
        <f>"Beacon.Put(112,0,2"&amp;M電入力!$AB93&amp;");"</f>
        <v>Beacon.Put(112,0,2000000);</v>
      </c>
      <c r="J91" t="str">
        <f>"Beacon.Put(112,0,3"&amp;M電入力!$AB94&amp;");"</f>
        <v>Beacon.Put(112,0,3000000);</v>
      </c>
      <c r="K91" t="str">
        <f>"Beacon.Put(112,0,4"&amp;M電入力!$AB95&amp;");"</f>
        <v>Beacon.Put(112,0,4000000);</v>
      </c>
      <c r="L91" t="str">
        <f>"Beacon.Put(112,0,5"&amp;M電入力!$AB96&amp;");"</f>
        <v>Beacon.Put(112,0,5000000);</v>
      </c>
      <c r="M91" t="str">
        <f>"Beacon.Put(112,0,6"&amp;M電入力!$AB97&amp;");"</f>
        <v>Beacon.Put(112,0,6000000);</v>
      </c>
    </row>
    <row r="92" spans="1:13">
      <c r="A92" t="str">
        <f>M電入力!C93&amp;"+25;"</f>
        <v>+25;</v>
      </c>
      <c r="B92" t="str">
        <f>"Beacon.Put(111,0,1"&amp;M電入力!AA93&amp;");"</f>
        <v>Beacon.Put(111,0,1000000);</v>
      </c>
      <c r="C92" t="str">
        <f>"Beacon.Put(111,0,2"&amp;M電入力!$AA94&amp;");"</f>
        <v>Beacon.Put(111,0,2000000);</v>
      </c>
      <c r="D92" t="str">
        <f>"Beacon.Put(111,0,3"&amp;M電入力!$AA95&amp;");"</f>
        <v>Beacon.Put(111,0,3000000);</v>
      </c>
      <c r="E92" t="str">
        <f>"Beacon.Put(111,0,4"&amp;M電入力!$AA96&amp;");"</f>
        <v>Beacon.Put(111,0,4000000);</v>
      </c>
      <c r="F92" t="str">
        <f>"Beacon.Put(111,0,5"&amp;M電入力!$AA97&amp;");"</f>
        <v>Beacon.Put(111,0,5000000);</v>
      </c>
      <c r="G92" t="str">
        <f>"Beacon.Put(111,0,6"&amp;M電入力!$AA98&amp;");"</f>
        <v>Beacon.Put(111,0,6000000);</v>
      </c>
      <c r="H92" t="str">
        <f>"Beacon.Put(112,0,1"&amp;M電入力!$AB93&amp;");"</f>
        <v>Beacon.Put(112,0,1000000);</v>
      </c>
      <c r="I92" t="str">
        <f>"Beacon.Put(112,0,2"&amp;M電入力!$AB94&amp;");"</f>
        <v>Beacon.Put(112,0,2000000);</v>
      </c>
      <c r="J92" t="str">
        <f>"Beacon.Put(112,0,3"&amp;M電入力!$AB95&amp;");"</f>
        <v>Beacon.Put(112,0,3000000);</v>
      </c>
      <c r="K92" t="str">
        <f>"Beacon.Put(112,0,4"&amp;M電入力!$AB96&amp;");"</f>
        <v>Beacon.Put(112,0,4000000);</v>
      </c>
      <c r="L92" t="str">
        <f>"Beacon.Put(112,0,5"&amp;M電入力!$AB97&amp;");"</f>
        <v>Beacon.Put(112,0,5000000);</v>
      </c>
      <c r="M92" t="str">
        <f>"Beacon.Put(112,0,6"&amp;M電入力!$AB98&amp;");"</f>
        <v>Beacon.Put(112,0,6000000);</v>
      </c>
    </row>
    <row r="93" spans="1:13">
      <c r="A93" t="str">
        <f>M電入力!C94&amp;"+25;"</f>
        <v>+25;</v>
      </c>
      <c r="B93" t="str">
        <f>"Beacon.Put(111,0,1"&amp;M電入力!AA94&amp;");"</f>
        <v>Beacon.Put(111,0,1000000);</v>
      </c>
      <c r="C93" t="str">
        <f>"Beacon.Put(111,0,2"&amp;M電入力!$AA95&amp;");"</f>
        <v>Beacon.Put(111,0,2000000);</v>
      </c>
      <c r="D93" t="str">
        <f>"Beacon.Put(111,0,3"&amp;M電入力!$AA96&amp;");"</f>
        <v>Beacon.Put(111,0,3000000);</v>
      </c>
      <c r="E93" t="str">
        <f>"Beacon.Put(111,0,4"&amp;M電入力!$AA97&amp;");"</f>
        <v>Beacon.Put(111,0,4000000);</v>
      </c>
      <c r="F93" t="str">
        <f>"Beacon.Put(111,0,5"&amp;M電入力!$AA98&amp;");"</f>
        <v>Beacon.Put(111,0,5000000);</v>
      </c>
      <c r="G93" t="str">
        <f>"Beacon.Put(111,0,6"&amp;M電入力!$AA99&amp;");"</f>
        <v>Beacon.Put(111,0,6000000);</v>
      </c>
      <c r="H93" t="str">
        <f>"Beacon.Put(112,0,1"&amp;M電入力!$AB94&amp;");"</f>
        <v>Beacon.Put(112,0,1000000);</v>
      </c>
      <c r="I93" t="str">
        <f>"Beacon.Put(112,0,2"&amp;M電入力!$AB95&amp;");"</f>
        <v>Beacon.Put(112,0,2000000);</v>
      </c>
      <c r="J93" t="str">
        <f>"Beacon.Put(112,0,3"&amp;M電入力!$AB96&amp;");"</f>
        <v>Beacon.Put(112,0,3000000);</v>
      </c>
      <c r="K93" t="str">
        <f>"Beacon.Put(112,0,4"&amp;M電入力!$AB97&amp;");"</f>
        <v>Beacon.Put(112,0,4000000);</v>
      </c>
      <c r="L93" t="str">
        <f>"Beacon.Put(112,0,5"&amp;M電入力!$AB98&amp;");"</f>
        <v>Beacon.Put(112,0,5000000);</v>
      </c>
      <c r="M93" t="str">
        <f>"Beacon.Put(112,0,6"&amp;M電入力!$AB99&amp;");"</f>
        <v>Beacon.Put(112,0,6000000);</v>
      </c>
    </row>
    <row r="94" spans="1:13">
      <c r="A94" t="str">
        <f>M電入力!C95&amp;"+25;"</f>
        <v>+25;</v>
      </c>
      <c r="B94" t="str">
        <f>"Beacon.Put(111,0,1"&amp;M電入力!AA95&amp;");"</f>
        <v>Beacon.Put(111,0,1000000);</v>
      </c>
      <c r="C94" t="str">
        <f>"Beacon.Put(111,0,2"&amp;M電入力!$AA96&amp;");"</f>
        <v>Beacon.Put(111,0,2000000);</v>
      </c>
      <c r="D94" t="str">
        <f>"Beacon.Put(111,0,3"&amp;M電入力!$AA97&amp;");"</f>
        <v>Beacon.Put(111,0,3000000);</v>
      </c>
      <c r="E94" t="str">
        <f>"Beacon.Put(111,0,4"&amp;M電入力!$AA98&amp;");"</f>
        <v>Beacon.Put(111,0,4000000);</v>
      </c>
      <c r="F94" t="str">
        <f>"Beacon.Put(111,0,5"&amp;M電入力!$AA99&amp;");"</f>
        <v>Beacon.Put(111,0,5000000);</v>
      </c>
      <c r="G94" t="str">
        <f>"Beacon.Put(111,0,6"&amp;M電入力!$AA100&amp;");"</f>
        <v>Beacon.Put(111,0,6000000);</v>
      </c>
      <c r="H94" t="str">
        <f>"Beacon.Put(112,0,1"&amp;M電入力!$AB95&amp;");"</f>
        <v>Beacon.Put(112,0,1000000);</v>
      </c>
      <c r="I94" t="str">
        <f>"Beacon.Put(112,0,2"&amp;M電入力!$AB96&amp;");"</f>
        <v>Beacon.Put(112,0,2000000);</v>
      </c>
      <c r="J94" t="str">
        <f>"Beacon.Put(112,0,3"&amp;M電入力!$AB97&amp;");"</f>
        <v>Beacon.Put(112,0,3000000);</v>
      </c>
      <c r="K94" t="str">
        <f>"Beacon.Put(112,0,4"&amp;M電入力!$AB98&amp;");"</f>
        <v>Beacon.Put(112,0,4000000);</v>
      </c>
      <c r="L94" t="str">
        <f>"Beacon.Put(112,0,5"&amp;M電入力!$AB99&amp;");"</f>
        <v>Beacon.Put(112,0,5000000);</v>
      </c>
      <c r="M94" t="str">
        <f>"Beacon.Put(112,0,6"&amp;M電入力!$AB100&amp;");"</f>
        <v>Beacon.Put(112,0,6000000);</v>
      </c>
    </row>
    <row r="95" spans="1:13">
      <c r="A95" t="str">
        <f>M電入力!C96&amp;"+25;"</f>
        <v>+25;</v>
      </c>
      <c r="B95" t="str">
        <f>"Beacon.Put(111,0,1"&amp;M電入力!AA96&amp;");"</f>
        <v>Beacon.Put(111,0,1000000);</v>
      </c>
      <c r="C95" t="str">
        <f>"Beacon.Put(111,0,2"&amp;M電入力!$AA97&amp;");"</f>
        <v>Beacon.Put(111,0,2000000);</v>
      </c>
      <c r="D95" t="str">
        <f>"Beacon.Put(111,0,3"&amp;M電入力!$AA98&amp;");"</f>
        <v>Beacon.Put(111,0,3000000);</v>
      </c>
      <c r="E95" t="str">
        <f>"Beacon.Put(111,0,4"&amp;M電入力!$AA99&amp;");"</f>
        <v>Beacon.Put(111,0,4000000);</v>
      </c>
      <c r="F95" t="str">
        <f>"Beacon.Put(111,0,5"&amp;M電入力!$AA100&amp;");"</f>
        <v>Beacon.Put(111,0,5000000);</v>
      </c>
      <c r="G95" t="str">
        <f>"Beacon.Put(111,0,6"&amp;M電入力!$AA101&amp;");"</f>
        <v>Beacon.Put(111,0,6000000);</v>
      </c>
      <c r="H95" t="str">
        <f>"Beacon.Put(112,0,1"&amp;M電入力!$AB96&amp;");"</f>
        <v>Beacon.Put(112,0,1000000);</v>
      </c>
      <c r="I95" t="str">
        <f>"Beacon.Put(112,0,2"&amp;M電入力!$AB97&amp;");"</f>
        <v>Beacon.Put(112,0,2000000);</v>
      </c>
      <c r="J95" t="str">
        <f>"Beacon.Put(112,0,3"&amp;M電入力!$AB98&amp;");"</f>
        <v>Beacon.Put(112,0,3000000);</v>
      </c>
      <c r="K95" t="str">
        <f>"Beacon.Put(112,0,4"&amp;M電入力!$AB99&amp;");"</f>
        <v>Beacon.Put(112,0,4000000);</v>
      </c>
      <c r="L95" t="str">
        <f>"Beacon.Put(112,0,5"&amp;M電入力!$AB100&amp;");"</f>
        <v>Beacon.Put(112,0,5000000);</v>
      </c>
      <c r="M95" t="str">
        <f>"Beacon.Put(112,0,6"&amp;M電入力!$AB101&amp;");"</f>
        <v>Beacon.Put(112,0,6000000);</v>
      </c>
    </row>
    <row r="96" spans="1:13">
      <c r="A96" t="str">
        <f>M電入力!C97&amp;"+25;"</f>
        <v>+25;</v>
      </c>
      <c r="B96" t="str">
        <f>"Beacon.Put(111,0,1"&amp;M電入力!AA97&amp;");"</f>
        <v>Beacon.Put(111,0,1000000);</v>
      </c>
      <c r="C96" t="str">
        <f>"Beacon.Put(111,0,2"&amp;M電入力!$AA98&amp;");"</f>
        <v>Beacon.Put(111,0,2000000);</v>
      </c>
      <c r="D96" t="str">
        <f>"Beacon.Put(111,0,3"&amp;M電入力!$AA99&amp;");"</f>
        <v>Beacon.Put(111,0,3000000);</v>
      </c>
      <c r="E96" t="str">
        <f>"Beacon.Put(111,0,4"&amp;M電入力!$AA100&amp;");"</f>
        <v>Beacon.Put(111,0,4000000);</v>
      </c>
      <c r="F96" t="str">
        <f>"Beacon.Put(111,0,5"&amp;M電入力!$AA101&amp;");"</f>
        <v>Beacon.Put(111,0,5000000);</v>
      </c>
      <c r="G96" t="str">
        <f>"Beacon.Put(111,0,6"&amp;M電入力!$AA102&amp;");"</f>
        <v>Beacon.Put(111,0,6000000);</v>
      </c>
      <c r="H96" t="str">
        <f>"Beacon.Put(112,0,1"&amp;M電入力!$AB97&amp;");"</f>
        <v>Beacon.Put(112,0,1000000);</v>
      </c>
      <c r="I96" t="str">
        <f>"Beacon.Put(112,0,2"&amp;M電入力!$AB98&amp;");"</f>
        <v>Beacon.Put(112,0,2000000);</v>
      </c>
      <c r="J96" t="str">
        <f>"Beacon.Put(112,0,3"&amp;M電入力!$AB99&amp;");"</f>
        <v>Beacon.Put(112,0,3000000);</v>
      </c>
      <c r="K96" t="str">
        <f>"Beacon.Put(112,0,4"&amp;M電入力!$AB100&amp;");"</f>
        <v>Beacon.Put(112,0,4000000);</v>
      </c>
      <c r="L96" t="str">
        <f>"Beacon.Put(112,0,5"&amp;M電入力!$AB101&amp;");"</f>
        <v>Beacon.Put(112,0,5000000);</v>
      </c>
      <c r="M96" t="str">
        <f>"Beacon.Put(112,0,6"&amp;M電入力!$AB102&amp;");"</f>
        <v>Beacon.Put(112,0,6000000);</v>
      </c>
    </row>
    <row r="97" spans="1:13">
      <c r="A97" t="str">
        <f>M電入力!C98&amp;"+25;"</f>
        <v>+25;</v>
      </c>
      <c r="B97" t="str">
        <f>"Beacon.Put(111,0,1"&amp;M電入力!AA98&amp;");"</f>
        <v>Beacon.Put(111,0,1000000);</v>
      </c>
      <c r="C97" t="str">
        <f>"Beacon.Put(111,0,2"&amp;M電入力!$AA99&amp;");"</f>
        <v>Beacon.Put(111,0,2000000);</v>
      </c>
      <c r="D97" t="str">
        <f>"Beacon.Put(111,0,3"&amp;M電入力!$AA100&amp;");"</f>
        <v>Beacon.Put(111,0,3000000);</v>
      </c>
      <c r="E97" t="str">
        <f>"Beacon.Put(111,0,4"&amp;M電入力!$AA101&amp;");"</f>
        <v>Beacon.Put(111,0,4000000);</v>
      </c>
      <c r="F97" t="str">
        <f>"Beacon.Put(111,0,5"&amp;M電入力!$AA102&amp;");"</f>
        <v>Beacon.Put(111,0,5000000);</v>
      </c>
      <c r="G97" t="str">
        <f>"Beacon.Put(111,0,6"&amp;M電入力!$AA103&amp;");"</f>
        <v>Beacon.Put(111,0,6000000);</v>
      </c>
      <c r="H97" t="str">
        <f>"Beacon.Put(112,0,1"&amp;M電入力!$AB98&amp;");"</f>
        <v>Beacon.Put(112,0,1000000);</v>
      </c>
      <c r="I97" t="str">
        <f>"Beacon.Put(112,0,2"&amp;M電入力!$AB99&amp;");"</f>
        <v>Beacon.Put(112,0,2000000);</v>
      </c>
      <c r="J97" t="str">
        <f>"Beacon.Put(112,0,3"&amp;M電入力!$AB100&amp;");"</f>
        <v>Beacon.Put(112,0,3000000);</v>
      </c>
      <c r="K97" t="str">
        <f>"Beacon.Put(112,0,4"&amp;M電入力!$AB101&amp;");"</f>
        <v>Beacon.Put(112,0,4000000);</v>
      </c>
      <c r="L97" t="str">
        <f>"Beacon.Put(112,0,5"&amp;M電入力!$AB102&amp;");"</f>
        <v>Beacon.Put(112,0,5000000);</v>
      </c>
      <c r="M97" t="str">
        <f>"Beacon.Put(112,0,6"&amp;M電入力!$AB103&amp;");"</f>
        <v>Beacon.Put(112,0,6000000);</v>
      </c>
    </row>
    <row r="98" spans="1:13">
      <c r="A98" t="str">
        <f>M電入力!C99&amp;"+25;"</f>
        <v>+25;</v>
      </c>
      <c r="B98" t="str">
        <f>"Beacon.Put(111,0,1"&amp;M電入力!AA99&amp;");"</f>
        <v>Beacon.Put(111,0,1000000);</v>
      </c>
      <c r="C98" t="str">
        <f>"Beacon.Put(111,0,2"&amp;M電入力!$AA100&amp;");"</f>
        <v>Beacon.Put(111,0,2000000);</v>
      </c>
      <c r="D98" t="str">
        <f>"Beacon.Put(111,0,3"&amp;M電入力!$AA101&amp;");"</f>
        <v>Beacon.Put(111,0,3000000);</v>
      </c>
      <c r="E98" t="str">
        <f>"Beacon.Put(111,0,4"&amp;M電入力!$AA102&amp;");"</f>
        <v>Beacon.Put(111,0,4000000);</v>
      </c>
      <c r="F98" t="str">
        <f>"Beacon.Put(111,0,5"&amp;M電入力!$AA103&amp;");"</f>
        <v>Beacon.Put(111,0,5000000);</v>
      </c>
      <c r="G98" t="str">
        <f>"Beacon.Put(111,0,6"&amp;M電入力!$AA104&amp;");"</f>
        <v>Beacon.Put(111,0,6000000);</v>
      </c>
      <c r="H98" t="str">
        <f>"Beacon.Put(112,0,1"&amp;M電入力!$AB99&amp;");"</f>
        <v>Beacon.Put(112,0,1000000);</v>
      </c>
      <c r="I98" t="str">
        <f>"Beacon.Put(112,0,2"&amp;M電入力!$AB100&amp;");"</f>
        <v>Beacon.Put(112,0,2000000);</v>
      </c>
      <c r="J98" t="str">
        <f>"Beacon.Put(112,0,3"&amp;M電入力!$AB101&amp;");"</f>
        <v>Beacon.Put(112,0,3000000);</v>
      </c>
      <c r="K98" t="str">
        <f>"Beacon.Put(112,0,4"&amp;M電入力!$AB102&amp;");"</f>
        <v>Beacon.Put(112,0,4000000);</v>
      </c>
      <c r="L98" t="str">
        <f>"Beacon.Put(112,0,5"&amp;M電入力!$AB103&amp;");"</f>
        <v>Beacon.Put(112,0,5000000);</v>
      </c>
      <c r="M98" t="str">
        <f>"Beacon.Put(112,0,6"&amp;M電入力!$AB104&amp;");"</f>
        <v>Beacon.Put(112,0,6000000);</v>
      </c>
    </row>
    <row r="99" spans="1:13">
      <c r="A99" t="str">
        <f>M電入力!C100&amp;"+25;"</f>
        <v>+25;</v>
      </c>
      <c r="B99" t="str">
        <f>"Beacon.Put(111,0,1"&amp;M電入力!AA100&amp;");"</f>
        <v>Beacon.Put(111,0,1000000);</v>
      </c>
      <c r="C99" t="str">
        <f>"Beacon.Put(111,0,2"&amp;M電入力!$AA101&amp;");"</f>
        <v>Beacon.Put(111,0,2000000);</v>
      </c>
      <c r="D99" t="str">
        <f>"Beacon.Put(111,0,3"&amp;M電入力!$AA102&amp;");"</f>
        <v>Beacon.Put(111,0,3000000);</v>
      </c>
      <c r="E99" t="str">
        <f>"Beacon.Put(111,0,4"&amp;M電入力!$AA103&amp;");"</f>
        <v>Beacon.Put(111,0,4000000);</v>
      </c>
      <c r="F99" t="str">
        <f>"Beacon.Put(111,0,5"&amp;M電入力!$AA104&amp;");"</f>
        <v>Beacon.Put(111,0,5000000);</v>
      </c>
      <c r="G99" t="str">
        <f>"Beacon.Put(111,0,6"&amp;M電入力!$AA105&amp;");"</f>
        <v>Beacon.Put(111,0,6000000);</v>
      </c>
      <c r="H99" t="str">
        <f>"Beacon.Put(112,0,1"&amp;M電入力!$AB100&amp;");"</f>
        <v>Beacon.Put(112,0,1000000);</v>
      </c>
      <c r="I99" t="str">
        <f>"Beacon.Put(112,0,2"&amp;M電入力!$AB101&amp;");"</f>
        <v>Beacon.Put(112,0,2000000);</v>
      </c>
      <c r="J99" t="str">
        <f>"Beacon.Put(112,0,3"&amp;M電入力!$AB102&amp;");"</f>
        <v>Beacon.Put(112,0,3000000);</v>
      </c>
      <c r="K99" t="str">
        <f>"Beacon.Put(112,0,4"&amp;M電入力!$AB103&amp;");"</f>
        <v>Beacon.Put(112,0,4000000);</v>
      </c>
      <c r="L99" t="str">
        <f>"Beacon.Put(112,0,5"&amp;M電入力!$AB104&amp;");"</f>
        <v>Beacon.Put(112,0,5000000);</v>
      </c>
      <c r="M99" t="str">
        <f>"Beacon.Put(112,0,6"&amp;M電入力!$AB105&amp;");"</f>
        <v>Beacon.Put(112,0,6000000);</v>
      </c>
    </row>
    <row r="100" spans="1:13">
      <c r="A100" t="str">
        <f>M電入力!C101&amp;"+25;"</f>
        <v>+25;</v>
      </c>
      <c r="B100" t="str">
        <f>"Beacon.Put(111,0,1"&amp;M電入力!AA101&amp;");"</f>
        <v>Beacon.Put(111,0,1000000);</v>
      </c>
      <c r="C100" t="str">
        <f>"Beacon.Put(111,0,2"&amp;M電入力!$AA102&amp;");"</f>
        <v>Beacon.Put(111,0,2000000);</v>
      </c>
      <c r="D100" t="str">
        <f>"Beacon.Put(111,0,3"&amp;M電入力!$AA103&amp;");"</f>
        <v>Beacon.Put(111,0,3000000);</v>
      </c>
      <c r="E100" t="str">
        <f>"Beacon.Put(111,0,4"&amp;M電入力!$AA104&amp;");"</f>
        <v>Beacon.Put(111,0,4000000);</v>
      </c>
      <c r="F100" t="str">
        <f>"Beacon.Put(111,0,5"&amp;M電入力!$AA105&amp;");"</f>
        <v>Beacon.Put(111,0,5000000);</v>
      </c>
      <c r="G100" t="str">
        <f>"Beacon.Put(111,0,6"&amp;M電入力!$AA106&amp;");"</f>
        <v>Beacon.Put(111,0,6000000);</v>
      </c>
      <c r="H100" t="str">
        <f>"Beacon.Put(112,0,1"&amp;M電入力!$AB101&amp;");"</f>
        <v>Beacon.Put(112,0,1000000);</v>
      </c>
      <c r="I100" t="str">
        <f>"Beacon.Put(112,0,2"&amp;M電入力!$AB102&amp;");"</f>
        <v>Beacon.Put(112,0,2000000);</v>
      </c>
      <c r="J100" t="str">
        <f>"Beacon.Put(112,0,3"&amp;M電入力!$AB103&amp;");"</f>
        <v>Beacon.Put(112,0,3000000);</v>
      </c>
      <c r="K100" t="str">
        <f>"Beacon.Put(112,0,4"&amp;M電入力!$AB104&amp;");"</f>
        <v>Beacon.Put(112,0,4000000);</v>
      </c>
      <c r="L100" t="str">
        <f>"Beacon.Put(112,0,5"&amp;M電入力!$AB105&amp;");"</f>
        <v>Beacon.Put(112,0,5000000);</v>
      </c>
      <c r="M100" t="str">
        <f>"Beacon.Put(112,0,6"&amp;M電入力!$AB106&amp;");"</f>
        <v>Beacon.Put(112,0,6000000);</v>
      </c>
    </row>
    <row r="101" spans="1:13">
      <c r="A101" t="str">
        <f>M電入力!C102&amp;"+25;"</f>
        <v>+25;</v>
      </c>
      <c r="B101" t="str">
        <f>"Beacon.Put(111,0,1"&amp;M電入力!AA102&amp;");"</f>
        <v>Beacon.Put(111,0,1000000);</v>
      </c>
      <c r="C101" t="str">
        <f>"Beacon.Put(111,0,2"&amp;M電入力!$AA103&amp;");"</f>
        <v>Beacon.Put(111,0,2000000);</v>
      </c>
      <c r="D101" t="str">
        <f>"Beacon.Put(111,0,3"&amp;M電入力!$AA104&amp;");"</f>
        <v>Beacon.Put(111,0,3000000);</v>
      </c>
      <c r="E101" t="str">
        <f>"Beacon.Put(111,0,4"&amp;M電入力!$AA105&amp;");"</f>
        <v>Beacon.Put(111,0,4000000);</v>
      </c>
      <c r="F101" t="str">
        <f>"Beacon.Put(111,0,5"&amp;M電入力!$AA106&amp;");"</f>
        <v>Beacon.Put(111,0,5000000);</v>
      </c>
      <c r="G101" t="str">
        <f>"Beacon.Put(111,0,6"&amp;M電入力!$AA107&amp;");"</f>
        <v>Beacon.Put(111,0,6000000);</v>
      </c>
      <c r="H101" t="str">
        <f>"Beacon.Put(112,0,1"&amp;M電入力!$AB102&amp;");"</f>
        <v>Beacon.Put(112,0,1000000);</v>
      </c>
      <c r="I101" t="str">
        <f>"Beacon.Put(112,0,2"&amp;M電入力!$AB103&amp;");"</f>
        <v>Beacon.Put(112,0,2000000);</v>
      </c>
      <c r="J101" t="str">
        <f>"Beacon.Put(112,0,3"&amp;M電入力!$AB104&amp;");"</f>
        <v>Beacon.Put(112,0,3000000);</v>
      </c>
      <c r="K101" t="str">
        <f>"Beacon.Put(112,0,4"&amp;M電入力!$AB105&amp;");"</f>
        <v>Beacon.Put(112,0,4000000);</v>
      </c>
      <c r="L101" t="str">
        <f>"Beacon.Put(112,0,5"&amp;M電入力!$AB106&amp;");"</f>
        <v>Beacon.Put(112,0,5000000);</v>
      </c>
      <c r="M101" t="str">
        <f>"Beacon.Put(112,0,6"&amp;M電入力!$AB107&amp;");"</f>
        <v>Beacon.Put(112,0,6000000);</v>
      </c>
    </row>
    <row r="102" spans="1:13">
      <c r="A102" t="str">
        <f>M電入力!C103&amp;"+25;"</f>
        <v>+25;</v>
      </c>
      <c r="B102" t="str">
        <f>"Beacon.Put(111,0,1"&amp;M電入力!AA103&amp;");"</f>
        <v>Beacon.Put(111,0,1000000);</v>
      </c>
      <c r="C102" t="str">
        <f>"Beacon.Put(111,0,2"&amp;M電入力!$AA104&amp;");"</f>
        <v>Beacon.Put(111,0,2000000);</v>
      </c>
      <c r="D102" t="str">
        <f>"Beacon.Put(111,0,3"&amp;M電入力!$AA105&amp;");"</f>
        <v>Beacon.Put(111,0,3000000);</v>
      </c>
      <c r="E102" t="str">
        <f>"Beacon.Put(111,0,4"&amp;M電入力!$AA106&amp;");"</f>
        <v>Beacon.Put(111,0,4000000);</v>
      </c>
      <c r="F102" t="str">
        <f>"Beacon.Put(111,0,5"&amp;M電入力!$AA107&amp;");"</f>
        <v>Beacon.Put(111,0,5000000);</v>
      </c>
      <c r="G102" t="str">
        <f>"Beacon.Put(111,0,6"&amp;M電入力!$AA108&amp;");"</f>
        <v>Beacon.Put(111,0,6000000);</v>
      </c>
      <c r="H102" t="str">
        <f>"Beacon.Put(112,0,1"&amp;M電入力!$AB103&amp;");"</f>
        <v>Beacon.Put(112,0,1000000);</v>
      </c>
      <c r="I102" t="str">
        <f>"Beacon.Put(112,0,2"&amp;M電入力!$AB104&amp;");"</f>
        <v>Beacon.Put(112,0,2000000);</v>
      </c>
      <c r="J102" t="str">
        <f>"Beacon.Put(112,0,3"&amp;M電入力!$AB105&amp;");"</f>
        <v>Beacon.Put(112,0,3000000);</v>
      </c>
      <c r="K102" t="str">
        <f>"Beacon.Put(112,0,4"&amp;M電入力!$AB106&amp;");"</f>
        <v>Beacon.Put(112,0,4000000);</v>
      </c>
      <c r="L102" t="str">
        <f>"Beacon.Put(112,0,5"&amp;M電入力!$AB107&amp;");"</f>
        <v>Beacon.Put(112,0,5000000);</v>
      </c>
      <c r="M102" t="str">
        <f>"Beacon.Put(112,0,6"&amp;M電入力!$AB108&amp;");"</f>
        <v>Beacon.Put(112,0,6000000);</v>
      </c>
    </row>
  </sheetData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ADA75E-4873-4026-AF07-94CBEA5D985D}">
  <dimension ref="A1:G102"/>
  <sheetViews>
    <sheetView workbookViewId="0">
      <selection activeCell="A2" sqref="A2"/>
    </sheetView>
  </sheetViews>
  <sheetFormatPr defaultRowHeight="14.4"/>
  <cols>
    <col min="1" max="1" width="14.21875" bestFit="1" customWidth="1"/>
    <col min="2" max="7" width="20.109375" bestFit="1" customWidth="1"/>
  </cols>
  <sheetData>
    <row r="1" spans="1:7">
      <c r="A1" t="s">
        <v>59</v>
      </c>
    </row>
    <row r="2" spans="1:7">
      <c r="A2" s="2" t="s">
        <v>38</v>
      </c>
    </row>
    <row r="3" spans="1:7">
      <c r="A3" t="str">
        <f>M電入力!C4&amp;";"</f>
        <v>3790;</v>
      </c>
      <c r="B3" t="str">
        <f>"Beacon.Put(113,0,1"&amp;TEXT(M電入力!$G4,"00")&amp;");"</f>
        <v>Beacon.Put(113,0,100);</v>
      </c>
      <c r="C3" t="str">
        <f>"Beacon.Put(113,0,2"&amp;TEXT(M電入力!$G5,"00")&amp;");"</f>
        <v>Beacon.Put(113,0,200);</v>
      </c>
      <c r="D3" t="str">
        <f>"Beacon.Put(113,0,3"&amp;TEXT(M電入力!$G6,"00")&amp;");"</f>
        <v>Beacon.Put(113,0,300);</v>
      </c>
      <c r="E3" t="str">
        <f>"Beacon.Put(113,0,4"&amp;TEXT(M電入力!$G7,"00")&amp;");"</f>
        <v>Beacon.Put(113,0,400);</v>
      </c>
      <c r="F3" t="str">
        <f>"Beacon.Put(113,0,5"&amp;TEXT(M電入力!$G8,"00")&amp;");"</f>
        <v>Beacon.Put(113,0,500);</v>
      </c>
      <c r="G3" t="str">
        <f>"Beacon.Put(113,0,6"&amp;TEXT(M電入力!$G9,"00")&amp;");"</f>
        <v>Beacon.Put(113,0,600);</v>
      </c>
    </row>
    <row r="4" spans="1:7">
      <c r="A4" t="str">
        <f>M電入力!C5&amp;"+25;"</f>
        <v>6875+25;</v>
      </c>
      <c r="B4" t="str">
        <f>"Beacon.Put(113,0,1"&amp;TEXT(M電入力!$G5,"00")&amp;");"</f>
        <v>Beacon.Put(113,0,100);</v>
      </c>
      <c r="C4" t="str">
        <f>"Beacon.Put(113,0,2"&amp;TEXT(M電入力!$G6,"00")&amp;");"</f>
        <v>Beacon.Put(113,0,200);</v>
      </c>
      <c r="D4" t="str">
        <f>"Beacon.Put(113,0,3"&amp;TEXT(M電入力!$G7,"00")&amp;");"</f>
        <v>Beacon.Put(113,0,300);</v>
      </c>
      <c r="E4" t="str">
        <f>"Beacon.Put(113,0,4"&amp;TEXT(M電入力!$G8,"00")&amp;");"</f>
        <v>Beacon.Put(113,0,400);</v>
      </c>
      <c r="F4" t="str">
        <f>"Beacon.Put(113,0,5"&amp;TEXT(M電入力!$G9,"00")&amp;");"</f>
        <v>Beacon.Put(113,0,500);</v>
      </c>
      <c r="G4" t="str">
        <f>"Beacon.Put(113,0,6"&amp;TEXT(M電入力!$G10,"00")&amp;");"</f>
        <v>Beacon.Put(113,0,600);</v>
      </c>
    </row>
    <row r="5" spans="1:7">
      <c r="A5" t="str">
        <f>M電入力!C6&amp;"+25;"</f>
        <v>8460+25;</v>
      </c>
      <c r="B5" t="str">
        <f>"Beacon.Put(113,0,1"&amp;TEXT(M電入力!$G6,"00")&amp;");"</f>
        <v>Beacon.Put(113,0,100);</v>
      </c>
      <c r="C5" t="str">
        <f>"Beacon.Put(113,0,2"&amp;TEXT(M電入力!$G7,"00")&amp;");"</f>
        <v>Beacon.Put(113,0,200);</v>
      </c>
      <c r="D5" t="str">
        <f>"Beacon.Put(113,0,3"&amp;TEXT(M電入力!$G8,"00")&amp;");"</f>
        <v>Beacon.Put(113,0,300);</v>
      </c>
      <c r="E5" t="str">
        <f>"Beacon.Put(113,0,4"&amp;TEXT(M電入力!$G9,"00")&amp;");"</f>
        <v>Beacon.Put(113,0,400);</v>
      </c>
      <c r="F5" t="str">
        <f>"Beacon.Put(113,0,5"&amp;TEXT(M電入力!$G10,"00")&amp;");"</f>
        <v>Beacon.Put(113,0,500);</v>
      </c>
      <c r="G5" t="str">
        <f>"Beacon.Put(113,0,6"&amp;TEXT(M電入力!$G11,"00")&amp;");"</f>
        <v>Beacon.Put(113,0,600);</v>
      </c>
    </row>
    <row r="6" spans="1:7">
      <c r="A6" t="str">
        <f>M電入力!C7&amp;"+25;"</f>
        <v>13240+25;</v>
      </c>
      <c r="B6" t="str">
        <f>"Beacon.Put(113,0,1"&amp;TEXT(M電入力!$G7,"00")&amp;");"</f>
        <v>Beacon.Put(113,0,100);</v>
      </c>
      <c r="C6" t="str">
        <f>"Beacon.Put(113,0,2"&amp;TEXT(M電入力!$G8,"00")&amp;");"</f>
        <v>Beacon.Put(113,0,200);</v>
      </c>
      <c r="D6" t="str">
        <f>"Beacon.Put(113,0,3"&amp;TEXT(M電入力!$G9,"00")&amp;");"</f>
        <v>Beacon.Put(113,0,300);</v>
      </c>
      <c r="E6" t="str">
        <f>"Beacon.Put(113,0,4"&amp;TEXT(M電入力!$G10,"00")&amp;");"</f>
        <v>Beacon.Put(113,0,400);</v>
      </c>
      <c r="F6" t="str">
        <f>"Beacon.Put(113,0,5"&amp;TEXT(M電入力!$G11,"00")&amp;");"</f>
        <v>Beacon.Put(113,0,500);</v>
      </c>
      <c r="G6" t="str">
        <f>"Beacon.Put(113,0,6"&amp;TEXT(M電入力!$G12,"00")&amp;");"</f>
        <v>Beacon.Put(113,0,600);</v>
      </c>
    </row>
    <row r="7" spans="1:7">
      <c r="A7" t="str">
        <f>M電入力!C8&amp;"+25;"</f>
        <v>15880+25;</v>
      </c>
      <c r="B7" t="str">
        <f>"Beacon.Put(113,0,1"&amp;TEXT(M電入力!$G8,"00")&amp;");"</f>
        <v>Beacon.Put(113,0,100);</v>
      </c>
      <c r="C7" t="str">
        <f>"Beacon.Put(113,0,2"&amp;TEXT(M電入力!$G9,"00")&amp;");"</f>
        <v>Beacon.Put(113,0,200);</v>
      </c>
      <c r="D7" t="str">
        <f>"Beacon.Put(113,0,3"&amp;TEXT(M電入力!$G10,"00")&amp;");"</f>
        <v>Beacon.Put(113,0,300);</v>
      </c>
      <c r="E7" t="str">
        <f>"Beacon.Put(113,0,4"&amp;TEXT(M電入力!$G11,"00")&amp;");"</f>
        <v>Beacon.Put(113,0,400);</v>
      </c>
      <c r="F7" t="str">
        <f>"Beacon.Put(113,0,5"&amp;TEXT(M電入力!$G12,"00")&amp;");"</f>
        <v>Beacon.Put(113,0,500);</v>
      </c>
      <c r="G7" t="str">
        <f>"Beacon.Put(113,0,6"&amp;TEXT(M電入力!$G13,"00")&amp;");"</f>
        <v>Beacon.Put(113,0,600);</v>
      </c>
    </row>
    <row r="8" spans="1:7">
      <c r="A8" t="str">
        <f>M電入力!C9&amp;"+25;"</f>
        <v>24240+25;</v>
      </c>
      <c r="B8" t="str">
        <f>"Beacon.Put(113,0,1"&amp;TEXT(M電入力!$G9,"00")&amp;");"</f>
        <v>Beacon.Put(113,0,100);</v>
      </c>
      <c r="C8" t="str">
        <f>"Beacon.Put(113,0,2"&amp;TEXT(M電入力!$G10,"00")&amp;");"</f>
        <v>Beacon.Put(113,0,200);</v>
      </c>
      <c r="D8" t="str">
        <f>"Beacon.Put(113,0,3"&amp;TEXT(M電入力!$G11,"00")&amp;");"</f>
        <v>Beacon.Put(113,0,300);</v>
      </c>
      <c r="E8" t="str">
        <f>"Beacon.Put(113,0,4"&amp;TEXT(M電入力!$G12,"00")&amp;");"</f>
        <v>Beacon.Put(113,0,400);</v>
      </c>
      <c r="F8" t="str">
        <f>"Beacon.Put(113,0,5"&amp;TEXT(M電入力!$G13,"00")&amp;");"</f>
        <v>Beacon.Put(113,0,500);</v>
      </c>
      <c r="G8" t="str">
        <f>"Beacon.Put(113,0,6"&amp;TEXT(M電入力!$G14,"00")&amp;");"</f>
        <v>Beacon.Put(113,0,600);</v>
      </c>
    </row>
    <row r="9" spans="1:7">
      <c r="A9" t="str">
        <f>M電入力!C10&amp;"+25;"</f>
        <v>28915+25;</v>
      </c>
      <c r="B9" t="str">
        <f>"Beacon.Put(113,0,1"&amp;TEXT(M電入力!$G10,"00")&amp;");"</f>
        <v>Beacon.Put(113,0,100);</v>
      </c>
      <c r="C9" t="str">
        <f>"Beacon.Put(113,0,2"&amp;TEXT(M電入力!$G11,"00")&amp;");"</f>
        <v>Beacon.Put(113,0,200);</v>
      </c>
      <c r="D9" t="str">
        <f>"Beacon.Put(113,0,3"&amp;TEXT(M電入力!$G12,"00")&amp;");"</f>
        <v>Beacon.Put(113,0,300);</v>
      </c>
      <c r="E9" t="str">
        <f>"Beacon.Put(113,0,4"&amp;TEXT(M電入力!$G13,"00")&amp;");"</f>
        <v>Beacon.Put(113,0,400);</v>
      </c>
      <c r="F9" t="str">
        <f>"Beacon.Put(113,0,5"&amp;TEXT(M電入力!$G14,"00")&amp;");"</f>
        <v>Beacon.Put(113,0,500);</v>
      </c>
      <c r="G9" t="str">
        <f>"Beacon.Put(113,0,6"&amp;TEXT(M電入力!$G15,"00")&amp;");"</f>
        <v>Beacon.Put(113,0,600);</v>
      </c>
    </row>
    <row r="10" spans="1:7">
      <c r="A10" t="str">
        <f>M電入力!C11&amp;"+25;"</f>
        <v>30560+25;</v>
      </c>
      <c r="B10" t="str">
        <f>"Beacon.Put(113,0,1"&amp;TEXT(M電入力!$G11,"00")&amp;");"</f>
        <v>Beacon.Put(113,0,100);</v>
      </c>
      <c r="C10" t="str">
        <f>"Beacon.Put(113,0,2"&amp;TEXT(M電入力!$G12,"00")&amp;");"</f>
        <v>Beacon.Put(113,0,200);</v>
      </c>
      <c r="D10" t="str">
        <f>"Beacon.Put(113,0,3"&amp;TEXT(M電入力!$G13,"00")&amp;");"</f>
        <v>Beacon.Put(113,0,300);</v>
      </c>
      <c r="E10" t="str">
        <f>"Beacon.Put(113,0,4"&amp;TEXT(M電入力!$G14,"00")&amp;");"</f>
        <v>Beacon.Put(113,0,400);</v>
      </c>
      <c r="F10" t="str">
        <f>"Beacon.Put(113,0,5"&amp;TEXT(M電入力!$G15,"00")&amp;");"</f>
        <v>Beacon.Put(113,0,500);</v>
      </c>
      <c r="G10" t="str">
        <f>"Beacon.Put(113,0,6"&amp;TEXT(M電入力!$G16,"00")&amp;");"</f>
        <v>Beacon.Put(113,0,600);</v>
      </c>
    </row>
    <row r="11" spans="1:7">
      <c r="A11" t="str">
        <f>M電入力!C12&amp;"+25;"</f>
        <v>33570+25;</v>
      </c>
      <c r="B11" t="str">
        <f>"Beacon.Put(113,0,1"&amp;TEXT(M電入力!$G12,"00")&amp;");"</f>
        <v>Beacon.Put(113,0,100);</v>
      </c>
      <c r="C11" t="str">
        <f>"Beacon.Put(113,0,2"&amp;TEXT(M電入力!$G13,"00")&amp;");"</f>
        <v>Beacon.Put(113,0,200);</v>
      </c>
      <c r="D11" t="str">
        <f>"Beacon.Put(113,0,3"&amp;TEXT(M電入力!$G14,"00")&amp;");"</f>
        <v>Beacon.Put(113,0,300);</v>
      </c>
      <c r="E11" t="str">
        <f>"Beacon.Put(113,0,4"&amp;TEXT(M電入力!$G15,"00")&amp;");"</f>
        <v>Beacon.Put(113,0,400);</v>
      </c>
      <c r="F11" t="str">
        <f>"Beacon.Put(113,0,5"&amp;TEXT(M電入力!$G16,"00")&amp;");"</f>
        <v>Beacon.Put(113,0,500);</v>
      </c>
      <c r="G11" t="str">
        <f>"Beacon.Put(113,0,6"&amp;TEXT(M電入力!$G17,"00")&amp;");"</f>
        <v>Beacon.Put(113,0,600);</v>
      </c>
    </row>
    <row r="12" spans="1:7">
      <c r="A12" t="str">
        <f>M電入力!C13&amp;"+25;"</f>
        <v>35668+25;</v>
      </c>
      <c r="B12" t="str">
        <f>"Beacon.Put(113,0,1"&amp;TEXT(M電入力!$G13,"00")&amp;");"</f>
        <v>Beacon.Put(113,0,100);</v>
      </c>
      <c r="C12" t="str">
        <f>"Beacon.Put(113,0,2"&amp;TEXT(M電入力!$G14,"00")&amp;");"</f>
        <v>Beacon.Put(113,0,200);</v>
      </c>
      <c r="D12" t="str">
        <f>"Beacon.Put(113,0,3"&amp;TEXT(M電入力!$G15,"00")&amp;");"</f>
        <v>Beacon.Put(113,0,300);</v>
      </c>
      <c r="E12" t="str">
        <f>"Beacon.Put(113,0,4"&amp;TEXT(M電入力!$G16,"00")&amp;");"</f>
        <v>Beacon.Put(113,0,400);</v>
      </c>
      <c r="F12" t="str">
        <f>"Beacon.Put(113,0,5"&amp;TEXT(M電入力!$G17,"00")&amp;");"</f>
        <v>Beacon.Put(113,0,500);</v>
      </c>
      <c r="G12" t="str">
        <f>"Beacon.Put(113,0,6"&amp;TEXT(M電入力!$G18,"00")&amp;");"</f>
        <v>Beacon.Put(113,0,600);</v>
      </c>
    </row>
    <row r="13" spans="1:7">
      <c r="A13" t="str">
        <f>M電入力!C14&amp;"+25;"</f>
        <v>39538+25;</v>
      </c>
      <c r="B13" t="str">
        <f>"Beacon.Put(113,0,1"&amp;TEXT(M電入力!$G14,"00")&amp;");"</f>
        <v>Beacon.Put(113,0,100);</v>
      </c>
      <c r="C13" t="str">
        <f>"Beacon.Put(113,0,2"&amp;TEXT(M電入力!$G15,"00")&amp;");"</f>
        <v>Beacon.Put(113,0,200);</v>
      </c>
      <c r="D13" t="str">
        <f>"Beacon.Put(113,0,3"&amp;TEXT(M電入力!$G16,"00")&amp;");"</f>
        <v>Beacon.Put(113,0,300);</v>
      </c>
      <c r="E13" t="str">
        <f>"Beacon.Put(113,0,4"&amp;TEXT(M電入力!$G17,"00")&amp;");"</f>
        <v>Beacon.Put(113,0,400);</v>
      </c>
      <c r="F13" t="str">
        <f>"Beacon.Put(113,0,5"&amp;TEXT(M電入力!$G18,"00")&amp;");"</f>
        <v>Beacon.Put(113,0,500);</v>
      </c>
      <c r="G13" t="str">
        <f>"Beacon.Put(113,0,6"&amp;TEXT(M電入力!$G19,"00")&amp;");"</f>
        <v>Beacon.Put(113,0,600);</v>
      </c>
    </row>
    <row r="14" spans="1:7">
      <c r="A14" t="str">
        <f>M電入力!C15&amp;"+25;"</f>
        <v>43818+25;</v>
      </c>
      <c r="B14" t="str">
        <f>"Beacon.Put(113,0,1"&amp;TEXT(M電入力!$G15,"00")&amp;");"</f>
        <v>Beacon.Put(113,0,100);</v>
      </c>
      <c r="C14" t="str">
        <f>"Beacon.Put(113,0,2"&amp;TEXT(M電入力!$G16,"00")&amp;");"</f>
        <v>Beacon.Put(113,0,200);</v>
      </c>
      <c r="D14" t="str">
        <f>"Beacon.Put(113,0,3"&amp;TEXT(M電入力!$G17,"00")&amp;");"</f>
        <v>Beacon.Put(113,0,300);</v>
      </c>
      <c r="E14" t="str">
        <f>"Beacon.Put(113,0,4"&amp;TEXT(M電入力!$G18,"00")&amp;");"</f>
        <v>Beacon.Put(113,0,400);</v>
      </c>
      <c r="F14" t="str">
        <f>"Beacon.Put(113,0,5"&amp;TEXT(M電入力!$G19,"00")&amp;");"</f>
        <v>Beacon.Put(113,0,500);</v>
      </c>
      <c r="G14" t="str">
        <f>"Beacon.Put(113,0,6"&amp;TEXT(M電入力!$G20,"00")&amp;");"</f>
        <v>Beacon.Put(113,0,600);</v>
      </c>
    </row>
    <row r="15" spans="1:7">
      <c r="A15" t="str">
        <f>M電入力!C16&amp;"+25;"</f>
        <v>46196+25;</v>
      </c>
      <c r="B15" t="str">
        <f>"Beacon.Put(113,0,1"&amp;TEXT(M電入力!$G16,"00")&amp;");"</f>
        <v>Beacon.Put(113,0,100);</v>
      </c>
      <c r="C15" t="str">
        <f>"Beacon.Put(113,0,2"&amp;TEXT(M電入力!$G17,"00")&amp;");"</f>
        <v>Beacon.Put(113,0,200);</v>
      </c>
      <c r="D15" t="str">
        <f>"Beacon.Put(113,0,3"&amp;TEXT(M電入力!$G18,"00")&amp;");"</f>
        <v>Beacon.Put(113,0,300);</v>
      </c>
      <c r="E15" t="str">
        <f>"Beacon.Put(113,0,4"&amp;TEXT(M電入力!$G19,"00")&amp;");"</f>
        <v>Beacon.Put(113,0,400);</v>
      </c>
      <c r="F15" t="str">
        <f>"Beacon.Put(113,0,5"&amp;TEXT(M電入力!$G20,"00")&amp;");"</f>
        <v>Beacon.Put(113,0,500);</v>
      </c>
      <c r="G15" t="str">
        <f>"Beacon.Put(113,0,6"&amp;TEXT(M電入力!$G21,"00")&amp;");"</f>
        <v>Beacon.Put(113,0,600);</v>
      </c>
    </row>
    <row r="16" spans="1:7">
      <c r="A16" t="str">
        <f>M電入力!C17&amp;"+25;"</f>
        <v>49193+25;</v>
      </c>
      <c r="B16" t="str">
        <f>"Beacon.Put(113,0,1"&amp;TEXT(M電入力!$G17,"00")&amp;");"</f>
        <v>Beacon.Put(113,0,100);</v>
      </c>
      <c r="C16" t="str">
        <f>"Beacon.Put(113,0,2"&amp;TEXT(M電入力!$G18,"00")&amp;");"</f>
        <v>Beacon.Put(113,0,200);</v>
      </c>
      <c r="D16" t="str">
        <f>"Beacon.Put(113,0,3"&amp;TEXT(M電入力!$G19,"00")&amp;");"</f>
        <v>Beacon.Put(113,0,300);</v>
      </c>
      <c r="E16" t="str">
        <f>"Beacon.Put(113,0,4"&amp;TEXT(M電入力!$G20,"00")&amp;");"</f>
        <v>Beacon.Put(113,0,400);</v>
      </c>
      <c r="F16" t="str">
        <f>"Beacon.Put(113,0,5"&amp;TEXT(M電入力!$G21,"00")&amp;");"</f>
        <v>Beacon.Put(113,0,500);</v>
      </c>
      <c r="G16" t="str">
        <f>"Beacon.Put(113,0,6"&amp;TEXT(M電入力!$G22,"00")&amp;");"</f>
        <v>Beacon.Put(113,0,600);</v>
      </c>
    </row>
    <row r="17" spans="1:7">
      <c r="A17" t="str">
        <f>M電入力!C18&amp;"+25;"</f>
        <v>51971+25;</v>
      </c>
      <c r="B17" t="str">
        <f>"Beacon.Put(113,0,1"&amp;TEXT(M電入力!$G18,"00")&amp;");"</f>
        <v>Beacon.Put(113,0,100);</v>
      </c>
      <c r="C17" t="str">
        <f>"Beacon.Put(113,0,2"&amp;TEXT(M電入力!$G19,"00")&amp;");"</f>
        <v>Beacon.Put(113,0,200);</v>
      </c>
      <c r="D17" t="str">
        <f>"Beacon.Put(113,0,3"&amp;TEXT(M電入力!$G20,"00")&amp;");"</f>
        <v>Beacon.Put(113,0,300);</v>
      </c>
      <c r="E17" t="str">
        <f>"Beacon.Put(113,0,4"&amp;TEXT(M電入力!$G21,"00")&amp;");"</f>
        <v>Beacon.Put(113,0,400);</v>
      </c>
      <c r="F17" t="str">
        <f>"Beacon.Put(113,0,5"&amp;TEXT(M電入力!$G22,"00")&amp;");"</f>
        <v>Beacon.Put(113,0,500);</v>
      </c>
      <c r="G17" t="str">
        <f>"Beacon.Put(113,0,6"&amp;TEXT(M電入力!$G23,"00")&amp;");"</f>
        <v>Beacon.Put(113,0,600);</v>
      </c>
    </row>
    <row r="18" spans="1:7">
      <c r="A18" t="str">
        <f>M電入力!C19&amp;"+25;"</f>
        <v>57590+25;</v>
      </c>
      <c r="B18" t="str">
        <f>"Beacon.Put(113,0,1"&amp;TEXT(M電入力!$G19,"00")&amp;");"</f>
        <v>Beacon.Put(113,0,100);</v>
      </c>
      <c r="C18" t="str">
        <f>"Beacon.Put(113,0,2"&amp;TEXT(M電入力!$G20,"00")&amp;");"</f>
        <v>Beacon.Put(113,0,200);</v>
      </c>
      <c r="D18" t="str">
        <f>"Beacon.Put(113,0,3"&amp;TEXT(M電入力!$G21,"00")&amp;");"</f>
        <v>Beacon.Put(113,0,300);</v>
      </c>
      <c r="E18" t="str">
        <f>"Beacon.Put(113,0,4"&amp;TEXT(M電入力!$G22,"00")&amp;");"</f>
        <v>Beacon.Put(113,0,400);</v>
      </c>
      <c r="F18" t="str">
        <f>"Beacon.Put(113,0,5"&amp;TEXT(M電入力!$G23,"00")&amp;");"</f>
        <v>Beacon.Put(113,0,500);</v>
      </c>
      <c r="G18" t="str">
        <f>"Beacon.Put(113,0,6"&amp;TEXT(M電入力!$G24,"00")&amp;");"</f>
        <v>Beacon.Put(113,0,600);</v>
      </c>
    </row>
    <row r="19" spans="1:7">
      <c r="A19" t="str">
        <f>M電入力!C20&amp;"+25;"</f>
        <v>65015+25;</v>
      </c>
      <c r="B19" t="str">
        <f>"Beacon.Put(113,0,1"&amp;TEXT(M電入力!$G20,"00")&amp;");"</f>
        <v>Beacon.Put(113,0,100);</v>
      </c>
      <c r="C19" t="str">
        <f>"Beacon.Put(113,0,2"&amp;TEXT(M電入力!$G21,"00")&amp;");"</f>
        <v>Beacon.Put(113,0,200);</v>
      </c>
      <c r="D19" t="str">
        <f>"Beacon.Put(113,0,3"&amp;TEXT(M電入力!$G22,"00")&amp;");"</f>
        <v>Beacon.Put(113,0,300);</v>
      </c>
      <c r="E19" t="str">
        <f>"Beacon.Put(113,0,4"&amp;TEXT(M電入力!$G23,"00")&amp;");"</f>
        <v>Beacon.Put(113,0,400);</v>
      </c>
      <c r="F19" t="str">
        <f>"Beacon.Put(113,0,5"&amp;TEXT(M電入力!$G24,"00")&amp;");"</f>
        <v>Beacon.Put(113,0,500);</v>
      </c>
      <c r="G19" t="str">
        <f>"Beacon.Put(113,0,6"&amp;TEXT(M電入力!$G25,"00")&amp;");"</f>
        <v>Beacon.Put(113,0,600);</v>
      </c>
    </row>
    <row r="20" spans="1:7">
      <c r="A20" t="str">
        <f>M電入力!C21&amp;"+25;"</f>
        <v>69762+25;</v>
      </c>
      <c r="B20" t="str">
        <f>"Beacon.Put(113,0,1"&amp;TEXT(M電入力!$G21,"00")&amp;");"</f>
        <v>Beacon.Put(113,0,100);</v>
      </c>
      <c r="C20" t="str">
        <f>"Beacon.Put(113,0,2"&amp;TEXT(M電入力!$G22,"00")&amp;");"</f>
        <v>Beacon.Put(113,0,200);</v>
      </c>
      <c r="D20" t="str">
        <f>"Beacon.Put(113,0,3"&amp;TEXT(M電入力!$G23,"00")&amp;");"</f>
        <v>Beacon.Put(113,0,300);</v>
      </c>
      <c r="E20" t="str">
        <f>"Beacon.Put(113,0,4"&amp;TEXT(M電入力!$G24,"00")&amp;");"</f>
        <v>Beacon.Put(113,0,400);</v>
      </c>
      <c r="F20" t="str">
        <f>"Beacon.Put(113,0,5"&amp;TEXT(M電入力!$G25,"00")&amp;");"</f>
        <v>Beacon.Put(113,0,500);</v>
      </c>
      <c r="G20" t="str">
        <f>"Beacon.Put(113,0,6"&amp;TEXT(M電入力!$G26,"00")&amp;");"</f>
        <v>Beacon.Put(113,0,600);</v>
      </c>
    </row>
    <row r="21" spans="1:7">
      <c r="A21" t="str">
        <f>M電入力!C22&amp;"+25;"</f>
        <v>73595+25;</v>
      </c>
      <c r="B21" t="str">
        <f>"Beacon.Put(113,0,1"&amp;TEXT(M電入力!$G22,"00")&amp;");"</f>
        <v>Beacon.Put(113,0,100);</v>
      </c>
      <c r="C21" t="str">
        <f>"Beacon.Put(113,0,2"&amp;TEXT(M電入力!$G23,"00")&amp;");"</f>
        <v>Beacon.Put(113,0,200);</v>
      </c>
      <c r="D21" t="str">
        <f>"Beacon.Put(113,0,3"&amp;TEXT(M電入力!$G24,"00")&amp;");"</f>
        <v>Beacon.Put(113,0,300);</v>
      </c>
      <c r="E21" t="str">
        <f>"Beacon.Put(113,0,4"&amp;TEXT(M電入力!$G25,"00")&amp;");"</f>
        <v>Beacon.Put(113,0,400);</v>
      </c>
      <c r="F21" t="str">
        <f>"Beacon.Put(113,0,5"&amp;TEXT(M電入力!$G26,"00")&amp;");"</f>
        <v>Beacon.Put(113,0,500);</v>
      </c>
      <c r="G21" t="str">
        <f>"Beacon.Put(113,0,6"&amp;TEXT(M電入力!$G27,"00")&amp;");"</f>
        <v>Beacon.Put(113,0,600);</v>
      </c>
    </row>
    <row r="22" spans="1:7">
      <c r="A22" t="str">
        <f>M電入力!C23&amp;"+25;"</f>
        <v>80960+25;</v>
      </c>
      <c r="B22" t="str">
        <f>"Beacon.Put(113,0,1"&amp;TEXT(M電入力!$G23,"00")&amp;");"</f>
        <v>Beacon.Put(113,0,100);</v>
      </c>
      <c r="C22" t="str">
        <f>"Beacon.Put(113,0,2"&amp;TEXT(M電入力!$G24,"00")&amp;");"</f>
        <v>Beacon.Put(113,0,200);</v>
      </c>
      <c r="D22" t="str">
        <f>"Beacon.Put(113,0,3"&amp;TEXT(M電入力!$G25,"00")&amp;");"</f>
        <v>Beacon.Put(113,0,300);</v>
      </c>
      <c r="E22" t="str">
        <f>"Beacon.Put(113,0,4"&amp;TEXT(M電入力!$G26,"00")&amp;");"</f>
        <v>Beacon.Put(113,0,400);</v>
      </c>
      <c r="F22" t="str">
        <f>"Beacon.Put(113,0,5"&amp;TEXT(M電入力!$G27,"00")&amp;");"</f>
        <v>Beacon.Put(113,0,500);</v>
      </c>
      <c r="G22" t="str">
        <f>"Beacon.Put(113,0,6"&amp;TEXT(M電入力!$G28,"00")&amp;");"</f>
        <v>Beacon.Put(113,0,600);</v>
      </c>
    </row>
    <row r="23" spans="1:7">
      <c r="A23" t="str">
        <f>M電入力!C24&amp;"+25;"</f>
        <v>88412+25;</v>
      </c>
      <c r="B23" t="str">
        <f>"Beacon.Put(113,0,1"&amp;TEXT(M電入力!$G24,"00")&amp;");"</f>
        <v>Beacon.Put(113,0,100);</v>
      </c>
      <c r="C23" t="str">
        <f>"Beacon.Put(113,0,2"&amp;TEXT(M電入力!$G25,"00")&amp;");"</f>
        <v>Beacon.Put(113,0,200);</v>
      </c>
      <c r="D23" t="str">
        <f>"Beacon.Put(113,0,3"&amp;TEXT(M電入力!$G26,"00")&amp;");"</f>
        <v>Beacon.Put(113,0,300);</v>
      </c>
      <c r="E23" t="str">
        <f>"Beacon.Put(113,0,4"&amp;TEXT(M電入力!$G27,"00")&amp;");"</f>
        <v>Beacon.Put(113,0,400);</v>
      </c>
      <c r="F23" t="str">
        <f>"Beacon.Put(113,0,5"&amp;TEXT(M電入力!$G28,"00")&amp;");"</f>
        <v>Beacon.Put(113,0,500);</v>
      </c>
      <c r="G23" t="str">
        <f>"Beacon.Put(113,0,6"&amp;TEXT(M電入力!$G29,"00")&amp;");"</f>
        <v>Beacon.Put(113,0,600);</v>
      </c>
    </row>
    <row r="24" spans="1:7">
      <c r="A24" t="str">
        <f>M電入力!C25&amp;"+25;"</f>
        <v>91012+25;</v>
      </c>
      <c r="B24" t="str">
        <f>"Beacon.Put(113,0,1"&amp;TEXT(M電入力!$G25,"00")&amp;");"</f>
        <v>Beacon.Put(113,0,100);</v>
      </c>
      <c r="C24" t="str">
        <f>"Beacon.Put(113,0,2"&amp;TEXT(M電入力!$G26,"00")&amp;");"</f>
        <v>Beacon.Put(113,0,200);</v>
      </c>
      <c r="D24" t="str">
        <f>"Beacon.Put(113,0,3"&amp;TEXT(M電入力!$G27,"00")&amp;");"</f>
        <v>Beacon.Put(113,0,300);</v>
      </c>
      <c r="E24" t="str">
        <f>"Beacon.Put(113,0,4"&amp;TEXT(M電入力!$G28,"00")&amp;");"</f>
        <v>Beacon.Put(113,0,400);</v>
      </c>
      <c r="F24" t="str">
        <f>"Beacon.Put(113,0,5"&amp;TEXT(M電入力!$G29,"00")&amp;");"</f>
        <v>Beacon.Put(113,0,500);</v>
      </c>
      <c r="G24" t="str">
        <f>"Beacon.Put(113,0,6"&amp;TEXT(M電入力!$G30,"00")&amp;");"</f>
        <v>Beacon.Put(113,0,600);</v>
      </c>
    </row>
    <row r="25" spans="1:7">
      <c r="A25" t="str">
        <f>M電入力!C26&amp;"+25;"</f>
        <v>95735+25;</v>
      </c>
      <c r="B25" t="str">
        <f>"Beacon.Put(113,0,1"&amp;TEXT(M電入力!$G26,"00")&amp;");"</f>
        <v>Beacon.Put(113,0,100);</v>
      </c>
      <c r="C25" t="str">
        <f>"Beacon.Put(113,0,2"&amp;TEXT(M電入力!$G27,"00")&amp;");"</f>
        <v>Beacon.Put(113,0,200);</v>
      </c>
      <c r="D25" t="str">
        <f>"Beacon.Put(113,0,3"&amp;TEXT(M電入力!$G28,"00")&amp;");"</f>
        <v>Beacon.Put(113,0,300);</v>
      </c>
      <c r="E25" t="str">
        <f>"Beacon.Put(113,0,4"&amp;TEXT(M電入力!$G29,"00")&amp;");"</f>
        <v>Beacon.Put(113,0,400);</v>
      </c>
      <c r="F25" t="str">
        <f>"Beacon.Put(113,0,5"&amp;TEXT(M電入力!$G30,"00")&amp;");"</f>
        <v>Beacon.Put(113,0,500);</v>
      </c>
      <c r="G25" t="str">
        <f>"Beacon.Put(113,0,6"&amp;TEXT(M電入力!$G31,"00")&amp;");"</f>
        <v>Beacon.Put(113,0,600);</v>
      </c>
    </row>
    <row r="26" spans="1:7">
      <c r="A26" t="str">
        <f>M電入力!C27&amp;"+25;"</f>
        <v>98975+25;</v>
      </c>
      <c r="B26" t="str">
        <f>"Beacon.Put(113,0,1"&amp;TEXT(M電入力!$G27,"00")&amp;");"</f>
        <v>Beacon.Put(113,0,100);</v>
      </c>
      <c r="C26" t="str">
        <f>"Beacon.Put(113,0,2"&amp;TEXT(M電入力!$G28,"00")&amp;");"</f>
        <v>Beacon.Put(113,0,200);</v>
      </c>
      <c r="D26" t="str">
        <f>"Beacon.Put(113,0,3"&amp;TEXT(M電入力!$G29,"00")&amp;");"</f>
        <v>Beacon.Put(113,0,300);</v>
      </c>
      <c r="E26" t="str">
        <f>"Beacon.Put(113,0,4"&amp;TEXT(M電入力!$G30,"00")&amp;");"</f>
        <v>Beacon.Put(113,0,400);</v>
      </c>
      <c r="F26" t="str">
        <f>"Beacon.Put(113,0,5"&amp;TEXT(M電入力!$G31,"00")&amp;");"</f>
        <v>Beacon.Put(113,0,500);</v>
      </c>
      <c r="G26" t="str">
        <f>"Beacon.Put(113,0,6"&amp;TEXT(M電入力!$G32,"00")&amp;");"</f>
        <v>Beacon.Put(113,0,600);</v>
      </c>
    </row>
    <row r="27" spans="1:7">
      <c r="A27" t="str">
        <f>M電入力!C28&amp;"+25;"</f>
        <v>102162+25;</v>
      </c>
      <c r="B27" t="str">
        <f>"Beacon.Put(113,0,1"&amp;TEXT(M電入力!$G28,"00")&amp;");"</f>
        <v>Beacon.Put(113,0,100);</v>
      </c>
      <c r="C27" t="str">
        <f>"Beacon.Put(113,0,2"&amp;TEXT(M電入力!$G29,"00")&amp;");"</f>
        <v>Beacon.Put(113,0,200);</v>
      </c>
      <c r="D27" t="str">
        <f>"Beacon.Put(113,0,3"&amp;TEXT(M電入力!$G30,"00")&amp;");"</f>
        <v>Beacon.Put(113,0,300);</v>
      </c>
      <c r="E27" t="str">
        <f>"Beacon.Put(113,0,4"&amp;TEXT(M電入力!$G31,"00")&amp;");"</f>
        <v>Beacon.Put(113,0,400);</v>
      </c>
      <c r="F27" t="str">
        <f>"Beacon.Put(113,0,5"&amp;TEXT(M電入力!$G32,"00")&amp;");"</f>
        <v>Beacon.Put(113,0,500);</v>
      </c>
      <c r="G27" t="str">
        <f>"Beacon.Put(113,0,6"&amp;TEXT(M電入力!$G33,"00")&amp;");"</f>
        <v>Beacon.Put(113,0,600);</v>
      </c>
    </row>
    <row r="28" spans="1:7">
      <c r="A28" t="str">
        <f>M電入力!C29&amp;"+25;"</f>
        <v>109904+25;</v>
      </c>
      <c r="B28" t="str">
        <f>"Beacon.Put(113,0,1"&amp;TEXT(M電入力!$G29,"00")&amp;");"</f>
        <v>Beacon.Put(113,0,100);</v>
      </c>
      <c r="C28" t="str">
        <f>"Beacon.Put(113,0,2"&amp;TEXT(M電入力!$G30,"00")&amp;");"</f>
        <v>Beacon.Put(113,0,200);</v>
      </c>
      <c r="D28" t="str">
        <f>"Beacon.Put(113,0,3"&amp;TEXT(M電入力!$G31,"00")&amp;");"</f>
        <v>Beacon.Put(113,0,300);</v>
      </c>
      <c r="E28" t="str">
        <f>"Beacon.Put(113,0,4"&amp;TEXT(M電入力!$G32,"00")&amp;");"</f>
        <v>Beacon.Put(113,0,400);</v>
      </c>
      <c r="F28" t="str">
        <f>"Beacon.Put(113,0,5"&amp;TEXT(M電入力!$G33,"00")&amp;");"</f>
        <v>Beacon.Put(113,0,500);</v>
      </c>
      <c r="G28" t="str">
        <f>"Beacon.Put(113,0,6"&amp;TEXT(M電入力!$G34,"00")&amp;");"</f>
        <v>Beacon.Put(113,0,600);</v>
      </c>
    </row>
    <row r="29" spans="1:7">
      <c r="A29" t="str">
        <f>M電入力!C30&amp;"+25;"</f>
        <v>+25;</v>
      </c>
      <c r="B29" t="str">
        <f>"Beacon.Put(113,0,1"&amp;TEXT(M電入力!$G30,"00")&amp;");"</f>
        <v>Beacon.Put(113,0,100);</v>
      </c>
      <c r="C29" t="str">
        <f>"Beacon.Put(113,0,2"&amp;TEXT(M電入力!$G31,"00")&amp;");"</f>
        <v>Beacon.Put(113,0,200);</v>
      </c>
      <c r="D29" t="str">
        <f>"Beacon.Put(113,0,3"&amp;TEXT(M電入力!$G32,"00")&amp;");"</f>
        <v>Beacon.Put(113,0,300);</v>
      </c>
      <c r="E29" t="str">
        <f>"Beacon.Put(113,0,4"&amp;TEXT(M電入力!$G33,"00")&amp;");"</f>
        <v>Beacon.Put(113,0,400);</v>
      </c>
      <c r="F29" t="str">
        <f>"Beacon.Put(113,0,5"&amp;TEXT(M電入力!$G34,"00")&amp;");"</f>
        <v>Beacon.Put(113,0,500);</v>
      </c>
      <c r="G29" t="str">
        <f>"Beacon.Put(113,0,6"&amp;TEXT(M電入力!$G35,"00")&amp;");"</f>
        <v>Beacon.Put(113,0,600);</v>
      </c>
    </row>
    <row r="30" spans="1:7">
      <c r="A30" t="str">
        <f>M電入力!C31&amp;"+25;"</f>
        <v>+25;</v>
      </c>
      <c r="B30" t="str">
        <f>"Beacon.Put(113,0,1"&amp;TEXT(M電入力!$G31,"00")&amp;");"</f>
        <v>Beacon.Put(113,0,100);</v>
      </c>
      <c r="C30" t="str">
        <f>"Beacon.Put(113,0,2"&amp;TEXT(M電入力!$G32,"00")&amp;");"</f>
        <v>Beacon.Put(113,0,200);</v>
      </c>
      <c r="D30" t="str">
        <f>"Beacon.Put(113,0,3"&amp;TEXT(M電入力!$G33,"00")&amp;");"</f>
        <v>Beacon.Put(113,0,300);</v>
      </c>
      <c r="E30" t="str">
        <f>"Beacon.Put(113,0,4"&amp;TEXT(M電入力!$G34,"00")&amp;");"</f>
        <v>Beacon.Put(113,0,400);</v>
      </c>
      <c r="F30" t="str">
        <f>"Beacon.Put(113,0,5"&amp;TEXT(M電入力!$G35,"00")&amp;");"</f>
        <v>Beacon.Put(113,0,500);</v>
      </c>
      <c r="G30" t="str">
        <f>"Beacon.Put(113,0,6"&amp;TEXT(M電入力!$G36,"00")&amp;");"</f>
        <v>Beacon.Put(113,0,600);</v>
      </c>
    </row>
    <row r="31" spans="1:7">
      <c r="A31" t="str">
        <f>M電入力!C32&amp;"+25;"</f>
        <v>+25;</v>
      </c>
      <c r="B31" t="str">
        <f>"Beacon.Put(113,0,1"&amp;TEXT(M電入力!$G32,"00")&amp;");"</f>
        <v>Beacon.Put(113,0,100);</v>
      </c>
      <c r="C31" t="str">
        <f>"Beacon.Put(113,0,2"&amp;TEXT(M電入力!$G33,"00")&amp;");"</f>
        <v>Beacon.Put(113,0,200);</v>
      </c>
      <c r="D31" t="str">
        <f>"Beacon.Put(113,0,3"&amp;TEXT(M電入力!$G34,"00")&amp;");"</f>
        <v>Beacon.Put(113,0,300);</v>
      </c>
      <c r="E31" t="str">
        <f>"Beacon.Put(113,0,4"&amp;TEXT(M電入力!$G35,"00")&amp;");"</f>
        <v>Beacon.Put(113,0,400);</v>
      </c>
      <c r="F31" t="str">
        <f>"Beacon.Put(113,0,5"&amp;TEXT(M電入力!$G36,"00")&amp;");"</f>
        <v>Beacon.Put(113,0,500);</v>
      </c>
      <c r="G31" t="str">
        <f>"Beacon.Put(113,0,6"&amp;TEXT(M電入力!$G37,"00")&amp;");"</f>
        <v>Beacon.Put(113,0,600);</v>
      </c>
    </row>
    <row r="32" spans="1:7">
      <c r="A32" t="str">
        <f>M電入力!C33&amp;"+25;"</f>
        <v>+25;</v>
      </c>
      <c r="B32" t="str">
        <f>"Beacon.Put(113,0,1"&amp;TEXT(M電入力!$G33,"00")&amp;");"</f>
        <v>Beacon.Put(113,0,100);</v>
      </c>
      <c r="C32" t="str">
        <f>"Beacon.Put(113,0,2"&amp;TEXT(M電入力!$G34,"00")&amp;");"</f>
        <v>Beacon.Put(113,0,200);</v>
      </c>
      <c r="D32" t="str">
        <f>"Beacon.Put(113,0,3"&amp;TEXT(M電入力!$G35,"00")&amp;");"</f>
        <v>Beacon.Put(113,0,300);</v>
      </c>
      <c r="E32" t="str">
        <f>"Beacon.Put(113,0,4"&amp;TEXT(M電入力!$G36,"00")&amp;");"</f>
        <v>Beacon.Put(113,0,400);</v>
      </c>
      <c r="F32" t="str">
        <f>"Beacon.Put(113,0,5"&amp;TEXT(M電入力!$G37,"00")&amp;");"</f>
        <v>Beacon.Put(113,0,500);</v>
      </c>
      <c r="G32" t="str">
        <f>"Beacon.Put(113,0,6"&amp;TEXT(M電入力!$G38,"00")&amp;");"</f>
        <v>Beacon.Put(113,0,600);</v>
      </c>
    </row>
    <row r="33" spans="1:7">
      <c r="A33" t="str">
        <f>M電入力!C34&amp;"+25;"</f>
        <v>+25;</v>
      </c>
      <c r="B33" t="str">
        <f>"Beacon.Put(113,0,1"&amp;TEXT(M電入力!$G34,"00")&amp;");"</f>
        <v>Beacon.Put(113,0,100);</v>
      </c>
      <c r="C33" t="str">
        <f>"Beacon.Put(113,0,2"&amp;TEXT(M電入力!$G35,"00")&amp;");"</f>
        <v>Beacon.Put(113,0,200);</v>
      </c>
      <c r="D33" t="str">
        <f>"Beacon.Put(113,0,3"&amp;TEXT(M電入力!$G36,"00")&amp;");"</f>
        <v>Beacon.Put(113,0,300);</v>
      </c>
      <c r="E33" t="str">
        <f>"Beacon.Put(113,0,4"&amp;TEXT(M電入力!$G37,"00")&amp;");"</f>
        <v>Beacon.Put(113,0,400);</v>
      </c>
      <c r="F33" t="str">
        <f>"Beacon.Put(113,0,5"&amp;TEXT(M電入力!$G38,"00")&amp;");"</f>
        <v>Beacon.Put(113,0,500);</v>
      </c>
      <c r="G33" t="str">
        <f>"Beacon.Put(113,0,6"&amp;TEXT(M電入力!$G39,"00")&amp;");"</f>
        <v>Beacon.Put(113,0,600);</v>
      </c>
    </row>
    <row r="34" spans="1:7">
      <c r="A34" t="str">
        <f>M電入力!C35&amp;"+25;"</f>
        <v>+25;</v>
      </c>
      <c r="B34" t="str">
        <f>"Beacon.Put(113,0,1"&amp;TEXT(M電入力!$G35,"00")&amp;");"</f>
        <v>Beacon.Put(113,0,100);</v>
      </c>
      <c r="C34" t="str">
        <f>"Beacon.Put(113,0,2"&amp;TEXT(M電入力!$G36,"00")&amp;");"</f>
        <v>Beacon.Put(113,0,200);</v>
      </c>
      <c r="D34" t="str">
        <f>"Beacon.Put(113,0,3"&amp;TEXT(M電入力!$G37,"00")&amp;");"</f>
        <v>Beacon.Put(113,0,300);</v>
      </c>
      <c r="E34" t="str">
        <f>"Beacon.Put(113,0,4"&amp;TEXT(M電入力!$G38,"00")&amp;");"</f>
        <v>Beacon.Put(113,0,400);</v>
      </c>
      <c r="F34" t="str">
        <f>"Beacon.Put(113,0,5"&amp;TEXT(M電入力!$G39,"00")&amp;");"</f>
        <v>Beacon.Put(113,0,500);</v>
      </c>
      <c r="G34" t="str">
        <f>"Beacon.Put(113,0,6"&amp;TEXT(M電入力!$G40,"00")&amp;");"</f>
        <v>Beacon.Put(113,0,600);</v>
      </c>
    </row>
    <row r="35" spans="1:7">
      <c r="A35" t="str">
        <f>M電入力!C36&amp;"+25;"</f>
        <v>+25;</v>
      </c>
      <c r="B35" t="str">
        <f>"Beacon.Put(113,0,1"&amp;TEXT(M電入力!$G36,"00")&amp;");"</f>
        <v>Beacon.Put(113,0,100);</v>
      </c>
      <c r="C35" t="str">
        <f>"Beacon.Put(113,0,2"&amp;TEXT(M電入力!$G37,"00")&amp;");"</f>
        <v>Beacon.Put(113,0,200);</v>
      </c>
      <c r="D35" t="str">
        <f>"Beacon.Put(113,0,3"&amp;TEXT(M電入力!$G38,"00")&amp;");"</f>
        <v>Beacon.Put(113,0,300);</v>
      </c>
      <c r="E35" t="str">
        <f>"Beacon.Put(113,0,4"&amp;TEXT(M電入力!$G39,"00")&amp;");"</f>
        <v>Beacon.Put(113,0,400);</v>
      </c>
      <c r="F35" t="str">
        <f>"Beacon.Put(113,0,5"&amp;TEXT(M電入力!$G40,"00")&amp;");"</f>
        <v>Beacon.Put(113,0,500);</v>
      </c>
      <c r="G35" t="str">
        <f>"Beacon.Put(113,0,6"&amp;TEXT(M電入力!$G41,"00")&amp;");"</f>
        <v>Beacon.Put(113,0,600);</v>
      </c>
    </row>
    <row r="36" spans="1:7">
      <c r="A36" t="str">
        <f>M電入力!C37&amp;"+25;"</f>
        <v>+25;</v>
      </c>
      <c r="B36" t="str">
        <f>"Beacon.Put(113,0,1"&amp;TEXT(M電入力!$G37,"00")&amp;");"</f>
        <v>Beacon.Put(113,0,100);</v>
      </c>
      <c r="C36" t="str">
        <f>"Beacon.Put(113,0,2"&amp;TEXT(M電入力!$G38,"00")&amp;");"</f>
        <v>Beacon.Put(113,0,200);</v>
      </c>
      <c r="D36" t="str">
        <f>"Beacon.Put(113,0,3"&amp;TEXT(M電入力!$G39,"00")&amp;");"</f>
        <v>Beacon.Put(113,0,300);</v>
      </c>
      <c r="E36" t="str">
        <f>"Beacon.Put(113,0,4"&amp;TEXT(M電入力!$G40,"00")&amp;");"</f>
        <v>Beacon.Put(113,0,400);</v>
      </c>
      <c r="F36" t="str">
        <f>"Beacon.Put(113,0,5"&amp;TEXT(M電入力!$G41,"00")&amp;");"</f>
        <v>Beacon.Put(113,0,500);</v>
      </c>
      <c r="G36" t="str">
        <f>"Beacon.Put(113,0,6"&amp;TEXT(M電入力!$G42,"00")&amp;");"</f>
        <v>Beacon.Put(113,0,600);</v>
      </c>
    </row>
    <row r="37" spans="1:7">
      <c r="A37" t="str">
        <f>M電入力!C38&amp;"+25;"</f>
        <v>+25;</v>
      </c>
      <c r="B37" t="str">
        <f>"Beacon.Put(113,0,1"&amp;TEXT(M電入力!$G38,"00")&amp;");"</f>
        <v>Beacon.Put(113,0,100);</v>
      </c>
      <c r="C37" t="str">
        <f>"Beacon.Put(113,0,2"&amp;TEXT(M電入力!$G39,"00")&amp;");"</f>
        <v>Beacon.Put(113,0,200);</v>
      </c>
      <c r="D37" t="str">
        <f>"Beacon.Put(113,0,3"&amp;TEXT(M電入力!$G40,"00")&amp;");"</f>
        <v>Beacon.Put(113,0,300);</v>
      </c>
      <c r="E37" t="str">
        <f>"Beacon.Put(113,0,4"&amp;TEXT(M電入力!$G41,"00")&amp;");"</f>
        <v>Beacon.Put(113,0,400);</v>
      </c>
      <c r="F37" t="str">
        <f>"Beacon.Put(113,0,5"&amp;TEXT(M電入力!$G42,"00")&amp;");"</f>
        <v>Beacon.Put(113,0,500);</v>
      </c>
      <c r="G37" t="str">
        <f>"Beacon.Put(113,0,6"&amp;TEXT(M電入力!$G43,"00")&amp;");"</f>
        <v>Beacon.Put(113,0,600);</v>
      </c>
    </row>
    <row r="38" spans="1:7">
      <c r="A38" t="str">
        <f>M電入力!C39&amp;"+25;"</f>
        <v>+25;</v>
      </c>
      <c r="B38" t="str">
        <f>"Beacon.Put(113,0,1"&amp;TEXT(M電入力!$G39,"00")&amp;");"</f>
        <v>Beacon.Put(113,0,100);</v>
      </c>
      <c r="C38" t="str">
        <f>"Beacon.Put(113,0,2"&amp;TEXT(M電入力!$G40,"00")&amp;");"</f>
        <v>Beacon.Put(113,0,200);</v>
      </c>
      <c r="D38" t="str">
        <f>"Beacon.Put(113,0,3"&amp;TEXT(M電入力!$G41,"00")&amp;");"</f>
        <v>Beacon.Put(113,0,300);</v>
      </c>
      <c r="E38" t="str">
        <f>"Beacon.Put(113,0,4"&amp;TEXT(M電入力!$G42,"00")&amp;");"</f>
        <v>Beacon.Put(113,0,400);</v>
      </c>
      <c r="F38" t="str">
        <f>"Beacon.Put(113,0,5"&amp;TEXT(M電入力!$G43,"00")&amp;");"</f>
        <v>Beacon.Put(113,0,500);</v>
      </c>
      <c r="G38" t="str">
        <f>"Beacon.Put(113,0,6"&amp;TEXT(M電入力!$G44,"00")&amp;");"</f>
        <v>Beacon.Put(113,0,600);</v>
      </c>
    </row>
    <row r="39" spans="1:7">
      <c r="A39" t="str">
        <f>M電入力!C40&amp;"+25;"</f>
        <v>+25;</v>
      </c>
      <c r="B39" t="str">
        <f>"Beacon.Put(113,0,1"&amp;TEXT(M電入力!$G40,"00")&amp;");"</f>
        <v>Beacon.Put(113,0,100);</v>
      </c>
      <c r="C39" t="str">
        <f>"Beacon.Put(113,0,2"&amp;TEXT(M電入力!$G41,"00")&amp;");"</f>
        <v>Beacon.Put(113,0,200);</v>
      </c>
      <c r="D39" t="str">
        <f>"Beacon.Put(113,0,3"&amp;TEXT(M電入力!$G42,"00")&amp;");"</f>
        <v>Beacon.Put(113,0,300);</v>
      </c>
      <c r="E39" t="str">
        <f>"Beacon.Put(113,0,4"&amp;TEXT(M電入力!$G43,"00")&amp;");"</f>
        <v>Beacon.Put(113,0,400);</v>
      </c>
      <c r="F39" t="str">
        <f>"Beacon.Put(113,0,5"&amp;TEXT(M電入力!$G44,"00")&amp;");"</f>
        <v>Beacon.Put(113,0,500);</v>
      </c>
      <c r="G39" t="str">
        <f>"Beacon.Put(113,0,6"&amp;TEXT(M電入力!$G45,"00")&amp;");"</f>
        <v>Beacon.Put(113,0,600);</v>
      </c>
    </row>
    <row r="40" spans="1:7">
      <c r="A40" t="str">
        <f>M電入力!C41&amp;"+25;"</f>
        <v>+25;</v>
      </c>
      <c r="B40" t="str">
        <f>"Beacon.Put(113,0,1"&amp;TEXT(M電入力!$G41,"00")&amp;");"</f>
        <v>Beacon.Put(113,0,100);</v>
      </c>
      <c r="C40" t="str">
        <f>"Beacon.Put(113,0,2"&amp;TEXT(M電入力!$G42,"00")&amp;");"</f>
        <v>Beacon.Put(113,0,200);</v>
      </c>
      <c r="D40" t="str">
        <f>"Beacon.Put(113,0,3"&amp;TEXT(M電入力!$G43,"00")&amp;");"</f>
        <v>Beacon.Put(113,0,300);</v>
      </c>
      <c r="E40" t="str">
        <f>"Beacon.Put(113,0,4"&amp;TEXT(M電入力!$G44,"00")&amp;");"</f>
        <v>Beacon.Put(113,0,400);</v>
      </c>
      <c r="F40" t="str">
        <f>"Beacon.Put(113,0,5"&amp;TEXT(M電入力!$G45,"00")&amp;");"</f>
        <v>Beacon.Put(113,0,500);</v>
      </c>
      <c r="G40" t="str">
        <f>"Beacon.Put(113,0,6"&amp;TEXT(M電入力!$G46,"00")&amp;");"</f>
        <v>Beacon.Put(113,0,600);</v>
      </c>
    </row>
    <row r="41" spans="1:7">
      <c r="A41" t="str">
        <f>M電入力!C42&amp;"+25;"</f>
        <v>+25;</v>
      </c>
      <c r="B41" t="str">
        <f>"Beacon.Put(113,0,1"&amp;TEXT(M電入力!$G42,"00")&amp;");"</f>
        <v>Beacon.Put(113,0,100);</v>
      </c>
      <c r="C41" t="str">
        <f>"Beacon.Put(113,0,2"&amp;TEXT(M電入力!$G43,"00")&amp;");"</f>
        <v>Beacon.Put(113,0,200);</v>
      </c>
      <c r="D41" t="str">
        <f>"Beacon.Put(113,0,3"&amp;TEXT(M電入力!$G44,"00")&amp;");"</f>
        <v>Beacon.Put(113,0,300);</v>
      </c>
      <c r="E41" t="str">
        <f>"Beacon.Put(113,0,4"&amp;TEXT(M電入力!$G45,"00")&amp;");"</f>
        <v>Beacon.Put(113,0,400);</v>
      </c>
      <c r="F41" t="str">
        <f>"Beacon.Put(113,0,5"&amp;TEXT(M電入力!$G46,"00")&amp;");"</f>
        <v>Beacon.Put(113,0,500);</v>
      </c>
      <c r="G41" t="str">
        <f>"Beacon.Put(113,0,6"&amp;TEXT(M電入力!$G47,"00")&amp;");"</f>
        <v>Beacon.Put(113,0,600);</v>
      </c>
    </row>
    <row r="42" spans="1:7">
      <c r="A42" t="str">
        <f>M電入力!C43&amp;"+25;"</f>
        <v>+25;</v>
      </c>
      <c r="B42" t="str">
        <f>"Beacon.Put(113,0,1"&amp;TEXT(M電入力!$G43,"00")&amp;");"</f>
        <v>Beacon.Put(113,0,100);</v>
      </c>
      <c r="C42" t="str">
        <f>"Beacon.Put(113,0,2"&amp;TEXT(M電入力!$G44,"00")&amp;");"</f>
        <v>Beacon.Put(113,0,200);</v>
      </c>
      <c r="D42" t="str">
        <f>"Beacon.Put(113,0,3"&amp;TEXT(M電入力!$G45,"00")&amp;");"</f>
        <v>Beacon.Put(113,0,300);</v>
      </c>
      <c r="E42" t="str">
        <f>"Beacon.Put(113,0,4"&amp;TEXT(M電入力!$G46,"00")&amp;");"</f>
        <v>Beacon.Put(113,0,400);</v>
      </c>
      <c r="F42" t="str">
        <f>"Beacon.Put(113,0,5"&amp;TEXT(M電入力!$G47,"00")&amp;");"</f>
        <v>Beacon.Put(113,0,500);</v>
      </c>
      <c r="G42" t="str">
        <f>"Beacon.Put(113,0,6"&amp;TEXT(M電入力!$G48,"00")&amp;");"</f>
        <v>Beacon.Put(113,0,600);</v>
      </c>
    </row>
    <row r="43" spans="1:7">
      <c r="A43" t="str">
        <f>M電入力!C44&amp;"+25;"</f>
        <v>+25;</v>
      </c>
      <c r="B43" t="str">
        <f>"Beacon.Put(113,0,1"&amp;TEXT(M電入力!$G44,"00")&amp;");"</f>
        <v>Beacon.Put(113,0,100);</v>
      </c>
      <c r="C43" t="str">
        <f>"Beacon.Put(113,0,2"&amp;TEXT(M電入力!$G45,"00")&amp;");"</f>
        <v>Beacon.Put(113,0,200);</v>
      </c>
      <c r="D43" t="str">
        <f>"Beacon.Put(113,0,3"&amp;TEXT(M電入力!$G46,"00")&amp;");"</f>
        <v>Beacon.Put(113,0,300);</v>
      </c>
      <c r="E43" t="str">
        <f>"Beacon.Put(113,0,4"&amp;TEXT(M電入力!$G47,"00")&amp;");"</f>
        <v>Beacon.Put(113,0,400);</v>
      </c>
      <c r="F43" t="str">
        <f>"Beacon.Put(113,0,5"&amp;TEXT(M電入力!$G48,"00")&amp;");"</f>
        <v>Beacon.Put(113,0,500);</v>
      </c>
      <c r="G43" t="str">
        <f>"Beacon.Put(113,0,6"&amp;TEXT(M電入力!$G49,"00")&amp;");"</f>
        <v>Beacon.Put(113,0,600);</v>
      </c>
    </row>
    <row r="44" spans="1:7">
      <c r="A44" t="str">
        <f>M電入力!C45&amp;"+25;"</f>
        <v>+25;</v>
      </c>
      <c r="B44" t="str">
        <f>"Beacon.Put(113,0,1"&amp;TEXT(M電入力!$G45,"00")&amp;");"</f>
        <v>Beacon.Put(113,0,100);</v>
      </c>
      <c r="C44" t="str">
        <f>"Beacon.Put(113,0,2"&amp;TEXT(M電入力!$G46,"00")&amp;");"</f>
        <v>Beacon.Put(113,0,200);</v>
      </c>
      <c r="D44" t="str">
        <f>"Beacon.Put(113,0,3"&amp;TEXT(M電入力!$G47,"00")&amp;");"</f>
        <v>Beacon.Put(113,0,300);</v>
      </c>
      <c r="E44" t="str">
        <f>"Beacon.Put(113,0,4"&amp;TEXT(M電入力!$G48,"00")&amp;");"</f>
        <v>Beacon.Put(113,0,400);</v>
      </c>
      <c r="F44" t="str">
        <f>"Beacon.Put(113,0,5"&amp;TEXT(M電入力!$G49,"00")&amp;");"</f>
        <v>Beacon.Put(113,0,500);</v>
      </c>
      <c r="G44" t="str">
        <f>"Beacon.Put(113,0,6"&amp;TEXT(M電入力!$G50,"00")&amp;");"</f>
        <v>Beacon.Put(113,0,600);</v>
      </c>
    </row>
    <row r="45" spans="1:7">
      <c r="A45" t="str">
        <f>M電入力!C46&amp;"+25;"</f>
        <v>+25;</v>
      </c>
      <c r="B45" t="str">
        <f>"Beacon.Put(113,0,1"&amp;TEXT(M電入力!$G46,"00")&amp;");"</f>
        <v>Beacon.Put(113,0,100);</v>
      </c>
      <c r="C45" t="str">
        <f>"Beacon.Put(113,0,2"&amp;TEXT(M電入力!$G47,"00")&amp;");"</f>
        <v>Beacon.Put(113,0,200);</v>
      </c>
      <c r="D45" t="str">
        <f>"Beacon.Put(113,0,3"&amp;TEXT(M電入力!$G48,"00")&amp;");"</f>
        <v>Beacon.Put(113,0,300);</v>
      </c>
      <c r="E45" t="str">
        <f>"Beacon.Put(113,0,4"&amp;TEXT(M電入力!$G49,"00")&amp;");"</f>
        <v>Beacon.Put(113,0,400);</v>
      </c>
      <c r="F45" t="str">
        <f>"Beacon.Put(113,0,5"&amp;TEXT(M電入力!$G50,"00")&amp;");"</f>
        <v>Beacon.Put(113,0,500);</v>
      </c>
      <c r="G45" t="str">
        <f>"Beacon.Put(113,0,6"&amp;TEXT(M電入力!$G51,"00")&amp;");"</f>
        <v>Beacon.Put(113,0,600);</v>
      </c>
    </row>
    <row r="46" spans="1:7">
      <c r="A46" t="str">
        <f>M電入力!C47&amp;"+25;"</f>
        <v>+25;</v>
      </c>
      <c r="B46" t="str">
        <f>"Beacon.Put(113,0,1"&amp;TEXT(M電入力!$G47,"00")&amp;");"</f>
        <v>Beacon.Put(113,0,100);</v>
      </c>
      <c r="C46" t="str">
        <f>"Beacon.Put(113,0,2"&amp;TEXT(M電入力!$G48,"00")&amp;");"</f>
        <v>Beacon.Put(113,0,200);</v>
      </c>
      <c r="D46" t="str">
        <f>"Beacon.Put(113,0,3"&amp;TEXT(M電入力!$G49,"00")&amp;");"</f>
        <v>Beacon.Put(113,0,300);</v>
      </c>
      <c r="E46" t="str">
        <f>"Beacon.Put(113,0,4"&amp;TEXT(M電入力!$G50,"00")&amp;");"</f>
        <v>Beacon.Put(113,0,400);</v>
      </c>
      <c r="F46" t="str">
        <f>"Beacon.Put(113,0,5"&amp;TEXT(M電入力!$G51,"00")&amp;");"</f>
        <v>Beacon.Put(113,0,500);</v>
      </c>
      <c r="G46" t="str">
        <f>"Beacon.Put(113,0,6"&amp;TEXT(M電入力!$G52,"00")&amp;");"</f>
        <v>Beacon.Put(113,0,600);</v>
      </c>
    </row>
    <row r="47" spans="1:7">
      <c r="A47" t="str">
        <f>M電入力!C48&amp;"+25;"</f>
        <v>+25;</v>
      </c>
      <c r="B47" t="str">
        <f>"Beacon.Put(113,0,1"&amp;TEXT(M電入力!$G48,"00")&amp;");"</f>
        <v>Beacon.Put(113,0,100);</v>
      </c>
      <c r="C47" t="str">
        <f>"Beacon.Put(113,0,2"&amp;TEXT(M電入力!$G49,"00")&amp;");"</f>
        <v>Beacon.Put(113,0,200);</v>
      </c>
      <c r="D47" t="str">
        <f>"Beacon.Put(113,0,3"&amp;TEXT(M電入力!$G50,"00")&amp;");"</f>
        <v>Beacon.Put(113,0,300);</v>
      </c>
      <c r="E47" t="str">
        <f>"Beacon.Put(113,0,4"&amp;TEXT(M電入力!$G51,"00")&amp;");"</f>
        <v>Beacon.Put(113,0,400);</v>
      </c>
      <c r="F47" t="str">
        <f>"Beacon.Put(113,0,5"&amp;TEXT(M電入力!$G52,"00")&amp;");"</f>
        <v>Beacon.Put(113,0,500);</v>
      </c>
      <c r="G47" t="str">
        <f>"Beacon.Put(113,0,6"&amp;TEXT(M電入力!$G53,"00")&amp;");"</f>
        <v>Beacon.Put(113,0,600);</v>
      </c>
    </row>
    <row r="48" spans="1:7">
      <c r="A48" t="str">
        <f>M電入力!C49&amp;"+25;"</f>
        <v>+25;</v>
      </c>
      <c r="B48" t="str">
        <f>"Beacon.Put(113,0,1"&amp;TEXT(M電入力!$G49,"00")&amp;");"</f>
        <v>Beacon.Put(113,0,100);</v>
      </c>
      <c r="C48" t="str">
        <f>"Beacon.Put(113,0,2"&amp;TEXT(M電入力!$G50,"00")&amp;");"</f>
        <v>Beacon.Put(113,0,200);</v>
      </c>
      <c r="D48" t="str">
        <f>"Beacon.Put(113,0,3"&amp;TEXT(M電入力!$G51,"00")&amp;");"</f>
        <v>Beacon.Put(113,0,300);</v>
      </c>
      <c r="E48" t="str">
        <f>"Beacon.Put(113,0,4"&amp;TEXT(M電入力!$G52,"00")&amp;");"</f>
        <v>Beacon.Put(113,0,400);</v>
      </c>
      <c r="F48" t="str">
        <f>"Beacon.Put(113,0,5"&amp;TEXT(M電入力!$G53,"00")&amp;");"</f>
        <v>Beacon.Put(113,0,500);</v>
      </c>
      <c r="G48" t="str">
        <f>"Beacon.Put(113,0,6"&amp;TEXT(M電入力!$G54,"00")&amp;");"</f>
        <v>Beacon.Put(113,0,600);</v>
      </c>
    </row>
    <row r="49" spans="1:7">
      <c r="A49" t="str">
        <f>M電入力!C50&amp;"+25;"</f>
        <v>+25;</v>
      </c>
      <c r="B49" t="str">
        <f>"Beacon.Put(113,0,1"&amp;TEXT(M電入力!$G50,"00")&amp;");"</f>
        <v>Beacon.Put(113,0,100);</v>
      </c>
      <c r="C49" t="str">
        <f>"Beacon.Put(113,0,2"&amp;TEXT(M電入力!$G51,"00")&amp;");"</f>
        <v>Beacon.Put(113,0,200);</v>
      </c>
      <c r="D49" t="str">
        <f>"Beacon.Put(113,0,3"&amp;TEXT(M電入力!$G52,"00")&amp;");"</f>
        <v>Beacon.Put(113,0,300);</v>
      </c>
      <c r="E49" t="str">
        <f>"Beacon.Put(113,0,4"&amp;TEXT(M電入力!$G53,"00")&amp;");"</f>
        <v>Beacon.Put(113,0,400);</v>
      </c>
      <c r="F49" t="str">
        <f>"Beacon.Put(113,0,5"&amp;TEXT(M電入力!$G54,"00")&amp;");"</f>
        <v>Beacon.Put(113,0,500);</v>
      </c>
      <c r="G49" t="str">
        <f>"Beacon.Put(113,0,6"&amp;TEXT(M電入力!$G55,"00")&amp;");"</f>
        <v>Beacon.Put(113,0,600);</v>
      </c>
    </row>
    <row r="50" spans="1:7">
      <c r="A50" t="str">
        <f>M電入力!C51&amp;"+25;"</f>
        <v>+25;</v>
      </c>
      <c r="B50" t="str">
        <f>"Beacon.Put(113,0,1"&amp;TEXT(M電入力!$G51,"00")&amp;");"</f>
        <v>Beacon.Put(113,0,100);</v>
      </c>
      <c r="C50" t="str">
        <f>"Beacon.Put(113,0,2"&amp;TEXT(M電入力!$G52,"00")&amp;");"</f>
        <v>Beacon.Put(113,0,200);</v>
      </c>
      <c r="D50" t="str">
        <f>"Beacon.Put(113,0,3"&amp;TEXT(M電入力!$G53,"00")&amp;");"</f>
        <v>Beacon.Put(113,0,300);</v>
      </c>
      <c r="E50" t="str">
        <f>"Beacon.Put(113,0,4"&amp;TEXT(M電入力!$G54,"00")&amp;");"</f>
        <v>Beacon.Put(113,0,400);</v>
      </c>
      <c r="F50" t="str">
        <f>"Beacon.Put(113,0,5"&amp;TEXT(M電入力!$G55,"00")&amp;");"</f>
        <v>Beacon.Put(113,0,500);</v>
      </c>
      <c r="G50" t="str">
        <f>"Beacon.Put(113,0,6"&amp;TEXT(M電入力!$G56,"00")&amp;");"</f>
        <v>Beacon.Put(113,0,600);</v>
      </c>
    </row>
    <row r="51" spans="1:7">
      <c r="A51" t="str">
        <f>M電入力!C52&amp;"+25;"</f>
        <v>+25;</v>
      </c>
      <c r="B51" t="str">
        <f>"Beacon.Put(113,0,1"&amp;TEXT(M電入力!$G52,"00")&amp;");"</f>
        <v>Beacon.Put(113,0,100);</v>
      </c>
      <c r="C51" t="str">
        <f>"Beacon.Put(113,0,2"&amp;TEXT(M電入力!$G53,"00")&amp;");"</f>
        <v>Beacon.Put(113,0,200);</v>
      </c>
      <c r="D51" t="str">
        <f>"Beacon.Put(113,0,3"&amp;TEXT(M電入力!$G54,"00")&amp;");"</f>
        <v>Beacon.Put(113,0,300);</v>
      </c>
      <c r="E51" t="str">
        <f>"Beacon.Put(113,0,4"&amp;TEXT(M電入力!$G55,"00")&amp;");"</f>
        <v>Beacon.Put(113,0,400);</v>
      </c>
      <c r="F51" t="str">
        <f>"Beacon.Put(113,0,5"&amp;TEXT(M電入力!$G56,"00")&amp;");"</f>
        <v>Beacon.Put(113,0,500);</v>
      </c>
      <c r="G51" t="str">
        <f>"Beacon.Put(113,0,6"&amp;TEXT(M電入力!$G57,"00")&amp;");"</f>
        <v>Beacon.Put(113,0,600);</v>
      </c>
    </row>
    <row r="52" spans="1:7">
      <c r="A52" t="str">
        <f>M電入力!C53&amp;"+25;"</f>
        <v>+25;</v>
      </c>
      <c r="B52" t="str">
        <f>"Beacon.Put(113,0,1"&amp;TEXT(M電入力!$G53,"00")&amp;");"</f>
        <v>Beacon.Put(113,0,100);</v>
      </c>
      <c r="C52" t="str">
        <f>"Beacon.Put(113,0,2"&amp;TEXT(M電入力!$G54,"00")&amp;");"</f>
        <v>Beacon.Put(113,0,200);</v>
      </c>
      <c r="D52" t="str">
        <f>"Beacon.Put(113,0,3"&amp;TEXT(M電入力!$G55,"00")&amp;");"</f>
        <v>Beacon.Put(113,0,300);</v>
      </c>
      <c r="E52" t="str">
        <f>"Beacon.Put(113,0,4"&amp;TEXT(M電入力!$G56,"00")&amp;");"</f>
        <v>Beacon.Put(113,0,400);</v>
      </c>
      <c r="F52" t="str">
        <f>"Beacon.Put(113,0,5"&amp;TEXT(M電入力!$G57,"00")&amp;");"</f>
        <v>Beacon.Put(113,0,500);</v>
      </c>
      <c r="G52" t="str">
        <f>"Beacon.Put(113,0,6"&amp;TEXT(M電入力!$G58,"00")&amp;");"</f>
        <v>Beacon.Put(113,0,600);</v>
      </c>
    </row>
    <row r="53" spans="1:7">
      <c r="A53" t="str">
        <f>M電入力!C54&amp;"+25;"</f>
        <v>+25;</v>
      </c>
      <c r="B53" t="str">
        <f>"Beacon.Put(113,0,1"&amp;TEXT(M電入力!$G54,"00")&amp;");"</f>
        <v>Beacon.Put(113,0,100);</v>
      </c>
      <c r="C53" t="str">
        <f>"Beacon.Put(113,0,2"&amp;TEXT(M電入力!$G55,"00")&amp;");"</f>
        <v>Beacon.Put(113,0,200);</v>
      </c>
      <c r="D53" t="str">
        <f>"Beacon.Put(113,0,3"&amp;TEXT(M電入力!$G56,"00")&amp;");"</f>
        <v>Beacon.Put(113,0,300);</v>
      </c>
      <c r="E53" t="str">
        <f>"Beacon.Put(113,0,4"&amp;TEXT(M電入力!$G57,"00")&amp;");"</f>
        <v>Beacon.Put(113,0,400);</v>
      </c>
      <c r="F53" t="str">
        <f>"Beacon.Put(113,0,5"&amp;TEXT(M電入力!$G58,"00")&amp;");"</f>
        <v>Beacon.Put(113,0,500);</v>
      </c>
      <c r="G53" t="str">
        <f>"Beacon.Put(113,0,6"&amp;TEXT(M電入力!$G59,"00")&amp;");"</f>
        <v>Beacon.Put(113,0,600);</v>
      </c>
    </row>
    <row r="54" spans="1:7">
      <c r="A54" t="str">
        <f>M電入力!C55&amp;"+25;"</f>
        <v>+25;</v>
      </c>
      <c r="B54" t="str">
        <f>"Beacon.Put(113,0,1"&amp;TEXT(M電入力!$G55,"00")&amp;");"</f>
        <v>Beacon.Put(113,0,100);</v>
      </c>
      <c r="C54" t="str">
        <f>"Beacon.Put(113,0,2"&amp;TEXT(M電入力!$G56,"00")&amp;");"</f>
        <v>Beacon.Put(113,0,200);</v>
      </c>
      <c r="D54" t="str">
        <f>"Beacon.Put(113,0,3"&amp;TEXT(M電入力!$G57,"00")&amp;");"</f>
        <v>Beacon.Put(113,0,300);</v>
      </c>
      <c r="E54" t="str">
        <f>"Beacon.Put(113,0,4"&amp;TEXT(M電入力!$G58,"00")&amp;");"</f>
        <v>Beacon.Put(113,0,400);</v>
      </c>
      <c r="F54" t="str">
        <f>"Beacon.Put(113,0,5"&amp;TEXT(M電入力!$G59,"00")&amp;");"</f>
        <v>Beacon.Put(113,0,500);</v>
      </c>
      <c r="G54" t="str">
        <f>"Beacon.Put(113,0,6"&amp;TEXT(M電入力!$G60,"00")&amp;");"</f>
        <v>Beacon.Put(113,0,600);</v>
      </c>
    </row>
    <row r="55" spans="1:7">
      <c r="A55" t="str">
        <f>M電入力!C56&amp;"+25;"</f>
        <v>+25;</v>
      </c>
      <c r="B55" t="str">
        <f>"Beacon.Put(113,0,1"&amp;TEXT(M電入力!$G56,"00")&amp;");"</f>
        <v>Beacon.Put(113,0,100);</v>
      </c>
      <c r="C55" t="str">
        <f>"Beacon.Put(113,0,2"&amp;TEXT(M電入力!$G57,"00")&amp;");"</f>
        <v>Beacon.Put(113,0,200);</v>
      </c>
      <c r="D55" t="str">
        <f>"Beacon.Put(113,0,3"&amp;TEXT(M電入力!$G58,"00")&amp;");"</f>
        <v>Beacon.Put(113,0,300);</v>
      </c>
      <c r="E55" t="str">
        <f>"Beacon.Put(113,0,4"&amp;TEXT(M電入力!$G59,"00")&amp;");"</f>
        <v>Beacon.Put(113,0,400);</v>
      </c>
      <c r="F55" t="str">
        <f>"Beacon.Put(113,0,5"&amp;TEXT(M電入力!$G60,"00")&amp;");"</f>
        <v>Beacon.Put(113,0,500);</v>
      </c>
      <c r="G55" t="str">
        <f>"Beacon.Put(113,0,6"&amp;TEXT(M電入力!$G61,"00")&amp;");"</f>
        <v>Beacon.Put(113,0,600);</v>
      </c>
    </row>
    <row r="56" spans="1:7">
      <c r="A56" t="str">
        <f>M電入力!C57&amp;"+25;"</f>
        <v>+25;</v>
      </c>
      <c r="B56" t="str">
        <f>"Beacon.Put(113,0,1"&amp;TEXT(M電入力!$G57,"00")&amp;");"</f>
        <v>Beacon.Put(113,0,100);</v>
      </c>
      <c r="C56" t="str">
        <f>"Beacon.Put(113,0,2"&amp;TEXT(M電入力!$G58,"00")&amp;");"</f>
        <v>Beacon.Put(113,0,200);</v>
      </c>
      <c r="D56" t="str">
        <f>"Beacon.Put(113,0,3"&amp;TEXT(M電入力!$G59,"00")&amp;");"</f>
        <v>Beacon.Put(113,0,300);</v>
      </c>
      <c r="E56" t="str">
        <f>"Beacon.Put(113,0,4"&amp;TEXT(M電入力!$G60,"00")&amp;");"</f>
        <v>Beacon.Put(113,0,400);</v>
      </c>
      <c r="F56" t="str">
        <f>"Beacon.Put(113,0,5"&amp;TEXT(M電入力!$G61,"00")&amp;");"</f>
        <v>Beacon.Put(113,0,500);</v>
      </c>
      <c r="G56" t="str">
        <f>"Beacon.Put(113,0,6"&amp;TEXT(M電入力!$G62,"00")&amp;");"</f>
        <v>Beacon.Put(113,0,600);</v>
      </c>
    </row>
    <row r="57" spans="1:7">
      <c r="A57" t="str">
        <f>M電入力!C58&amp;"+25;"</f>
        <v>+25;</v>
      </c>
      <c r="B57" t="str">
        <f>"Beacon.Put(113,0,1"&amp;TEXT(M電入力!$G58,"00")&amp;");"</f>
        <v>Beacon.Put(113,0,100);</v>
      </c>
      <c r="C57" t="str">
        <f>"Beacon.Put(113,0,2"&amp;TEXT(M電入力!$G59,"00")&amp;");"</f>
        <v>Beacon.Put(113,0,200);</v>
      </c>
      <c r="D57" t="str">
        <f>"Beacon.Put(113,0,3"&amp;TEXT(M電入力!$G60,"00")&amp;");"</f>
        <v>Beacon.Put(113,0,300);</v>
      </c>
      <c r="E57" t="str">
        <f>"Beacon.Put(113,0,4"&amp;TEXT(M電入力!$G61,"00")&amp;");"</f>
        <v>Beacon.Put(113,0,400);</v>
      </c>
      <c r="F57" t="str">
        <f>"Beacon.Put(113,0,5"&amp;TEXT(M電入力!$G62,"00")&amp;");"</f>
        <v>Beacon.Put(113,0,500);</v>
      </c>
      <c r="G57" t="str">
        <f>"Beacon.Put(113,0,6"&amp;TEXT(M電入力!$G63,"00")&amp;");"</f>
        <v>Beacon.Put(113,0,600);</v>
      </c>
    </row>
    <row r="58" spans="1:7">
      <c r="A58" t="str">
        <f>M電入力!C59&amp;"+25;"</f>
        <v>+25;</v>
      </c>
      <c r="B58" t="str">
        <f>"Beacon.Put(113,0,1"&amp;TEXT(M電入力!$G59,"00")&amp;");"</f>
        <v>Beacon.Put(113,0,100);</v>
      </c>
      <c r="C58" t="str">
        <f>"Beacon.Put(113,0,2"&amp;TEXT(M電入力!$G60,"00")&amp;");"</f>
        <v>Beacon.Put(113,0,200);</v>
      </c>
      <c r="D58" t="str">
        <f>"Beacon.Put(113,0,3"&amp;TEXT(M電入力!$G61,"00")&amp;");"</f>
        <v>Beacon.Put(113,0,300);</v>
      </c>
      <c r="E58" t="str">
        <f>"Beacon.Put(113,0,4"&amp;TEXT(M電入力!$G62,"00")&amp;");"</f>
        <v>Beacon.Put(113,0,400);</v>
      </c>
      <c r="F58" t="str">
        <f>"Beacon.Put(113,0,5"&amp;TEXT(M電入力!$G63,"00")&amp;");"</f>
        <v>Beacon.Put(113,0,500);</v>
      </c>
      <c r="G58" t="str">
        <f>"Beacon.Put(113,0,6"&amp;TEXT(M電入力!$G64,"00")&amp;");"</f>
        <v>Beacon.Put(113,0,600);</v>
      </c>
    </row>
    <row r="59" spans="1:7">
      <c r="A59" t="str">
        <f>M電入力!C60&amp;"+25;"</f>
        <v>+25;</v>
      </c>
      <c r="B59" t="str">
        <f>"Beacon.Put(113,0,1"&amp;TEXT(M電入力!$G60,"00")&amp;");"</f>
        <v>Beacon.Put(113,0,100);</v>
      </c>
      <c r="C59" t="str">
        <f>"Beacon.Put(113,0,2"&amp;TEXT(M電入力!$G61,"00")&amp;");"</f>
        <v>Beacon.Put(113,0,200);</v>
      </c>
      <c r="D59" t="str">
        <f>"Beacon.Put(113,0,3"&amp;TEXT(M電入力!$G62,"00")&amp;");"</f>
        <v>Beacon.Put(113,0,300);</v>
      </c>
      <c r="E59" t="str">
        <f>"Beacon.Put(113,0,4"&amp;TEXT(M電入力!$G63,"00")&amp;");"</f>
        <v>Beacon.Put(113,0,400);</v>
      </c>
      <c r="F59" t="str">
        <f>"Beacon.Put(113,0,5"&amp;TEXT(M電入力!$G64,"00")&amp;");"</f>
        <v>Beacon.Put(113,0,500);</v>
      </c>
      <c r="G59" t="str">
        <f>"Beacon.Put(113,0,6"&amp;TEXT(M電入力!$G65,"00")&amp;");"</f>
        <v>Beacon.Put(113,0,600);</v>
      </c>
    </row>
    <row r="60" spans="1:7">
      <c r="A60" t="str">
        <f>M電入力!C61&amp;"+25;"</f>
        <v>+25;</v>
      </c>
      <c r="B60" t="str">
        <f>"Beacon.Put(113,0,1"&amp;TEXT(M電入力!$G61,"00")&amp;");"</f>
        <v>Beacon.Put(113,0,100);</v>
      </c>
      <c r="C60" t="str">
        <f>"Beacon.Put(113,0,2"&amp;TEXT(M電入力!$G62,"00")&amp;");"</f>
        <v>Beacon.Put(113,0,200);</v>
      </c>
      <c r="D60" t="str">
        <f>"Beacon.Put(113,0,3"&amp;TEXT(M電入力!$G63,"00")&amp;");"</f>
        <v>Beacon.Put(113,0,300);</v>
      </c>
      <c r="E60" t="str">
        <f>"Beacon.Put(113,0,4"&amp;TEXT(M電入力!$G64,"00")&amp;");"</f>
        <v>Beacon.Put(113,0,400);</v>
      </c>
      <c r="F60" t="str">
        <f>"Beacon.Put(113,0,5"&amp;TEXT(M電入力!$G65,"00")&amp;");"</f>
        <v>Beacon.Put(113,0,500);</v>
      </c>
      <c r="G60" t="str">
        <f>"Beacon.Put(113,0,6"&amp;TEXT(M電入力!$G66,"00")&amp;");"</f>
        <v>Beacon.Put(113,0,600);</v>
      </c>
    </row>
    <row r="61" spans="1:7">
      <c r="A61" t="str">
        <f>M電入力!C62&amp;"+25;"</f>
        <v>+25;</v>
      </c>
      <c r="B61" t="str">
        <f>"Beacon.Put(113,0,1"&amp;TEXT(M電入力!$G62,"00")&amp;");"</f>
        <v>Beacon.Put(113,0,100);</v>
      </c>
      <c r="C61" t="str">
        <f>"Beacon.Put(113,0,2"&amp;TEXT(M電入力!$G63,"00")&amp;");"</f>
        <v>Beacon.Put(113,0,200);</v>
      </c>
      <c r="D61" t="str">
        <f>"Beacon.Put(113,0,3"&amp;TEXT(M電入力!$G64,"00")&amp;");"</f>
        <v>Beacon.Put(113,0,300);</v>
      </c>
      <c r="E61" t="str">
        <f>"Beacon.Put(113,0,4"&amp;TEXT(M電入力!$G65,"00")&amp;");"</f>
        <v>Beacon.Put(113,0,400);</v>
      </c>
      <c r="F61" t="str">
        <f>"Beacon.Put(113,0,5"&amp;TEXT(M電入力!$G66,"00")&amp;");"</f>
        <v>Beacon.Put(113,0,500);</v>
      </c>
      <c r="G61" t="str">
        <f>"Beacon.Put(113,0,6"&amp;TEXT(M電入力!$G67,"00")&amp;");"</f>
        <v>Beacon.Put(113,0,600);</v>
      </c>
    </row>
    <row r="62" spans="1:7">
      <c r="A62" t="str">
        <f>M電入力!C63&amp;"+25;"</f>
        <v>+25;</v>
      </c>
      <c r="B62" t="str">
        <f>"Beacon.Put(113,0,1"&amp;TEXT(M電入力!$G63,"00")&amp;");"</f>
        <v>Beacon.Put(113,0,100);</v>
      </c>
      <c r="C62" t="str">
        <f>"Beacon.Put(113,0,2"&amp;TEXT(M電入力!$G64,"00")&amp;");"</f>
        <v>Beacon.Put(113,0,200);</v>
      </c>
      <c r="D62" t="str">
        <f>"Beacon.Put(113,0,3"&amp;TEXT(M電入力!$G65,"00")&amp;");"</f>
        <v>Beacon.Put(113,0,300);</v>
      </c>
      <c r="E62" t="str">
        <f>"Beacon.Put(113,0,4"&amp;TEXT(M電入力!$G66,"00")&amp;");"</f>
        <v>Beacon.Put(113,0,400);</v>
      </c>
      <c r="F62" t="str">
        <f>"Beacon.Put(113,0,5"&amp;TEXT(M電入力!$G67,"00")&amp;");"</f>
        <v>Beacon.Put(113,0,500);</v>
      </c>
      <c r="G62" t="str">
        <f>"Beacon.Put(113,0,6"&amp;TEXT(M電入力!$G68,"00")&amp;");"</f>
        <v>Beacon.Put(113,0,600);</v>
      </c>
    </row>
    <row r="63" spans="1:7">
      <c r="A63" t="str">
        <f>M電入力!C64&amp;"+25;"</f>
        <v>+25;</v>
      </c>
      <c r="B63" t="str">
        <f>"Beacon.Put(113,0,1"&amp;TEXT(M電入力!$G64,"00")&amp;");"</f>
        <v>Beacon.Put(113,0,100);</v>
      </c>
      <c r="C63" t="str">
        <f>"Beacon.Put(113,0,2"&amp;TEXT(M電入力!$G65,"00")&amp;");"</f>
        <v>Beacon.Put(113,0,200);</v>
      </c>
      <c r="D63" t="str">
        <f>"Beacon.Put(113,0,3"&amp;TEXT(M電入力!$G66,"00")&amp;");"</f>
        <v>Beacon.Put(113,0,300);</v>
      </c>
      <c r="E63" t="str">
        <f>"Beacon.Put(113,0,4"&amp;TEXT(M電入力!$G67,"00")&amp;");"</f>
        <v>Beacon.Put(113,0,400);</v>
      </c>
      <c r="F63" t="str">
        <f>"Beacon.Put(113,0,5"&amp;TEXT(M電入力!$G68,"00")&amp;");"</f>
        <v>Beacon.Put(113,0,500);</v>
      </c>
      <c r="G63" t="str">
        <f>"Beacon.Put(113,0,6"&amp;TEXT(M電入力!$G69,"00")&amp;");"</f>
        <v>Beacon.Put(113,0,600);</v>
      </c>
    </row>
    <row r="64" spans="1:7">
      <c r="A64" t="str">
        <f>M電入力!C65&amp;"+25;"</f>
        <v>+25;</v>
      </c>
      <c r="B64" t="str">
        <f>"Beacon.Put(113,0,1"&amp;TEXT(M電入力!$G65,"00")&amp;");"</f>
        <v>Beacon.Put(113,0,100);</v>
      </c>
      <c r="C64" t="str">
        <f>"Beacon.Put(113,0,2"&amp;TEXT(M電入力!$G66,"00")&amp;");"</f>
        <v>Beacon.Put(113,0,200);</v>
      </c>
      <c r="D64" t="str">
        <f>"Beacon.Put(113,0,3"&amp;TEXT(M電入力!$G67,"00")&amp;");"</f>
        <v>Beacon.Put(113,0,300);</v>
      </c>
      <c r="E64" t="str">
        <f>"Beacon.Put(113,0,4"&amp;TEXT(M電入力!$G68,"00")&amp;");"</f>
        <v>Beacon.Put(113,0,400);</v>
      </c>
      <c r="F64" t="str">
        <f>"Beacon.Put(113,0,5"&amp;TEXT(M電入力!$G69,"00")&amp;");"</f>
        <v>Beacon.Put(113,0,500);</v>
      </c>
      <c r="G64" t="str">
        <f>"Beacon.Put(113,0,6"&amp;TEXT(M電入力!$G70,"00")&amp;");"</f>
        <v>Beacon.Put(113,0,600);</v>
      </c>
    </row>
    <row r="65" spans="1:7">
      <c r="A65" t="str">
        <f>M電入力!C66&amp;"+25;"</f>
        <v>+25;</v>
      </c>
      <c r="B65" t="str">
        <f>"Beacon.Put(113,0,1"&amp;TEXT(M電入力!$G66,"00")&amp;");"</f>
        <v>Beacon.Put(113,0,100);</v>
      </c>
      <c r="C65" t="str">
        <f>"Beacon.Put(113,0,2"&amp;TEXT(M電入力!$G67,"00")&amp;");"</f>
        <v>Beacon.Put(113,0,200);</v>
      </c>
      <c r="D65" t="str">
        <f>"Beacon.Put(113,0,3"&amp;TEXT(M電入力!$G68,"00")&amp;");"</f>
        <v>Beacon.Put(113,0,300);</v>
      </c>
      <c r="E65" t="str">
        <f>"Beacon.Put(113,0,4"&amp;TEXT(M電入力!$G69,"00")&amp;");"</f>
        <v>Beacon.Put(113,0,400);</v>
      </c>
      <c r="F65" t="str">
        <f>"Beacon.Put(113,0,5"&amp;TEXT(M電入力!$G70,"00")&amp;");"</f>
        <v>Beacon.Put(113,0,500);</v>
      </c>
      <c r="G65" t="str">
        <f>"Beacon.Put(113,0,6"&amp;TEXT(M電入力!$G71,"00")&amp;");"</f>
        <v>Beacon.Put(113,0,600);</v>
      </c>
    </row>
    <row r="66" spans="1:7">
      <c r="A66" t="str">
        <f>M電入力!C67&amp;"+25;"</f>
        <v>+25;</v>
      </c>
      <c r="B66" t="str">
        <f>"Beacon.Put(113,0,1"&amp;TEXT(M電入力!$G67,"00")&amp;");"</f>
        <v>Beacon.Put(113,0,100);</v>
      </c>
      <c r="C66" t="str">
        <f>"Beacon.Put(113,0,2"&amp;TEXT(M電入力!$G68,"00")&amp;");"</f>
        <v>Beacon.Put(113,0,200);</v>
      </c>
      <c r="D66" t="str">
        <f>"Beacon.Put(113,0,3"&amp;TEXT(M電入力!$G69,"00")&amp;");"</f>
        <v>Beacon.Put(113,0,300);</v>
      </c>
      <c r="E66" t="str">
        <f>"Beacon.Put(113,0,4"&amp;TEXT(M電入力!$G70,"00")&amp;");"</f>
        <v>Beacon.Put(113,0,400);</v>
      </c>
      <c r="F66" t="str">
        <f>"Beacon.Put(113,0,5"&amp;TEXT(M電入力!$G71,"00")&amp;");"</f>
        <v>Beacon.Put(113,0,500);</v>
      </c>
      <c r="G66" t="str">
        <f>"Beacon.Put(113,0,6"&amp;TEXT(M電入力!$G72,"00")&amp;");"</f>
        <v>Beacon.Put(113,0,600);</v>
      </c>
    </row>
    <row r="67" spans="1:7">
      <c r="A67" t="str">
        <f>M電入力!C68&amp;"+25;"</f>
        <v>+25;</v>
      </c>
      <c r="B67" t="str">
        <f>"Beacon.Put(113,0,1"&amp;TEXT(M電入力!$G68,"00")&amp;");"</f>
        <v>Beacon.Put(113,0,100);</v>
      </c>
      <c r="C67" t="str">
        <f>"Beacon.Put(113,0,2"&amp;TEXT(M電入力!$G69,"00")&amp;");"</f>
        <v>Beacon.Put(113,0,200);</v>
      </c>
      <c r="D67" t="str">
        <f>"Beacon.Put(113,0,3"&amp;TEXT(M電入力!$G70,"00")&amp;");"</f>
        <v>Beacon.Put(113,0,300);</v>
      </c>
      <c r="E67" t="str">
        <f>"Beacon.Put(113,0,4"&amp;TEXT(M電入力!$G71,"00")&amp;");"</f>
        <v>Beacon.Put(113,0,400);</v>
      </c>
      <c r="F67" t="str">
        <f>"Beacon.Put(113,0,5"&amp;TEXT(M電入力!$G72,"00")&amp;");"</f>
        <v>Beacon.Put(113,0,500);</v>
      </c>
      <c r="G67" t="str">
        <f>"Beacon.Put(113,0,6"&amp;TEXT(M電入力!$G73,"00")&amp;");"</f>
        <v>Beacon.Put(113,0,600);</v>
      </c>
    </row>
    <row r="68" spans="1:7">
      <c r="A68" t="str">
        <f>M電入力!C69&amp;"+25;"</f>
        <v>+25;</v>
      </c>
      <c r="B68" t="str">
        <f>"Beacon.Put(113,0,1"&amp;TEXT(M電入力!$G69,"00")&amp;");"</f>
        <v>Beacon.Put(113,0,100);</v>
      </c>
      <c r="C68" t="str">
        <f>"Beacon.Put(113,0,2"&amp;TEXT(M電入力!$G70,"00")&amp;");"</f>
        <v>Beacon.Put(113,0,200);</v>
      </c>
      <c r="D68" t="str">
        <f>"Beacon.Put(113,0,3"&amp;TEXT(M電入力!$G71,"00")&amp;");"</f>
        <v>Beacon.Put(113,0,300);</v>
      </c>
      <c r="E68" t="str">
        <f>"Beacon.Put(113,0,4"&amp;TEXT(M電入力!$G72,"00")&amp;");"</f>
        <v>Beacon.Put(113,0,400);</v>
      </c>
      <c r="F68" t="str">
        <f>"Beacon.Put(113,0,5"&amp;TEXT(M電入力!$G73,"00")&amp;");"</f>
        <v>Beacon.Put(113,0,500);</v>
      </c>
      <c r="G68" t="str">
        <f>"Beacon.Put(113,0,6"&amp;TEXT(M電入力!$G74,"00")&amp;");"</f>
        <v>Beacon.Put(113,0,600);</v>
      </c>
    </row>
    <row r="69" spans="1:7">
      <c r="A69" t="str">
        <f>M電入力!C70&amp;"+25;"</f>
        <v>+25;</v>
      </c>
      <c r="B69" t="str">
        <f>"Beacon.Put(113,0,1"&amp;TEXT(M電入力!$G70,"00")&amp;");"</f>
        <v>Beacon.Put(113,0,100);</v>
      </c>
      <c r="C69" t="str">
        <f>"Beacon.Put(113,0,2"&amp;TEXT(M電入力!$G71,"00")&amp;");"</f>
        <v>Beacon.Put(113,0,200);</v>
      </c>
      <c r="D69" t="str">
        <f>"Beacon.Put(113,0,3"&amp;TEXT(M電入力!$G72,"00")&amp;");"</f>
        <v>Beacon.Put(113,0,300);</v>
      </c>
      <c r="E69" t="str">
        <f>"Beacon.Put(113,0,4"&amp;TEXT(M電入力!$G73,"00")&amp;");"</f>
        <v>Beacon.Put(113,0,400);</v>
      </c>
      <c r="F69" t="str">
        <f>"Beacon.Put(113,0,5"&amp;TEXT(M電入力!$G74,"00")&amp;");"</f>
        <v>Beacon.Put(113,0,500);</v>
      </c>
      <c r="G69" t="str">
        <f>"Beacon.Put(113,0,6"&amp;TEXT(M電入力!$G75,"00")&amp;");"</f>
        <v>Beacon.Put(113,0,600);</v>
      </c>
    </row>
    <row r="70" spans="1:7">
      <c r="A70" t="str">
        <f>M電入力!C71&amp;"+25;"</f>
        <v>+25;</v>
      </c>
      <c r="B70" t="str">
        <f>"Beacon.Put(113,0,1"&amp;TEXT(M電入力!$G71,"00")&amp;");"</f>
        <v>Beacon.Put(113,0,100);</v>
      </c>
      <c r="C70" t="str">
        <f>"Beacon.Put(113,0,2"&amp;TEXT(M電入力!$G72,"00")&amp;");"</f>
        <v>Beacon.Put(113,0,200);</v>
      </c>
      <c r="D70" t="str">
        <f>"Beacon.Put(113,0,3"&amp;TEXT(M電入力!$G73,"00")&amp;");"</f>
        <v>Beacon.Put(113,0,300);</v>
      </c>
      <c r="E70" t="str">
        <f>"Beacon.Put(113,0,4"&amp;TEXT(M電入力!$G74,"00")&amp;");"</f>
        <v>Beacon.Put(113,0,400);</v>
      </c>
      <c r="F70" t="str">
        <f>"Beacon.Put(113,0,5"&amp;TEXT(M電入力!$G75,"00")&amp;");"</f>
        <v>Beacon.Put(113,0,500);</v>
      </c>
      <c r="G70" t="str">
        <f>"Beacon.Put(113,0,6"&amp;TEXT(M電入力!$G76,"00")&amp;");"</f>
        <v>Beacon.Put(113,0,600);</v>
      </c>
    </row>
    <row r="71" spans="1:7">
      <c r="A71" t="str">
        <f>M電入力!C72&amp;"+25;"</f>
        <v>+25;</v>
      </c>
      <c r="B71" t="str">
        <f>"Beacon.Put(113,0,1"&amp;TEXT(M電入力!$G72,"00")&amp;");"</f>
        <v>Beacon.Put(113,0,100);</v>
      </c>
      <c r="C71" t="str">
        <f>"Beacon.Put(113,0,2"&amp;TEXT(M電入力!$G73,"00")&amp;");"</f>
        <v>Beacon.Put(113,0,200);</v>
      </c>
      <c r="D71" t="str">
        <f>"Beacon.Put(113,0,3"&amp;TEXT(M電入力!$G74,"00")&amp;");"</f>
        <v>Beacon.Put(113,0,300);</v>
      </c>
      <c r="E71" t="str">
        <f>"Beacon.Put(113,0,4"&amp;TEXT(M電入力!$G75,"00")&amp;");"</f>
        <v>Beacon.Put(113,0,400);</v>
      </c>
      <c r="F71" t="str">
        <f>"Beacon.Put(113,0,5"&amp;TEXT(M電入力!$G76,"00")&amp;");"</f>
        <v>Beacon.Put(113,0,500);</v>
      </c>
      <c r="G71" t="str">
        <f>"Beacon.Put(113,0,6"&amp;TEXT(M電入力!$G77,"00")&amp;");"</f>
        <v>Beacon.Put(113,0,600);</v>
      </c>
    </row>
    <row r="72" spans="1:7">
      <c r="A72" t="str">
        <f>M電入力!C73&amp;"+25;"</f>
        <v>+25;</v>
      </c>
      <c r="B72" t="str">
        <f>"Beacon.Put(113,0,1"&amp;TEXT(M電入力!$G73,"00")&amp;");"</f>
        <v>Beacon.Put(113,0,100);</v>
      </c>
      <c r="C72" t="str">
        <f>"Beacon.Put(113,0,2"&amp;TEXT(M電入力!$G74,"00")&amp;");"</f>
        <v>Beacon.Put(113,0,200);</v>
      </c>
      <c r="D72" t="str">
        <f>"Beacon.Put(113,0,3"&amp;TEXT(M電入力!$G75,"00")&amp;");"</f>
        <v>Beacon.Put(113,0,300);</v>
      </c>
      <c r="E72" t="str">
        <f>"Beacon.Put(113,0,4"&amp;TEXT(M電入力!$G76,"00")&amp;");"</f>
        <v>Beacon.Put(113,0,400);</v>
      </c>
      <c r="F72" t="str">
        <f>"Beacon.Put(113,0,5"&amp;TEXT(M電入力!$G77,"00")&amp;");"</f>
        <v>Beacon.Put(113,0,500);</v>
      </c>
      <c r="G72" t="str">
        <f>"Beacon.Put(113,0,6"&amp;TEXT(M電入力!$G78,"00")&amp;");"</f>
        <v>Beacon.Put(113,0,600);</v>
      </c>
    </row>
    <row r="73" spans="1:7">
      <c r="A73" t="str">
        <f>M電入力!C74&amp;"+25;"</f>
        <v>+25;</v>
      </c>
      <c r="B73" t="str">
        <f>"Beacon.Put(113,0,1"&amp;TEXT(M電入力!$G74,"00")&amp;");"</f>
        <v>Beacon.Put(113,0,100);</v>
      </c>
      <c r="C73" t="str">
        <f>"Beacon.Put(113,0,2"&amp;TEXT(M電入力!$G75,"00")&amp;");"</f>
        <v>Beacon.Put(113,0,200);</v>
      </c>
      <c r="D73" t="str">
        <f>"Beacon.Put(113,0,3"&amp;TEXT(M電入力!$G76,"00")&amp;");"</f>
        <v>Beacon.Put(113,0,300);</v>
      </c>
      <c r="E73" t="str">
        <f>"Beacon.Put(113,0,4"&amp;TEXT(M電入力!$G77,"00")&amp;");"</f>
        <v>Beacon.Put(113,0,400);</v>
      </c>
      <c r="F73" t="str">
        <f>"Beacon.Put(113,0,5"&amp;TEXT(M電入力!$G78,"00")&amp;");"</f>
        <v>Beacon.Put(113,0,500);</v>
      </c>
      <c r="G73" t="str">
        <f>"Beacon.Put(113,0,6"&amp;TEXT(M電入力!$G79,"00")&amp;");"</f>
        <v>Beacon.Put(113,0,600);</v>
      </c>
    </row>
    <row r="74" spans="1:7">
      <c r="A74" t="str">
        <f>M電入力!C75&amp;"+25;"</f>
        <v>+25;</v>
      </c>
      <c r="B74" t="str">
        <f>"Beacon.Put(113,0,1"&amp;TEXT(M電入力!$G75,"00")&amp;");"</f>
        <v>Beacon.Put(113,0,100);</v>
      </c>
      <c r="C74" t="str">
        <f>"Beacon.Put(113,0,2"&amp;TEXT(M電入力!$G76,"00")&amp;");"</f>
        <v>Beacon.Put(113,0,200);</v>
      </c>
      <c r="D74" t="str">
        <f>"Beacon.Put(113,0,3"&amp;TEXT(M電入力!$G77,"00")&amp;");"</f>
        <v>Beacon.Put(113,0,300);</v>
      </c>
      <c r="E74" t="str">
        <f>"Beacon.Put(113,0,4"&amp;TEXT(M電入力!$G78,"00")&amp;");"</f>
        <v>Beacon.Put(113,0,400);</v>
      </c>
      <c r="F74" t="str">
        <f>"Beacon.Put(113,0,5"&amp;TEXT(M電入力!$G79,"00")&amp;");"</f>
        <v>Beacon.Put(113,0,500);</v>
      </c>
      <c r="G74" t="str">
        <f>"Beacon.Put(113,0,6"&amp;TEXT(M電入力!$G80,"00")&amp;");"</f>
        <v>Beacon.Put(113,0,600);</v>
      </c>
    </row>
    <row r="75" spans="1:7">
      <c r="A75" t="str">
        <f>M電入力!C76&amp;"+25;"</f>
        <v>+25;</v>
      </c>
      <c r="B75" t="str">
        <f>"Beacon.Put(113,0,1"&amp;TEXT(M電入力!$G76,"00")&amp;");"</f>
        <v>Beacon.Put(113,0,100);</v>
      </c>
      <c r="C75" t="str">
        <f>"Beacon.Put(113,0,2"&amp;TEXT(M電入力!$G77,"00")&amp;");"</f>
        <v>Beacon.Put(113,0,200);</v>
      </c>
      <c r="D75" t="str">
        <f>"Beacon.Put(113,0,3"&amp;TEXT(M電入力!$G78,"00")&amp;");"</f>
        <v>Beacon.Put(113,0,300);</v>
      </c>
      <c r="E75" t="str">
        <f>"Beacon.Put(113,0,4"&amp;TEXT(M電入力!$G79,"00")&amp;");"</f>
        <v>Beacon.Put(113,0,400);</v>
      </c>
      <c r="F75" t="str">
        <f>"Beacon.Put(113,0,5"&amp;TEXT(M電入力!$G80,"00")&amp;");"</f>
        <v>Beacon.Put(113,0,500);</v>
      </c>
      <c r="G75" t="str">
        <f>"Beacon.Put(113,0,6"&amp;TEXT(M電入力!$G81,"00")&amp;");"</f>
        <v>Beacon.Put(113,0,600);</v>
      </c>
    </row>
    <row r="76" spans="1:7">
      <c r="A76" t="str">
        <f>M電入力!C77&amp;"+25;"</f>
        <v>+25;</v>
      </c>
      <c r="B76" t="str">
        <f>"Beacon.Put(113,0,1"&amp;TEXT(M電入力!$G77,"00")&amp;");"</f>
        <v>Beacon.Put(113,0,100);</v>
      </c>
      <c r="C76" t="str">
        <f>"Beacon.Put(113,0,2"&amp;TEXT(M電入力!$G78,"00")&amp;");"</f>
        <v>Beacon.Put(113,0,200);</v>
      </c>
      <c r="D76" t="str">
        <f>"Beacon.Put(113,0,3"&amp;TEXT(M電入力!$G79,"00")&amp;");"</f>
        <v>Beacon.Put(113,0,300);</v>
      </c>
      <c r="E76" t="str">
        <f>"Beacon.Put(113,0,4"&amp;TEXT(M電入力!$G80,"00")&amp;");"</f>
        <v>Beacon.Put(113,0,400);</v>
      </c>
      <c r="F76" t="str">
        <f>"Beacon.Put(113,0,5"&amp;TEXT(M電入力!$G81,"00")&amp;");"</f>
        <v>Beacon.Put(113,0,500);</v>
      </c>
      <c r="G76" t="str">
        <f>"Beacon.Put(113,0,6"&amp;TEXT(M電入力!$G82,"00")&amp;");"</f>
        <v>Beacon.Put(113,0,600);</v>
      </c>
    </row>
    <row r="77" spans="1:7">
      <c r="A77" t="str">
        <f>M電入力!C78&amp;"+25;"</f>
        <v>+25;</v>
      </c>
      <c r="B77" t="str">
        <f>"Beacon.Put(113,0,1"&amp;TEXT(M電入力!$G78,"00")&amp;");"</f>
        <v>Beacon.Put(113,0,100);</v>
      </c>
      <c r="C77" t="str">
        <f>"Beacon.Put(113,0,2"&amp;TEXT(M電入力!$G79,"00")&amp;");"</f>
        <v>Beacon.Put(113,0,200);</v>
      </c>
      <c r="D77" t="str">
        <f>"Beacon.Put(113,0,3"&amp;TEXT(M電入力!$G80,"00")&amp;");"</f>
        <v>Beacon.Put(113,0,300);</v>
      </c>
      <c r="E77" t="str">
        <f>"Beacon.Put(113,0,4"&amp;TEXT(M電入力!$G81,"00")&amp;");"</f>
        <v>Beacon.Put(113,0,400);</v>
      </c>
      <c r="F77" t="str">
        <f>"Beacon.Put(113,0,5"&amp;TEXT(M電入力!$G82,"00")&amp;");"</f>
        <v>Beacon.Put(113,0,500);</v>
      </c>
      <c r="G77" t="str">
        <f>"Beacon.Put(113,0,6"&amp;TEXT(M電入力!$G83,"00")&amp;");"</f>
        <v>Beacon.Put(113,0,600);</v>
      </c>
    </row>
    <row r="78" spans="1:7">
      <c r="A78" t="str">
        <f>M電入力!C79&amp;"+25;"</f>
        <v>+25;</v>
      </c>
      <c r="B78" t="str">
        <f>"Beacon.Put(113,0,1"&amp;TEXT(M電入力!$G79,"00")&amp;");"</f>
        <v>Beacon.Put(113,0,100);</v>
      </c>
      <c r="C78" t="str">
        <f>"Beacon.Put(113,0,2"&amp;TEXT(M電入力!$G80,"00")&amp;");"</f>
        <v>Beacon.Put(113,0,200);</v>
      </c>
      <c r="D78" t="str">
        <f>"Beacon.Put(113,0,3"&amp;TEXT(M電入力!$G81,"00")&amp;");"</f>
        <v>Beacon.Put(113,0,300);</v>
      </c>
      <c r="E78" t="str">
        <f>"Beacon.Put(113,0,4"&amp;TEXT(M電入力!$G82,"00")&amp;");"</f>
        <v>Beacon.Put(113,0,400);</v>
      </c>
      <c r="F78" t="str">
        <f>"Beacon.Put(113,0,5"&amp;TEXT(M電入力!$G83,"00")&amp;");"</f>
        <v>Beacon.Put(113,0,500);</v>
      </c>
      <c r="G78" t="str">
        <f>"Beacon.Put(113,0,6"&amp;TEXT(M電入力!$G84,"00")&amp;");"</f>
        <v>Beacon.Put(113,0,600);</v>
      </c>
    </row>
    <row r="79" spans="1:7">
      <c r="A79" t="str">
        <f>M電入力!C80&amp;"+25;"</f>
        <v>+25;</v>
      </c>
      <c r="B79" t="str">
        <f>"Beacon.Put(113,0,1"&amp;TEXT(M電入力!$G80,"00")&amp;");"</f>
        <v>Beacon.Put(113,0,100);</v>
      </c>
      <c r="C79" t="str">
        <f>"Beacon.Put(113,0,2"&amp;TEXT(M電入力!$G81,"00")&amp;");"</f>
        <v>Beacon.Put(113,0,200);</v>
      </c>
      <c r="D79" t="str">
        <f>"Beacon.Put(113,0,3"&amp;TEXT(M電入力!$G82,"00")&amp;");"</f>
        <v>Beacon.Put(113,0,300);</v>
      </c>
      <c r="E79" t="str">
        <f>"Beacon.Put(113,0,4"&amp;TEXT(M電入力!$G83,"00")&amp;");"</f>
        <v>Beacon.Put(113,0,400);</v>
      </c>
      <c r="F79" t="str">
        <f>"Beacon.Put(113,0,5"&amp;TEXT(M電入力!$G84,"00")&amp;");"</f>
        <v>Beacon.Put(113,0,500);</v>
      </c>
      <c r="G79" t="str">
        <f>"Beacon.Put(113,0,6"&amp;TEXT(M電入力!$G85,"00")&amp;");"</f>
        <v>Beacon.Put(113,0,600);</v>
      </c>
    </row>
    <row r="80" spans="1:7">
      <c r="A80" t="str">
        <f>M電入力!C81&amp;"+25;"</f>
        <v>+25;</v>
      </c>
      <c r="B80" t="str">
        <f>"Beacon.Put(113,0,1"&amp;TEXT(M電入力!$G81,"00")&amp;");"</f>
        <v>Beacon.Put(113,0,100);</v>
      </c>
      <c r="C80" t="str">
        <f>"Beacon.Put(113,0,2"&amp;TEXT(M電入力!$G82,"00")&amp;");"</f>
        <v>Beacon.Put(113,0,200);</v>
      </c>
      <c r="D80" t="str">
        <f>"Beacon.Put(113,0,3"&amp;TEXT(M電入力!$G83,"00")&amp;");"</f>
        <v>Beacon.Put(113,0,300);</v>
      </c>
      <c r="E80" t="str">
        <f>"Beacon.Put(113,0,4"&amp;TEXT(M電入力!$G84,"00")&amp;");"</f>
        <v>Beacon.Put(113,0,400);</v>
      </c>
      <c r="F80" t="str">
        <f>"Beacon.Put(113,0,5"&amp;TEXT(M電入力!$G85,"00")&amp;");"</f>
        <v>Beacon.Put(113,0,500);</v>
      </c>
      <c r="G80" t="str">
        <f>"Beacon.Put(113,0,6"&amp;TEXT(M電入力!$G86,"00")&amp;");"</f>
        <v>Beacon.Put(113,0,600);</v>
      </c>
    </row>
    <row r="81" spans="1:7">
      <c r="A81" t="str">
        <f>M電入力!C82&amp;"+25;"</f>
        <v>+25;</v>
      </c>
      <c r="B81" t="str">
        <f>"Beacon.Put(113,0,1"&amp;TEXT(M電入力!$G82,"00")&amp;");"</f>
        <v>Beacon.Put(113,0,100);</v>
      </c>
      <c r="C81" t="str">
        <f>"Beacon.Put(113,0,2"&amp;TEXT(M電入力!$G83,"00")&amp;");"</f>
        <v>Beacon.Put(113,0,200);</v>
      </c>
      <c r="D81" t="str">
        <f>"Beacon.Put(113,0,3"&amp;TEXT(M電入力!$G84,"00")&amp;");"</f>
        <v>Beacon.Put(113,0,300);</v>
      </c>
      <c r="E81" t="str">
        <f>"Beacon.Put(113,0,4"&amp;TEXT(M電入力!$G85,"00")&amp;");"</f>
        <v>Beacon.Put(113,0,400);</v>
      </c>
      <c r="F81" t="str">
        <f>"Beacon.Put(113,0,5"&amp;TEXT(M電入力!$G86,"00")&amp;");"</f>
        <v>Beacon.Put(113,0,500);</v>
      </c>
      <c r="G81" t="str">
        <f>"Beacon.Put(113,0,6"&amp;TEXT(M電入力!$G87,"00")&amp;");"</f>
        <v>Beacon.Put(113,0,600);</v>
      </c>
    </row>
    <row r="82" spans="1:7">
      <c r="A82" t="str">
        <f>M電入力!C83&amp;"+25;"</f>
        <v>+25;</v>
      </c>
      <c r="B82" t="str">
        <f>"Beacon.Put(113,0,1"&amp;TEXT(M電入力!$G83,"00")&amp;");"</f>
        <v>Beacon.Put(113,0,100);</v>
      </c>
      <c r="C82" t="str">
        <f>"Beacon.Put(113,0,2"&amp;TEXT(M電入力!$G84,"00")&amp;");"</f>
        <v>Beacon.Put(113,0,200);</v>
      </c>
      <c r="D82" t="str">
        <f>"Beacon.Put(113,0,3"&amp;TEXT(M電入力!$G85,"00")&amp;");"</f>
        <v>Beacon.Put(113,0,300);</v>
      </c>
      <c r="E82" t="str">
        <f>"Beacon.Put(113,0,4"&amp;TEXT(M電入力!$G86,"00")&amp;");"</f>
        <v>Beacon.Put(113,0,400);</v>
      </c>
      <c r="F82" t="str">
        <f>"Beacon.Put(113,0,5"&amp;TEXT(M電入力!$G87,"00")&amp;");"</f>
        <v>Beacon.Put(113,0,500);</v>
      </c>
      <c r="G82" t="str">
        <f>"Beacon.Put(113,0,6"&amp;TEXT(M電入力!$G88,"00")&amp;");"</f>
        <v>Beacon.Put(113,0,600);</v>
      </c>
    </row>
    <row r="83" spans="1:7">
      <c r="A83" t="str">
        <f>M電入力!C84&amp;"+25;"</f>
        <v>+25;</v>
      </c>
      <c r="B83" t="str">
        <f>"Beacon.Put(113,0,1"&amp;TEXT(M電入力!$G84,"00")&amp;");"</f>
        <v>Beacon.Put(113,0,100);</v>
      </c>
      <c r="C83" t="str">
        <f>"Beacon.Put(113,0,2"&amp;TEXT(M電入力!$G85,"00")&amp;");"</f>
        <v>Beacon.Put(113,0,200);</v>
      </c>
      <c r="D83" t="str">
        <f>"Beacon.Put(113,0,3"&amp;TEXT(M電入力!$G86,"00")&amp;");"</f>
        <v>Beacon.Put(113,0,300);</v>
      </c>
      <c r="E83" t="str">
        <f>"Beacon.Put(113,0,4"&amp;TEXT(M電入力!$G87,"00")&amp;");"</f>
        <v>Beacon.Put(113,0,400);</v>
      </c>
      <c r="F83" t="str">
        <f>"Beacon.Put(113,0,5"&amp;TEXT(M電入力!$G88,"00")&amp;");"</f>
        <v>Beacon.Put(113,0,500);</v>
      </c>
      <c r="G83" t="str">
        <f>"Beacon.Put(113,0,6"&amp;TEXT(M電入力!$G89,"00")&amp;");"</f>
        <v>Beacon.Put(113,0,600);</v>
      </c>
    </row>
    <row r="84" spans="1:7">
      <c r="A84" t="str">
        <f>M電入力!C85&amp;"+25;"</f>
        <v>+25;</v>
      </c>
      <c r="B84" t="str">
        <f>"Beacon.Put(113,0,1"&amp;TEXT(M電入力!$G85,"00")&amp;");"</f>
        <v>Beacon.Put(113,0,100);</v>
      </c>
      <c r="C84" t="str">
        <f>"Beacon.Put(113,0,2"&amp;TEXT(M電入力!$G86,"00")&amp;");"</f>
        <v>Beacon.Put(113,0,200);</v>
      </c>
      <c r="D84" t="str">
        <f>"Beacon.Put(113,0,3"&amp;TEXT(M電入力!$G87,"00")&amp;");"</f>
        <v>Beacon.Put(113,0,300);</v>
      </c>
      <c r="E84" t="str">
        <f>"Beacon.Put(113,0,4"&amp;TEXT(M電入力!$G88,"00")&amp;");"</f>
        <v>Beacon.Put(113,0,400);</v>
      </c>
      <c r="F84" t="str">
        <f>"Beacon.Put(113,0,5"&amp;TEXT(M電入力!$G89,"00")&amp;");"</f>
        <v>Beacon.Put(113,0,500);</v>
      </c>
      <c r="G84" t="str">
        <f>"Beacon.Put(113,0,6"&amp;TEXT(M電入力!$G90,"00")&amp;");"</f>
        <v>Beacon.Put(113,0,600);</v>
      </c>
    </row>
    <row r="85" spans="1:7">
      <c r="A85" t="str">
        <f>M電入力!C86&amp;"+25;"</f>
        <v>+25;</v>
      </c>
      <c r="B85" t="str">
        <f>"Beacon.Put(113,0,1"&amp;TEXT(M電入力!$G86,"00")&amp;");"</f>
        <v>Beacon.Put(113,0,100);</v>
      </c>
      <c r="C85" t="str">
        <f>"Beacon.Put(113,0,2"&amp;TEXT(M電入力!$G87,"00")&amp;");"</f>
        <v>Beacon.Put(113,0,200);</v>
      </c>
      <c r="D85" t="str">
        <f>"Beacon.Put(113,0,3"&amp;TEXT(M電入力!$G88,"00")&amp;");"</f>
        <v>Beacon.Put(113,0,300);</v>
      </c>
      <c r="E85" t="str">
        <f>"Beacon.Put(113,0,4"&amp;TEXT(M電入力!$G89,"00")&amp;");"</f>
        <v>Beacon.Put(113,0,400);</v>
      </c>
      <c r="F85" t="str">
        <f>"Beacon.Put(113,0,5"&amp;TEXT(M電入力!$G90,"00")&amp;");"</f>
        <v>Beacon.Put(113,0,500);</v>
      </c>
      <c r="G85" t="str">
        <f>"Beacon.Put(113,0,6"&amp;TEXT(M電入力!$G91,"00")&amp;");"</f>
        <v>Beacon.Put(113,0,600);</v>
      </c>
    </row>
    <row r="86" spans="1:7">
      <c r="A86" t="str">
        <f>M電入力!C87&amp;"+25;"</f>
        <v>+25;</v>
      </c>
      <c r="B86" t="str">
        <f>"Beacon.Put(113,0,1"&amp;TEXT(M電入力!$G87,"00")&amp;");"</f>
        <v>Beacon.Put(113,0,100);</v>
      </c>
      <c r="C86" t="str">
        <f>"Beacon.Put(113,0,2"&amp;TEXT(M電入力!$G88,"00")&amp;");"</f>
        <v>Beacon.Put(113,0,200);</v>
      </c>
      <c r="D86" t="str">
        <f>"Beacon.Put(113,0,3"&amp;TEXT(M電入力!$G89,"00")&amp;");"</f>
        <v>Beacon.Put(113,0,300);</v>
      </c>
      <c r="E86" t="str">
        <f>"Beacon.Put(113,0,4"&amp;TEXT(M電入力!$G90,"00")&amp;");"</f>
        <v>Beacon.Put(113,0,400);</v>
      </c>
      <c r="F86" t="str">
        <f>"Beacon.Put(113,0,5"&amp;TEXT(M電入力!$G91,"00")&amp;");"</f>
        <v>Beacon.Put(113,0,500);</v>
      </c>
      <c r="G86" t="str">
        <f>"Beacon.Put(113,0,6"&amp;TEXT(M電入力!$G92,"00")&amp;");"</f>
        <v>Beacon.Put(113,0,600);</v>
      </c>
    </row>
    <row r="87" spans="1:7">
      <c r="A87" t="str">
        <f>M電入力!C88&amp;"+25;"</f>
        <v>+25;</v>
      </c>
      <c r="B87" t="str">
        <f>"Beacon.Put(113,0,1"&amp;TEXT(M電入力!$G88,"00")&amp;");"</f>
        <v>Beacon.Put(113,0,100);</v>
      </c>
      <c r="C87" t="str">
        <f>"Beacon.Put(113,0,2"&amp;TEXT(M電入力!$G89,"00")&amp;");"</f>
        <v>Beacon.Put(113,0,200);</v>
      </c>
      <c r="D87" t="str">
        <f>"Beacon.Put(113,0,3"&amp;TEXT(M電入力!$G90,"00")&amp;");"</f>
        <v>Beacon.Put(113,0,300);</v>
      </c>
      <c r="E87" t="str">
        <f>"Beacon.Put(113,0,4"&amp;TEXT(M電入力!$G91,"00")&amp;");"</f>
        <v>Beacon.Put(113,0,400);</v>
      </c>
      <c r="F87" t="str">
        <f>"Beacon.Put(113,0,5"&amp;TEXT(M電入力!$G92,"00")&amp;");"</f>
        <v>Beacon.Put(113,0,500);</v>
      </c>
      <c r="G87" t="str">
        <f>"Beacon.Put(113,0,6"&amp;TEXT(M電入力!$G93,"00")&amp;");"</f>
        <v>Beacon.Put(113,0,600);</v>
      </c>
    </row>
    <row r="88" spans="1:7">
      <c r="A88" t="str">
        <f>M電入力!C89&amp;"+25;"</f>
        <v>+25;</v>
      </c>
      <c r="B88" t="str">
        <f>"Beacon.Put(113,0,1"&amp;TEXT(M電入力!$G89,"00")&amp;");"</f>
        <v>Beacon.Put(113,0,100);</v>
      </c>
      <c r="C88" t="str">
        <f>"Beacon.Put(113,0,2"&amp;TEXT(M電入力!$G90,"00")&amp;");"</f>
        <v>Beacon.Put(113,0,200);</v>
      </c>
      <c r="D88" t="str">
        <f>"Beacon.Put(113,0,3"&amp;TEXT(M電入力!$G91,"00")&amp;");"</f>
        <v>Beacon.Put(113,0,300);</v>
      </c>
      <c r="E88" t="str">
        <f>"Beacon.Put(113,0,4"&amp;TEXT(M電入力!$G92,"00")&amp;");"</f>
        <v>Beacon.Put(113,0,400);</v>
      </c>
      <c r="F88" t="str">
        <f>"Beacon.Put(113,0,5"&amp;TEXT(M電入力!$G93,"00")&amp;");"</f>
        <v>Beacon.Put(113,0,500);</v>
      </c>
      <c r="G88" t="str">
        <f>"Beacon.Put(113,0,6"&amp;TEXT(M電入力!$G94,"00")&amp;");"</f>
        <v>Beacon.Put(113,0,600);</v>
      </c>
    </row>
    <row r="89" spans="1:7">
      <c r="A89" t="str">
        <f>M電入力!C90&amp;"+25;"</f>
        <v>+25;</v>
      </c>
      <c r="B89" t="str">
        <f>"Beacon.Put(113,0,1"&amp;TEXT(M電入力!$G90,"00")&amp;");"</f>
        <v>Beacon.Put(113,0,100);</v>
      </c>
      <c r="C89" t="str">
        <f>"Beacon.Put(113,0,2"&amp;TEXT(M電入力!$G91,"00")&amp;");"</f>
        <v>Beacon.Put(113,0,200);</v>
      </c>
      <c r="D89" t="str">
        <f>"Beacon.Put(113,0,3"&amp;TEXT(M電入力!$G92,"00")&amp;");"</f>
        <v>Beacon.Put(113,0,300);</v>
      </c>
      <c r="E89" t="str">
        <f>"Beacon.Put(113,0,4"&amp;TEXT(M電入力!$G93,"00")&amp;");"</f>
        <v>Beacon.Put(113,0,400);</v>
      </c>
      <c r="F89" t="str">
        <f>"Beacon.Put(113,0,5"&amp;TEXT(M電入力!$G94,"00")&amp;");"</f>
        <v>Beacon.Put(113,0,500);</v>
      </c>
      <c r="G89" t="str">
        <f>"Beacon.Put(113,0,6"&amp;TEXT(M電入力!$G95,"00")&amp;");"</f>
        <v>Beacon.Put(113,0,600);</v>
      </c>
    </row>
    <row r="90" spans="1:7">
      <c r="A90" t="str">
        <f>M電入力!C91&amp;"+25;"</f>
        <v>+25;</v>
      </c>
      <c r="B90" t="str">
        <f>"Beacon.Put(113,0,1"&amp;TEXT(M電入力!$G91,"00")&amp;");"</f>
        <v>Beacon.Put(113,0,100);</v>
      </c>
      <c r="C90" t="str">
        <f>"Beacon.Put(113,0,2"&amp;TEXT(M電入力!$G92,"00")&amp;");"</f>
        <v>Beacon.Put(113,0,200);</v>
      </c>
      <c r="D90" t="str">
        <f>"Beacon.Put(113,0,3"&amp;TEXT(M電入力!$G93,"00")&amp;");"</f>
        <v>Beacon.Put(113,0,300);</v>
      </c>
      <c r="E90" t="str">
        <f>"Beacon.Put(113,0,4"&amp;TEXT(M電入力!$G94,"00")&amp;");"</f>
        <v>Beacon.Put(113,0,400);</v>
      </c>
      <c r="F90" t="str">
        <f>"Beacon.Put(113,0,5"&amp;TEXT(M電入力!$G95,"00")&amp;");"</f>
        <v>Beacon.Put(113,0,500);</v>
      </c>
      <c r="G90" t="str">
        <f>"Beacon.Put(113,0,6"&amp;TEXT(M電入力!$G96,"00")&amp;");"</f>
        <v>Beacon.Put(113,0,600);</v>
      </c>
    </row>
    <row r="91" spans="1:7">
      <c r="A91" t="str">
        <f>M電入力!C92&amp;"+25;"</f>
        <v>+25;</v>
      </c>
      <c r="B91" t="str">
        <f>"Beacon.Put(113,0,1"&amp;TEXT(M電入力!$G92,"00")&amp;");"</f>
        <v>Beacon.Put(113,0,100);</v>
      </c>
      <c r="C91" t="str">
        <f>"Beacon.Put(113,0,2"&amp;TEXT(M電入力!$G93,"00")&amp;");"</f>
        <v>Beacon.Put(113,0,200);</v>
      </c>
      <c r="D91" t="str">
        <f>"Beacon.Put(113,0,3"&amp;TEXT(M電入力!$G94,"00")&amp;");"</f>
        <v>Beacon.Put(113,0,300);</v>
      </c>
      <c r="E91" t="str">
        <f>"Beacon.Put(113,0,4"&amp;TEXT(M電入力!$G95,"00")&amp;");"</f>
        <v>Beacon.Put(113,0,400);</v>
      </c>
      <c r="F91" t="str">
        <f>"Beacon.Put(113,0,5"&amp;TEXT(M電入力!$G96,"00")&amp;");"</f>
        <v>Beacon.Put(113,0,500);</v>
      </c>
      <c r="G91" t="str">
        <f>"Beacon.Put(113,0,6"&amp;TEXT(M電入力!$G97,"00")&amp;");"</f>
        <v>Beacon.Put(113,0,600);</v>
      </c>
    </row>
    <row r="92" spans="1:7">
      <c r="A92" t="str">
        <f>M電入力!C93&amp;"+25;"</f>
        <v>+25;</v>
      </c>
      <c r="B92" t="str">
        <f>"Beacon.Put(113,0,1"&amp;TEXT(M電入力!$G93,"00")&amp;");"</f>
        <v>Beacon.Put(113,0,100);</v>
      </c>
      <c r="C92" t="str">
        <f>"Beacon.Put(113,0,2"&amp;TEXT(M電入力!$G94,"00")&amp;");"</f>
        <v>Beacon.Put(113,0,200);</v>
      </c>
      <c r="D92" t="str">
        <f>"Beacon.Put(113,0,3"&amp;TEXT(M電入力!$G95,"00")&amp;");"</f>
        <v>Beacon.Put(113,0,300);</v>
      </c>
      <c r="E92" t="str">
        <f>"Beacon.Put(113,0,4"&amp;TEXT(M電入力!$G96,"00")&amp;");"</f>
        <v>Beacon.Put(113,0,400);</v>
      </c>
      <c r="F92" t="str">
        <f>"Beacon.Put(113,0,5"&amp;TEXT(M電入力!$G97,"00")&amp;");"</f>
        <v>Beacon.Put(113,0,500);</v>
      </c>
      <c r="G92" t="str">
        <f>"Beacon.Put(113,0,6"&amp;TEXT(M電入力!$G98,"00")&amp;");"</f>
        <v>Beacon.Put(113,0,600);</v>
      </c>
    </row>
    <row r="93" spans="1:7">
      <c r="A93" t="str">
        <f>M電入力!C94&amp;"+25;"</f>
        <v>+25;</v>
      </c>
      <c r="B93" t="str">
        <f>"Beacon.Put(113,0,1"&amp;TEXT(M電入力!$G94,"00")&amp;");"</f>
        <v>Beacon.Put(113,0,100);</v>
      </c>
      <c r="C93" t="str">
        <f>"Beacon.Put(113,0,2"&amp;TEXT(M電入力!$G95,"00")&amp;");"</f>
        <v>Beacon.Put(113,0,200);</v>
      </c>
      <c r="D93" t="str">
        <f>"Beacon.Put(113,0,3"&amp;TEXT(M電入力!$G96,"00")&amp;");"</f>
        <v>Beacon.Put(113,0,300);</v>
      </c>
      <c r="E93" t="str">
        <f>"Beacon.Put(113,0,4"&amp;TEXT(M電入力!$G97,"00")&amp;");"</f>
        <v>Beacon.Put(113,0,400);</v>
      </c>
      <c r="F93" t="str">
        <f>"Beacon.Put(113,0,5"&amp;TEXT(M電入力!$G98,"00")&amp;");"</f>
        <v>Beacon.Put(113,0,500);</v>
      </c>
      <c r="G93" t="str">
        <f>"Beacon.Put(113,0,6"&amp;TEXT(M電入力!$G99,"00")&amp;");"</f>
        <v>Beacon.Put(113,0,600);</v>
      </c>
    </row>
    <row r="94" spans="1:7">
      <c r="A94" t="str">
        <f>M電入力!C95&amp;"+25;"</f>
        <v>+25;</v>
      </c>
      <c r="B94" t="str">
        <f>"Beacon.Put(113,0,1"&amp;TEXT(M電入力!$G95,"00")&amp;");"</f>
        <v>Beacon.Put(113,0,100);</v>
      </c>
      <c r="C94" t="str">
        <f>"Beacon.Put(113,0,2"&amp;TEXT(M電入力!$G96,"00")&amp;");"</f>
        <v>Beacon.Put(113,0,200);</v>
      </c>
      <c r="D94" t="str">
        <f>"Beacon.Put(113,0,3"&amp;TEXT(M電入力!$G97,"00")&amp;");"</f>
        <v>Beacon.Put(113,0,300);</v>
      </c>
      <c r="E94" t="str">
        <f>"Beacon.Put(113,0,4"&amp;TEXT(M電入力!$G98,"00")&amp;");"</f>
        <v>Beacon.Put(113,0,400);</v>
      </c>
      <c r="F94" t="str">
        <f>"Beacon.Put(113,0,5"&amp;TEXT(M電入力!$G99,"00")&amp;");"</f>
        <v>Beacon.Put(113,0,500);</v>
      </c>
      <c r="G94" t="str">
        <f>"Beacon.Put(113,0,6"&amp;TEXT(M電入力!$G100,"00")&amp;");"</f>
        <v>Beacon.Put(113,0,600);</v>
      </c>
    </row>
    <row r="95" spans="1:7">
      <c r="A95" t="str">
        <f>M電入力!C96&amp;"+25;"</f>
        <v>+25;</v>
      </c>
      <c r="B95" t="str">
        <f>"Beacon.Put(113,0,1"&amp;TEXT(M電入力!$G96,"00")&amp;");"</f>
        <v>Beacon.Put(113,0,100);</v>
      </c>
      <c r="C95" t="str">
        <f>"Beacon.Put(113,0,2"&amp;TEXT(M電入力!$G97,"00")&amp;");"</f>
        <v>Beacon.Put(113,0,200);</v>
      </c>
      <c r="D95" t="str">
        <f>"Beacon.Put(113,0,3"&amp;TEXT(M電入力!$G98,"00")&amp;");"</f>
        <v>Beacon.Put(113,0,300);</v>
      </c>
      <c r="E95" t="str">
        <f>"Beacon.Put(113,0,4"&amp;TEXT(M電入力!$G99,"00")&amp;");"</f>
        <v>Beacon.Put(113,0,400);</v>
      </c>
      <c r="F95" t="str">
        <f>"Beacon.Put(113,0,5"&amp;TEXT(M電入力!$G100,"00")&amp;");"</f>
        <v>Beacon.Put(113,0,500);</v>
      </c>
      <c r="G95" t="str">
        <f>"Beacon.Put(113,0,6"&amp;TEXT(M電入力!$G101,"00")&amp;");"</f>
        <v>Beacon.Put(113,0,600);</v>
      </c>
    </row>
    <row r="96" spans="1:7">
      <c r="A96" t="str">
        <f>M電入力!C97&amp;"+25;"</f>
        <v>+25;</v>
      </c>
      <c r="B96" t="str">
        <f>"Beacon.Put(113,0,1"&amp;TEXT(M電入力!$G97,"00")&amp;");"</f>
        <v>Beacon.Put(113,0,100);</v>
      </c>
      <c r="C96" t="str">
        <f>"Beacon.Put(113,0,2"&amp;TEXT(M電入力!$G98,"00")&amp;");"</f>
        <v>Beacon.Put(113,0,200);</v>
      </c>
      <c r="D96" t="str">
        <f>"Beacon.Put(113,0,3"&amp;TEXT(M電入力!$G99,"00")&amp;");"</f>
        <v>Beacon.Put(113,0,300);</v>
      </c>
      <c r="E96" t="str">
        <f>"Beacon.Put(113,0,4"&amp;TEXT(M電入力!$G100,"00")&amp;");"</f>
        <v>Beacon.Put(113,0,400);</v>
      </c>
      <c r="F96" t="str">
        <f>"Beacon.Put(113,0,5"&amp;TEXT(M電入力!$G101,"00")&amp;");"</f>
        <v>Beacon.Put(113,0,500);</v>
      </c>
      <c r="G96" t="str">
        <f>"Beacon.Put(113,0,6"&amp;TEXT(M電入力!$G102,"00")&amp;");"</f>
        <v>Beacon.Put(113,0,600);</v>
      </c>
    </row>
    <row r="97" spans="1:7">
      <c r="A97" t="str">
        <f>M電入力!C98&amp;"+25;"</f>
        <v>+25;</v>
      </c>
      <c r="B97" t="str">
        <f>"Beacon.Put(113,0,1"&amp;TEXT(M電入力!$G98,"00")&amp;");"</f>
        <v>Beacon.Put(113,0,100);</v>
      </c>
      <c r="C97" t="str">
        <f>"Beacon.Put(113,0,2"&amp;TEXT(M電入力!$G99,"00")&amp;");"</f>
        <v>Beacon.Put(113,0,200);</v>
      </c>
      <c r="D97" t="str">
        <f>"Beacon.Put(113,0,3"&amp;TEXT(M電入力!$G100,"00")&amp;");"</f>
        <v>Beacon.Put(113,0,300);</v>
      </c>
      <c r="E97" t="str">
        <f>"Beacon.Put(113,0,4"&amp;TEXT(M電入力!$G101,"00")&amp;");"</f>
        <v>Beacon.Put(113,0,400);</v>
      </c>
      <c r="F97" t="str">
        <f>"Beacon.Put(113,0,5"&amp;TEXT(M電入力!$G102,"00")&amp;");"</f>
        <v>Beacon.Put(113,0,500);</v>
      </c>
      <c r="G97" t="str">
        <f>"Beacon.Put(113,0,6"&amp;TEXT(M電入力!$G103,"00")&amp;");"</f>
        <v>Beacon.Put(113,0,600);</v>
      </c>
    </row>
    <row r="98" spans="1:7">
      <c r="A98" t="str">
        <f>M電入力!C99&amp;"+25;"</f>
        <v>+25;</v>
      </c>
      <c r="B98" t="str">
        <f>"Beacon.Put(113,0,1"&amp;TEXT(M電入力!$G99,"00")&amp;");"</f>
        <v>Beacon.Put(113,0,100);</v>
      </c>
      <c r="C98" t="str">
        <f>"Beacon.Put(113,0,2"&amp;TEXT(M電入力!$G100,"00")&amp;");"</f>
        <v>Beacon.Put(113,0,200);</v>
      </c>
      <c r="D98" t="str">
        <f>"Beacon.Put(113,0,3"&amp;TEXT(M電入力!$G101,"00")&amp;");"</f>
        <v>Beacon.Put(113,0,300);</v>
      </c>
      <c r="E98" t="str">
        <f>"Beacon.Put(113,0,4"&amp;TEXT(M電入力!$G102,"00")&amp;");"</f>
        <v>Beacon.Put(113,0,400);</v>
      </c>
      <c r="F98" t="str">
        <f>"Beacon.Put(113,0,5"&amp;TEXT(M電入力!$G103,"00")&amp;");"</f>
        <v>Beacon.Put(113,0,500);</v>
      </c>
      <c r="G98" t="str">
        <f>"Beacon.Put(113,0,6"&amp;TEXT(M電入力!$G104,"00")&amp;");"</f>
        <v>Beacon.Put(113,0,600);</v>
      </c>
    </row>
    <row r="99" spans="1:7">
      <c r="A99" t="str">
        <f>M電入力!C100&amp;"+25;"</f>
        <v>+25;</v>
      </c>
      <c r="B99" t="str">
        <f>"Beacon.Put(113,0,1"&amp;TEXT(M電入力!$G100,"00")&amp;");"</f>
        <v>Beacon.Put(113,0,100);</v>
      </c>
      <c r="C99" t="str">
        <f>"Beacon.Put(113,0,2"&amp;TEXT(M電入力!$G101,"00")&amp;");"</f>
        <v>Beacon.Put(113,0,200);</v>
      </c>
      <c r="D99" t="str">
        <f>"Beacon.Put(113,0,3"&amp;TEXT(M電入力!$G102,"00")&amp;");"</f>
        <v>Beacon.Put(113,0,300);</v>
      </c>
      <c r="E99" t="str">
        <f>"Beacon.Put(113,0,4"&amp;TEXT(M電入力!$G103,"00")&amp;");"</f>
        <v>Beacon.Put(113,0,400);</v>
      </c>
      <c r="F99" t="str">
        <f>"Beacon.Put(113,0,5"&amp;TEXT(M電入力!$G104,"00")&amp;");"</f>
        <v>Beacon.Put(113,0,500);</v>
      </c>
      <c r="G99" t="str">
        <f>"Beacon.Put(113,0,6"&amp;TEXT(M電入力!$G105,"00")&amp;");"</f>
        <v>Beacon.Put(113,0,600);</v>
      </c>
    </row>
    <row r="100" spans="1:7">
      <c r="A100" t="str">
        <f>M電入力!C101&amp;"+25;"</f>
        <v>+25;</v>
      </c>
      <c r="B100" t="str">
        <f>"Beacon.Put(113,0,1"&amp;TEXT(M電入力!$G101,"00")&amp;");"</f>
        <v>Beacon.Put(113,0,100);</v>
      </c>
      <c r="C100" t="str">
        <f>"Beacon.Put(113,0,2"&amp;TEXT(M電入力!$G102,"00")&amp;");"</f>
        <v>Beacon.Put(113,0,200);</v>
      </c>
      <c r="D100" t="str">
        <f>"Beacon.Put(113,0,3"&amp;TEXT(M電入力!$G103,"00")&amp;");"</f>
        <v>Beacon.Put(113,0,300);</v>
      </c>
      <c r="E100" t="str">
        <f>"Beacon.Put(113,0,4"&amp;TEXT(M電入力!$G104,"00")&amp;");"</f>
        <v>Beacon.Put(113,0,400);</v>
      </c>
      <c r="F100" t="str">
        <f>"Beacon.Put(113,0,5"&amp;TEXT(M電入力!$G105,"00")&amp;");"</f>
        <v>Beacon.Put(113,0,500);</v>
      </c>
      <c r="G100" t="str">
        <f>"Beacon.Put(113,0,6"&amp;TEXT(M電入力!$G106,"00")&amp;");"</f>
        <v>Beacon.Put(113,0,600);</v>
      </c>
    </row>
    <row r="101" spans="1:7">
      <c r="A101" t="str">
        <f>M電入力!C102&amp;"+25;"</f>
        <v>+25;</v>
      </c>
      <c r="B101" t="str">
        <f>"Beacon.Put(113,0,1"&amp;TEXT(M電入力!$G102,"00")&amp;");"</f>
        <v>Beacon.Put(113,0,100);</v>
      </c>
      <c r="C101" t="str">
        <f>"Beacon.Put(113,0,2"&amp;TEXT(M電入力!$G103,"00")&amp;");"</f>
        <v>Beacon.Put(113,0,200);</v>
      </c>
      <c r="D101" t="str">
        <f>"Beacon.Put(113,0,3"&amp;TEXT(M電入力!$G104,"00")&amp;");"</f>
        <v>Beacon.Put(113,0,300);</v>
      </c>
      <c r="E101" t="str">
        <f>"Beacon.Put(113,0,4"&amp;TEXT(M電入力!$G105,"00")&amp;");"</f>
        <v>Beacon.Put(113,0,400);</v>
      </c>
      <c r="F101" t="str">
        <f>"Beacon.Put(113,0,5"&amp;TEXT(M電入力!$G106,"00")&amp;");"</f>
        <v>Beacon.Put(113,0,500);</v>
      </c>
      <c r="G101" t="str">
        <f>"Beacon.Put(113,0,6"&amp;TEXT(M電入力!$G107,"00")&amp;");"</f>
        <v>Beacon.Put(113,0,600);</v>
      </c>
    </row>
    <row r="102" spans="1:7">
      <c r="A102" t="str">
        <f>M電入力!C103&amp;"+25;"</f>
        <v>+25;</v>
      </c>
      <c r="B102" t="str">
        <f>"Beacon.Put(113,0,1"&amp;TEXT(M電入力!$G103,"00")&amp;");"</f>
        <v>Beacon.Put(113,0,100);</v>
      </c>
      <c r="C102" t="str">
        <f>"Beacon.Put(113,0,2"&amp;TEXT(M電入力!$G104,"00")&amp;");"</f>
        <v>Beacon.Put(113,0,200);</v>
      </c>
      <c r="D102" t="str">
        <f>"Beacon.Put(113,0,3"&amp;TEXT(M電入力!$G105,"00")&amp;");"</f>
        <v>Beacon.Put(113,0,300);</v>
      </c>
      <c r="E102" t="str">
        <f>"Beacon.Put(113,0,4"&amp;TEXT(M電入力!$G106,"00")&amp;");"</f>
        <v>Beacon.Put(113,0,400);</v>
      </c>
      <c r="F102" t="str">
        <f>"Beacon.Put(113,0,5"&amp;TEXT(M電入力!$G107,"00")&amp;");"</f>
        <v>Beacon.Put(113,0,500);</v>
      </c>
      <c r="G102" t="str">
        <f>"Beacon.Put(113,0,6"&amp;TEXT(M電入力!$G108,"00")&amp;");"</f>
        <v>Beacon.Put(113,0,600);</v>
      </c>
    </row>
  </sheetData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39C2B2-5CE9-4C83-86B6-4A87E85231E1}">
  <dimension ref="A1:F102"/>
  <sheetViews>
    <sheetView workbookViewId="0">
      <selection activeCell="A2" sqref="A2"/>
    </sheetView>
  </sheetViews>
  <sheetFormatPr defaultRowHeight="14.4"/>
  <cols>
    <col min="1" max="1" width="14.21875" style="2" bestFit="1" customWidth="1"/>
    <col min="2" max="2" width="20.109375" style="2" bestFit="1" customWidth="1"/>
    <col min="3" max="3" width="18.77734375" style="2" bestFit="1" customWidth="1"/>
    <col min="4" max="4" width="20.77734375" style="2" bestFit="1" customWidth="1"/>
    <col min="5" max="5" width="22.88671875" style="2" bestFit="1" customWidth="1"/>
    <col min="6" max="6" width="23" style="2" bestFit="1" customWidth="1"/>
    <col min="7" max="16384" width="8.88671875" style="2"/>
  </cols>
  <sheetData>
    <row r="1" spans="1:6">
      <c r="A1" s="2" t="s">
        <v>60</v>
      </c>
    </row>
    <row r="2" spans="1:6">
      <c r="A2" s="2" t="s">
        <v>38</v>
      </c>
    </row>
    <row r="3" spans="1:6">
      <c r="A3" s="2" t="str">
        <f>M電入力!C4&amp;";"</f>
        <v>3790;</v>
      </c>
      <c r="E3" s="2" t="str">
        <f>"Beacon.Put(106,0,"&amp;M電入力!AC4&amp;");"</f>
        <v>Beacon.Put(106,0,050053);</v>
      </c>
      <c r="F3" s="2" t="str">
        <f>"Beacon.Put(107,0,"&amp;M電入力!AD4&amp;");"</f>
        <v>Beacon.Put(107,0,000760);</v>
      </c>
    </row>
    <row r="4" spans="1:6">
      <c r="A4" s="2" t="str">
        <f>M電入力!C5&amp;";"</f>
        <v>6875;</v>
      </c>
      <c r="B4" s="2" t="str">
        <f>"$dis=distance;$dis-500;"</f>
        <v>$dis=distance;$dis-500;</v>
      </c>
      <c r="C4" s="2" t="str">
        <f>"Beacon.Put(30,0,"&amp;IF(M電入力!K5="pass",-1,500)&amp;");"</f>
        <v>Beacon.Put(30,0,-1);</v>
      </c>
      <c r="D4" s="2" t="str">
        <f>"Beacon.Put(105,0,"&amp;IF(M電入力!K5="PASS","-498","498")&amp;");"</f>
        <v>Beacon.Put(105,0,-498);</v>
      </c>
      <c r="E4" s="2" t="str">
        <f>"Beacon.Put(106,0,"&amp;M電入力!AC5&amp;");"</f>
        <v>Beacon.Put(106,0,051053);</v>
      </c>
      <c r="F4" s="2" t="str">
        <f>"Beacon.Put(107,0,"&amp;M電入力!AD5&amp;");"</f>
        <v>Beacon.Put(107,0,000760);</v>
      </c>
    </row>
    <row r="5" spans="1:6">
      <c r="A5" s="2" t="str">
        <f>M電入力!C6&amp;";"</f>
        <v>8460;</v>
      </c>
      <c r="B5" s="2" t="str">
        <f t="shared" ref="B5:B68" si="0">"$dis=distance;$dis-500;"</f>
        <v>$dis=distance;$dis-500;</v>
      </c>
      <c r="C5" s="2" t="str">
        <f>"Beacon.Put(30,0,"&amp;IF(M電入力!K6="pass",-1,500)&amp;");"</f>
        <v>Beacon.Put(30,0,-1);</v>
      </c>
      <c r="D5" s="2" t="str">
        <f>"Beacon.Put(105,0,"&amp;IF(M電入力!K6="PASS","-498","498")&amp;");"</f>
        <v>Beacon.Put(105,0,-498);</v>
      </c>
      <c r="E5" s="2" t="str">
        <f>"Beacon.Put(106,0,"&amp;M電入力!AC6&amp;");"</f>
        <v>Beacon.Put(106,0,052053);</v>
      </c>
      <c r="F5" s="2" t="str">
        <f>"Beacon.Put(107,0,"&amp;M電入力!AD6&amp;");"</f>
        <v>Beacon.Put(107,0,000760);</v>
      </c>
    </row>
    <row r="6" spans="1:6">
      <c r="A6" s="2" t="str">
        <f>M電入力!C7&amp;";"</f>
        <v>13240;</v>
      </c>
      <c r="B6" s="2" t="str">
        <f t="shared" si="0"/>
        <v>$dis=distance;$dis-500;</v>
      </c>
      <c r="C6" s="2" t="str">
        <f>"Beacon.Put(30,0,"&amp;IF(M電入力!K7="pass",-1,500)&amp;");"</f>
        <v>Beacon.Put(30,0,500);</v>
      </c>
      <c r="D6" s="2" t="str">
        <f>"Beacon.Put(105,0,"&amp;IF(M電入力!K7="PASS","-498","498")&amp;");"</f>
        <v>Beacon.Put(105,0,498);</v>
      </c>
      <c r="E6" s="2" t="str">
        <f>"Beacon.Put(106,0,"&amp;M電入力!AC7&amp;");"</f>
        <v>Beacon.Put(106,0,053066);</v>
      </c>
      <c r="F6" s="2" t="str">
        <f>"Beacon.Put(107,0,"&amp;M電入力!AD7&amp;");"</f>
        <v>Beacon.Put(107,0,001660);</v>
      </c>
    </row>
    <row r="7" spans="1:6">
      <c r="A7" s="2" t="str">
        <f>M電入力!C8&amp;";"</f>
        <v>15880;</v>
      </c>
      <c r="B7" s="2" t="str">
        <f t="shared" si="0"/>
        <v>$dis=distance;$dis-500;</v>
      </c>
      <c r="C7" s="2" t="str">
        <f>"Beacon.Put(30,0,"&amp;IF(M電入力!K8="pass",-1,500)&amp;");"</f>
        <v>Beacon.Put(30,0,-1);</v>
      </c>
      <c r="D7" s="2" t="str">
        <f>"Beacon.Put(105,0,"&amp;IF(M電入力!K8="PASS","-498","498")&amp;");"</f>
        <v>Beacon.Put(105,0,-498);</v>
      </c>
      <c r="E7" s="2" t="str">
        <f>"Beacon.Put(106,0,"&amp;M電入力!AC8&amp;");"</f>
        <v>Beacon.Put(106,0,065066);</v>
      </c>
      <c r="F7" s="2" t="str">
        <f>"Beacon.Put(107,0,"&amp;M電入力!AD8&amp;");"</f>
        <v>Beacon.Put(107,0,001660);</v>
      </c>
    </row>
    <row r="8" spans="1:6">
      <c r="A8" s="2" t="str">
        <f>M電入力!C9&amp;";"</f>
        <v>24240;</v>
      </c>
      <c r="B8" s="2" t="str">
        <f t="shared" si="0"/>
        <v>$dis=distance;$dis-500;</v>
      </c>
      <c r="C8" s="2" t="str">
        <f>"Beacon.Put(30,0,"&amp;IF(M電入力!K9="pass",-1,500)&amp;");"</f>
        <v>Beacon.Put(30,0,500);</v>
      </c>
      <c r="D8" s="2" t="str">
        <f>"Beacon.Put(105,0,"&amp;IF(M電入力!K9="PASS","-498","498")&amp;");"</f>
        <v>Beacon.Put(105,0,498);</v>
      </c>
      <c r="E8" s="2" t="str">
        <f>"Beacon.Put(106,0,"&amp;M電入力!AC9&amp;");"</f>
        <v>Beacon.Put(106,0,066069);</v>
      </c>
      <c r="F8" s="2" t="str">
        <f>"Beacon.Put(107,0,"&amp;M電入力!AD9&amp;");"</f>
        <v>Beacon.Put(107,0,002260);</v>
      </c>
    </row>
    <row r="9" spans="1:6">
      <c r="A9" s="2" t="str">
        <f>M電入力!C10&amp;";"</f>
        <v>28915;</v>
      </c>
      <c r="B9" s="2" t="str">
        <f t="shared" si="0"/>
        <v>$dis=distance;$dis-500;</v>
      </c>
      <c r="C9" s="2" t="str">
        <f>"Beacon.Put(30,0,"&amp;IF(M電入力!K10="pass",-1,500)&amp;");"</f>
        <v>Beacon.Put(30,0,-1);</v>
      </c>
      <c r="D9" s="2" t="str">
        <f>"Beacon.Put(105,0,"&amp;IF(M電入力!K10="PASS","-498","498")&amp;");"</f>
        <v>Beacon.Put(105,0,-498);</v>
      </c>
      <c r="E9" s="2" t="str">
        <f>"Beacon.Put(106,0,"&amp;M電入力!AC10&amp;");"</f>
        <v>Beacon.Put(106,0,067069);</v>
      </c>
      <c r="F9" s="2" t="str">
        <f>"Beacon.Put(107,0,"&amp;M電入力!AD10&amp;");"</f>
        <v>Beacon.Put(107,0,002260);</v>
      </c>
    </row>
    <row r="10" spans="1:6">
      <c r="A10" s="2" t="str">
        <f>M電入力!C11&amp;";"</f>
        <v>30560;</v>
      </c>
      <c r="B10" s="2" t="str">
        <f t="shared" si="0"/>
        <v>$dis=distance;$dis-500;</v>
      </c>
      <c r="C10" s="2" t="str">
        <f>"Beacon.Put(30,0,"&amp;IF(M電入力!K11="pass",-1,500)&amp;");"</f>
        <v>Beacon.Put(30,0,500);</v>
      </c>
      <c r="D10" s="2" t="str">
        <f>"Beacon.Put(105,0,"&amp;IF(M電入力!K11="PASS","-498","498")&amp;");"</f>
        <v>Beacon.Put(105,0,498);</v>
      </c>
      <c r="E10" s="2" t="str">
        <f>"Beacon.Put(106,0,"&amp;M電入力!AC11&amp;");"</f>
        <v>Beacon.Put(106,0,069073);</v>
      </c>
      <c r="F10" s="2" t="str">
        <f>"Beacon.Put(107,0,"&amp;M電入力!AD11&amp;");"</f>
        <v>Beacon.Put(107,0,002945);</v>
      </c>
    </row>
    <row r="11" spans="1:6">
      <c r="A11" s="2" t="str">
        <f>M電入力!C12&amp;";"</f>
        <v>33570;</v>
      </c>
      <c r="B11" s="2" t="str">
        <f t="shared" si="0"/>
        <v>$dis=distance;$dis-500;</v>
      </c>
      <c r="C11" s="2" t="str">
        <f>"Beacon.Put(30,0,"&amp;IF(M電入力!K12="pass",-1,500)&amp;");"</f>
        <v>Beacon.Put(30,0,-1);</v>
      </c>
      <c r="D11" s="2" t="str">
        <f>"Beacon.Put(105,0,"&amp;IF(M電入力!K12="PASS","-498","498")&amp;");"</f>
        <v>Beacon.Put(105,0,-498);</v>
      </c>
      <c r="E11" s="2" t="str">
        <f>"Beacon.Put(106,0,"&amp;M電入力!AC12&amp;");"</f>
        <v>Beacon.Put(106,0,070073);</v>
      </c>
      <c r="F11" s="2" t="str">
        <f>"Beacon.Put(107,0,"&amp;M電入力!AD12&amp;");"</f>
        <v>Beacon.Put(107,0,002945);</v>
      </c>
    </row>
    <row r="12" spans="1:6">
      <c r="A12" s="2" t="str">
        <f>M電入力!C13&amp;";"</f>
        <v>35668;</v>
      </c>
      <c r="B12" s="2" t="str">
        <f t="shared" si="0"/>
        <v>$dis=distance;$dis-500;</v>
      </c>
      <c r="C12" s="2" t="str">
        <f>"Beacon.Put(30,0,"&amp;IF(M電入力!K13="pass",-1,500)&amp;");"</f>
        <v>Beacon.Put(30,0,-1);</v>
      </c>
      <c r="D12" s="2" t="str">
        <f>"Beacon.Put(105,0,"&amp;IF(M電入力!K13="PASS","-498","498")&amp;");"</f>
        <v>Beacon.Put(105,0,-498);</v>
      </c>
      <c r="E12" s="2" t="str">
        <f>"Beacon.Put(106,0,"&amp;M電入力!AC13&amp;");"</f>
        <v>Beacon.Put(106,0,072073);</v>
      </c>
      <c r="F12" s="2" t="str">
        <f>"Beacon.Put(107,0,"&amp;M電入力!AD13&amp;");"</f>
        <v>Beacon.Put(107,0,002945);</v>
      </c>
    </row>
    <row r="13" spans="1:6">
      <c r="A13" s="2" t="str">
        <f>M電入力!C14&amp;";"</f>
        <v>39538;</v>
      </c>
      <c r="B13" s="2" t="str">
        <f t="shared" si="0"/>
        <v>$dis=distance;$dis-500;</v>
      </c>
      <c r="C13" s="2" t="str">
        <f>"Beacon.Put(30,0,"&amp;IF(M電入力!K14="pass",-1,500)&amp;");"</f>
        <v>Beacon.Put(30,0,500);</v>
      </c>
      <c r="D13" s="2" t="str">
        <f>"Beacon.Put(105,0,"&amp;IF(M電入力!K14="PASS","-498","498")&amp;");"</f>
        <v>Beacon.Put(105,0,498);</v>
      </c>
      <c r="E13" s="2" t="str">
        <f>"Beacon.Put(106,0,"&amp;M電入力!AC14&amp;");"</f>
        <v>Beacon.Put(106,0,073076);</v>
      </c>
      <c r="F13" s="2" t="str">
        <f>"Beacon.Put(107,0,"&amp;M電入力!AD14&amp;");"</f>
        <v>Beacon.Put(107,0,003760);</v>
      </c>
    </row>
    <row r="14" spans="1:6">
      <c r="A14" s="2" t="str">
        <f>M電入力!C15&amp;";"</f>
        <v>43818;</v>
      </c>
      <c r="B14" s="2" t="str">
        <f t="shared" si="0"/>
        <v>$dis=distance;$dis-500;</v>
      </c>
      <c r="C14" s="2" t="str">
        <f>"Beacon.Put(30,0,"&amp;IF(M電入力!K15="pass",-1,500)&amp;");"</f>
        <v>Beacon.Put(30,0,-1);</v>
      </c>
      <c r="D14" s="2" t="str">
        <f>"Beacon.Put(105,0,"&amp;IF(M電入力!K15="PASS","-498","498")&amp;");"</f>
        <v>Beacon.Put(105,0,-498);</v>
      </c>
      <c r="E14" s="2" t="str">
        <f>"Beacon.Put(106,0,"&amp;M電入力!AC15&amp;");"</f>
        <v>Beacon.Put(106,0,074076);</v>
      </c>
      <c r="F14" s="2" t="str">
        <f>"Beacon.Put(107,0,"&amp;M電入力!AD15&amp;");"</f>
        <v>Beacon.Put(107,0,003760);</v>
      </c>
    </row>
    <row r="15" spans="1:6">
      <c r="A15" s="2" t="str">
        <f>M電入力!C16&amp;";"</f>
        <v>46196;</v>
      </c>
      <c r="B15" s="2" t="str">
        <f t="shared" si="0"/>
        <v>$dis=distance;$dis-500;</v>
      </c>
      <c r="C15" s="2" t="str">
        <f>"Beacon.Put(30,0,"&amp;IF(M電入力!K16="pass",-1,500)&amp;");"</f>
        <v>Beacon.Put(30,0,-1);</v>
      </c>
      <c r="D15" s="2" t="str">
        <f>"Beacon.Put(105,0,"&amp;IF(M電入力!K16="PASS","-498","498")&amp;");"</f>
        <v>Beacon.Put(105,0,-498);</v>
      </c>
      <c r="E15" s="2" t="str">
        <f>"Beacon.Put(106,0,"&amp;M電入力!AC16&amp;");"</f>
        <v>Beacon.Put(106,0,075076);</v>
      </c>
      <c r="F15" s="2" t="str">
        <f>"Beacon.Put(107,0,"&amp;M電入力!AD16&amp;");"</f>
        <v>Beacon.Put(107,0,003760);</v>
      </c>
    </row>
    <row r="16" spans="1:6">
      <c r="A16" s="2" t="str">
        <f>M電入力!C17&amp;";"</f>
        <v>49193;</v>
      </c>
      <c r="B16" s="2" t="str">
        <f t="shared" si="0"/>
        <v>$dis=distance;$dis-500;</v>
      </c>
      <c r="C16" s="2" t="str">
        <f>"Beacon.Put(30,0,"&amp;IF(M電入力!K17="pass",-1,500)&amp;");"</f>
        <v>Beacon.Put(30,0,500);</v>
      </c>
      <c r="D16" s="2" t="str">
        <f>"Beacon.Put(105,0,"&amp;IF(M電入力!K17="PASS","-498","498")&amp;");"</f>
        <v>Beacon.Put(105,0,498);</v>
      </c>
      <c r="E16" s="2" t="str">
        <f>"Beacon.Put(106,0,"&amp;M電入力!AC17&amp;");"</f>
        <v>Beacon.Put(106,0,076079);</v>
      </c>
      <c r="F16" s="2" t="str">
        <f>"Beacon.Put(107,0,"&amp;M電入力!AD17&amp;");"</f>
        <v>Beacon.Put(107,0,004960);</v>
      </c>
    </row>
    <row r="17" spans="1:6">
      <c r="A17" s="2" t="str">
        <f>M電入力!C18&amp;";"</f>
        <v>51971;</v>
      </c>
      <c r="B17" s="2" t="str">
        <f t="shared" si="0"/>
        <v>$dis=distance;$dis-500;</v>
      </c>
      <c r="C17" s="2" t="str">
        <f>"Beacon.Put(30,0,"&amp;IF(M電入力!K18="pass",-1,500)&amp;");"</f>
        <v>Beacon.Put(30,0,-1);</v>
      </c>
      <c r="D17" s="2" t="str">
        <f>"Beacon.Put(105,0,"&amp;IF(M電入力!K18="PASS","-498","498")&amp;");"</f>
        <v>Beacon.Put(105,0,-498);</v>
      </c>
      <c r="E17" s="2" t="str">
        <f>"Beacon.Put(106,0,"&amp;M電入力!AC18&amp;");"</f>
        <v>Beacon.Put(106,0,077079);</v>
      </c>
      <c r="F17" s="2" t="str">
        <f>"Beacon.Put(107,0,"&amp;M電入力!AD18&amp;");"</f>
        <v>Beacon.Put(107,0,004960);</v>
      </c>
    </row>
    <row r="18" spans="1:6">
      <c r="A18" s="2" t="str">
        <f>M電入力!C19&amp;";"</f>
        <v>57590;</v>
      </c>
      <c r="B18" s="2" t="str">
        <f t="shared" si="0"/>
        <v>$dis=distance;$dis-500;</v>
      </c>
      <c r="C18" s="2" t="str">
        <f>"Beacon.Put(30,0,"&amp;IF(M電入力!K19="pass",-1,500)&amp;");"</f>
        <v>Beacon.Put(30,0,-1);</v>
      </c>
      <c r="D18" s="2" t="str">
        <f>"Beacon.Put(105,0,"&amp;IF(M電入力!K19="PASS","-498","498")&amp;");"</f>
        <v>Beacon.Put(105,0,-498);</v>
      </c>
      <c r="E18" s="2" t="str">
        <f>"Beacon.Put(106,0,"&amp;M電入力!AC19&amp;");"</f>
        <v>Beacon.Put(106,0,078079);</v>
      </c>
      <c r="F18" s="2" t="str">
        <f>"Beacon.Put(107,0,"&amp;M電入力!AD19&amp;");"</f>
        <v>Beacon.Put(107,0,004960);</v>
      </c>
    </row>
    <row r="19" spans="1:6">
      <c r="A19" s="2" t="str">
        <f>M電入力!C20&amp;";"</f>
        <v>65015;</v>
      </c>
      <c r="B19" s="2" t="str">
        <f t="shared" si="0"/>
        <v>$dis=distance;$dis-500;</v>
      </c>
      <c r="C19" s="2" t="str">
        <f>"Beacon.Put(30,0,"&amp;IF(M電入力!K20="pass",-1,500)&amp;");"</f>
        <v>Beacon.Put(30,0,500);</v>
      </c>
      <c r="D19" s="2" t="str">
        <f>"Beacon.Put(105,0,"&amp;IF(M電入力!K20="PASS","-498","498")&amp;");"</f>
        <v>Beacon.Put(105,0,498);</v>
      </c>
      <c r="E19" s="2" t="str">
        <f>"Beacon.Put(106,0,"&amp;M電入力!AC20&amp;");"</f>
        <v>Beacon.Put(106,0,079082);</v>
      </c>
      <c r="F19" s="2" t="str">
        <f>"Beacon.Put(107,0,"&amp;M電入力!AD20&amp;");"</f>
        <v>Beacon.Put(107,0,096015);</v>
      </c>
    </row>
    <row r="20" spans="1:6">
      <c r="A20" s="2" t="str">
        <f>M電入力!C21&amp;";"</f>
        <v>69762;</v>
      </c>
      <c r="B20" s="2" t="str">
        <f t="shared" si="0"/>
        <v>$dis=distance;$dis-500;</v>
      </c>
      <c r="C20" s="2" t="str">
        <f>"Beacon.Put(30,0,"&amp;IF(M電入力!K21="pass",-1,500)&amp;");"</f>
        <v>Beacon.Put(30,0,-1);</v>
      </c>
      <c r="D20" s="2" t="str">
        <f>"Beacon.Put(105,0,"&amp;IF(M電入力!K21="PASS","-498","498")&amp;");"</f>
        <v>Beacon.Put(105,0,-498);</v>
      </c>
      <c r="E20" s="2" t="str">
        <f>"Beacon.Put(106,0,"&amp;M電入力!AC21&amp;");"</f>
        <v>Beacon.Put(106,0,080082);</v>
      </c>
      <c r="F20" s="2" t="str">
        <f>"Beacon.Put(107,0,"&amp;M電入力!AD21&amp;");"</f>
        <v>Beacon.Put(107,0,096015);</v>
      </c>
    </row>
    <row r="21" spans="1:6">
      <c r="A21" s="2" t="str">
        <f>M電入力!C22&amp;";"</f>
        <v>73595;</v>
      </c>
      <c r="B21" s="2" t="str">
        <f t="shared" si="0"/>
        <v>$dis=distance;$dis-500;</v>
      </c>
      <c r="C21" s="2" t="str">
        <f>"Beacon.Put(30,0,"&amp;IF(M電入力!K22="pass",-1,500)&amp;");"</f>
        <v>Beacon.Put(30,0,-1);</v>
      </c>
      <c r="D21" s="2" t="str">
        <f>"Beacon.Put(105,0,"&amp;IF(M電入力!K22="PASS","-498","498")&amp;");"</f>
        <v>Beacon.Put(105,0,-498);</v>
      </c>
      <c r="E21" s="2" t="str">
        <f>"Beacon.Put(106,0,"&amp;M電入力!AC22&amp;");"</f>
        <v>Beacon.Put(106,0,081082);</v>
      </c>
      <c r="F21" s="2" t="str">
        <f>"Beacon.Put(107,0,"&amp;M電入力!AD22&amp;");"</f>
        <v>Beacon.Put(107,0,096015);</v>
      </c>
    </row>
    <row r="22" spans="1:6">
      <c r="A22" s="2" t="str">
        <f>M電入力!C23&amp;";"</f>
        <v>80960;</v>
      </c>
      <c r="B22" s="2" t="str">
        <f t="shared" si="0"/>
        <v>$dis=distance;$dis-500;</v>
      </c>
      <c r="C22" s="2" t="str">
        <f>"Beacon.Put(30,0,"&amp;IF(M電入力!K23="pass",-1,500)&amp;");"</f>
        <v>Beacon.Put(30,0,500);</v>
      </c>
      <c r="D22" s="2" t="str">
        <f>"Beacon.Put(105,0,"&amp;IF(M電入力!K23="PASS","-498","498")&amp;");"</f>
        <v>Beacon.Put(105,0,498);</v>
      </c>
      <c r="E22" s="2" t="str">
        <f>"Beacon.Put(106,0,"&amp;M電入力!AC23&amp;");"</f>
        <v>Beacon.Put(106,0,082083);</v>
      </c>
      <c r="F22" s="2" t="str">
        <f>"Beacon.Put(107,0,"&amp;M電入力!AD23&amp;");"</f>
        <v>Beacon.Put(107,0,000630);</v>
      </c>
    </row>
    <row r="23" spans="1:6">
      <c r="A23" s="2" t="str">
        <f>M電入力!C24&amp;";"</f>
        <v>88412;</v>
      </c>
      <c r="B23" s="2" t="str">
        <f t="shared" si="0"/>
        <v>$dis=distance;$dis-500;</v>
      </c>
      <c r="C23" s="2" t="str">
        <f>"Beacon.Put(30,0,"&amp;IF(M電入力!K24="pass",-1,500)&amp;");"</f>
        <v>Beacon.Put(30,0,500);</v>
      </c>
      <c r="D23" s="2" t="str">
        <f>"Beacon.Put(105,0,"&amp;IF(M電入力!K24="PASS","-498","498")&amp;");"</f>
        <v>Beacon.Put(105,0,498);</v>
      </c>
      <c r="E23" s="2" t="str">
        <f>"Beacon.Put(106,0,"&amp;M電入力!AC24&amp;");"</f>
        <v>Beacon.Put(106,0,083084);</v>
      </c>
      <c r="F23" s="2" t="str">
        <f>"Beacon.Put(107,0,"&amp;M電入力!AD24&amp;");"</f>
        <v>Beacon.Put(107,0,000915);</v>
      </c>
    </row>
    <row r="24" spans="1:6">
      <c r="A24" s="2" t="str">
        <f>M電入力!C25&amp;";"</f>
        <v>91012;</v>
      </c>
      <c r="B24" s="2" t="str">
        <f t="shared" si="0"/>
        <v>$dis=distance;$dis-500;</v>
      </c>
      <c r="C24" s="2" t="str">
        <f>"Beacon.Put(30,0,"&amp;IF(M電入力!K25="pass",-1,500)&amp;");"</f>
        <v>Beacon.Put(30,0,500);</v>
      </c>
      <c r="D24" s="2" t="str">
        <f>"Beacon.Put(105,0,"&amp;IF(M電入力!K25="PASS","-498","498")&amp;");"</f>
        <v>Beacon.Put(105,0,498);</v>
      </c>
      <c r="E24" s="2" t="str">
        <f>"Beacon.Put(106,0,"&amp;M電入力!AC25&amp;");"</f>
        <v>Beacon.Put(106,0,084085);</v>
      </c>
      <c r="F24" s="2" t="str">
        <f>"Beacon.Put(107,0,"&amp;M電入力!AD25&amp;");"</f>
        <v>Beacon.Put(107,0,001430);</v>
      </c>
    </row>
    <row r="25" spans="1:6">
      <c r="A25" s="2" t="str">
        <f>M電入力!C26&amp;";"</f>
        <v>95735;</v>
      </c>
      <c r="B25" s="2" t="str">
        <f t="shared" si="0"/>
        <v>$dis=distance;$dis-500;</v>
      </c>
      <c r="C25" s="2" t="str">
        <f>"Beacon.Put(30,0,"&amp;IF(M電入力!K26="pass",-1,500)&amp;");"</f>
        <v>Beacon.Put(30,0,500);</v>
      </c>
      <c r="D25" s="2" t="str">
        <f>"Beacon.Put(105,0,"&amp;IF(M電入力!K26="PASS","-498","498")&amp;");"</f>
        <v>Beacon.Put(105,0,498);</v>
      </c>
      <c r="E25" s="2" t="str">
        <f>"Beacon.Put(106,0,"&amp;M電入力!AC26&amp;");"</f>
        <v>Beacon.Put(106,0,085087);</v>
      </c>
      <c r="F25" s="2" t="str">
        <f>"Beacon.Put(107,0,"&amp;M電入力!AD26&amp;");"</f>
        <v>Beacon.Put(107,0,002060);</v>
      </c>
    </row>
    <row r="26" spans="1:6">
      <c r="A26" s="2" t="str">
        <f>M電入力!C27&amp;";"</f>
        <v>98975;</v>
      </c>
      <c r="B26" s="2" t="str">
        <f t="shared" si="0"/>
        <v>$dis=distance;$dis-500;</v>
      </c>
      <c r="C26" s="2" t="str">
        <f>"Beacon.Put(30,0,"&amp;IF(M電入力!K27="pass",-1,500)&amp;");"</f>
        <v>Beacon.Put(30,0,-1);</v>
      </c>
      <c r="D26" s="2" t="str">
        <f>"Beacon.Put(105,0,"&amp;IF(M電入力!K27="PASS","-498","498")&amp;");"</f>
        <v>Beacon.Put(105,0,-498);</v>
      </c>
      <c r="E26" s="2" t="str">
        <f>"Beacon.Put(106,0,"&amp;M電入力!AC27&amp;");"</f>
        <v>Beacon.Put(106,0,086087);</v>
      </c>
      <c r="F26" s="2" t="str">
        <f>"Beacon.Put(107,0,"&amp;M電入力!AD27&amp;");"</f>
        <v>Beacon.Put(107,0,002060);</v>
      </c>
    </row>
    <row r="27" spans="1:6">
      <c r="A27" s="2" t="str">
        <f>M電入力!C28&amp;";"</f>
        <v>102162;</v>
      </c>
      <c r="B27" s="2" t="str">
        <f t="shared" si="0"/>
        <v>$dis=distance;$dis-500;</v>
      </c>
      <c r="C27" s="2" t="str">
        <f>"Beacon.Put(30,0,"&amp;IF(M電入力!K28="pass",-1,500)&amp;");"</f>
        <v>Beacon.Put(30,0,500);</v>
      </c>
      <c r="D27" s="2" t="str">
        <f>"Beacon.Put(105,0,"&amp;IF(M電入力!K28="PASS","-498","498")&amp;");"</f>
        <v>Beacon.Put(105,0,498);</v>
      </c>
      <c r="E27" s="2" t="str">
        <f>"Beacon.Put(106,0,"&amp;M電入力!AC28&amp;");"</f>
        <v>Beacon.Put(106,0,087088);</v>
      </c>
      <c r="F27" s="2" t="str">
        <f>"Beacon.Put(107,0,"&amp;M電入力!AD28&amp;");"</f>
        <v>Beacon.Put(107,0,002700);</v>
      </c>
    </row>
    <row r="28" spans="1:6">
      <c r="A28" s="2" t="str">
        <f>M電入力!C29&amp;";"</f>
        <v>109904;</v>
      </c>
      <c r="B28" s="2" t="str">
        <f t="shared" si="0"/>
        <v>$dis=distance;$dis-500;</v>
      </c>
      <c r="C28" s="2" t="str">
        <f>"Beacon.Put(30,0,"&amp;IF(M電入力!K29="pass",-1,500)&amp;");"</f>
        <v>Beacon.Put(30,0,500);</v>
      </c>
      <c r="D28" s="2" t="str">
        <f>"Beacon.Put(105,0,"&amp;IF(M電入力!K29="PASS","-498","498")&amp;");"</f>
        <v>Beacon.Put(105,0,498);</v>
      </c>
      <c r="E28" s="2" t="str">
        <f>"Beacon.Put(106,0,"&amp;M電入力!AC29&amp;");"</f>
        <v>Beacon.Put(106,0,088000);</v>
      </c>
      <c r="F28" s="2" t="str">
        <f>"Beacon.Put(107,0,"&amp;M電入力!AD29&amp;");"</f>
        <v>Beacon.Put(107,0,000000);</v>
      </c>
    </row>
    <row r="29" spans="1:6">
      <c r="A29" s="2" t="str">
        <f>M電入力!C30&amp;";"</f>
        <v>;</v>
      </c>
      <c r="B29" s="2" t="str">
        <f t="shared" si="0"/>
        <v>$dis=distance;$dis-500;</v>
      </c>
      <c r="C29" s="2" t="str">
        <f>"Beacon.Put(30,0,"&amp;IF(M電入力!K30="pass",-1,500)&amp;");"</f>
        <v>Beacon.Put(30,0,500);</v>
      </c>
      <c r="D29" s="2" t="str">
        <f>"Beacon.Put(105,0,"&amp;IF(M電入力!K30="PASS","-498","498")&amp;");"</f>
        <v>Beacon.Put(105,0,498);</v>
      </c>
      <c r="E29" s="2" t="str">
        <f>"Beacon.Put(106,0,"&amp;M電入力!AC30&amp;");"</f>
        <v>Beacon.Put(106,0,000000);</v>
      </c>
      <c r="F29" s="2" t="str">
        <f>"Beacon.Put(107,0,"&amp;M電入力!AD30&amp;");"</f>
        <v>Beacon.Put(107,0,000000);</v>
      </c>
    </row>
    <row r="30" spans="1:6">
      <c r="A30" s="2" t="str">
        <f>M電入力!C31&amp;";"</f>
        <v>;</v>
      </c>
      <c r="B30" s="2" t="str">
        <f t="shared" si="0"/>
        <v>$dis=distance;$dis-500;</v>
      </c>
      <c r="C30" s="2" t="str">
        <f>"Beacon.Put(30,0,"&amp;IF(M電入力!K31="pass",-1,500)&amp;");"</f>
        <v>Beacon.Put(30,0,500);</v>
      </c>
      <c r="D30" s="2" t="str">
        <f>"Beacon.Put(105,0,"&amp;IF(M電入力!K31="PASS","-498","498")&amp;");"</f>
        <v>Beacon.Put(105,0,498);</v>
      </c>
      <c r="E30" s="2" t="str">
        <f>"Beacon.Put(106,0,"&amp;M電入力!AC31&amp;");"</f>
        <v>Beacon.Put(106,0,000000);</v>
      </c>
      <c r="F30" s="2" t="str">
        <f>"Beacon.Put(107,0,"&amp;M電入力!AD31&amp;");"</f>
        <v>Beacon.Put(107,0,000000);</v>
      </c>
    </row>
    <row r="31" spans="1:6">
      <c r="A31" s="2" t="str">
        <f>M電入力!C32&amp;";"</f>
        <v>;</v>
      </c>
      <c r="B31" s="2" t="str">
        <f t="shared" si="0"/>
        <v>$dis=distance;$dis-500;</v>
      </c>
      <c r="C31" s="2" t="str">
        <f>"Beacon.Put(30,0,"&amp;IF(M電入力!K32="pass",-1,500)&amp;");"</f>
        <v>Beacon.Put(30,0,500);</v>
      </c>
      <c r="D31" s="2" t="str">
        <f>"Beacon.Put(105,0,"&amp;IF(M電入力!K32="PASS","-498","498")&amp;");"</f>
        <v>Beacon.Put(105,0,498);</v>
      </c>
      <c r="E31" s="2" t="str">
        <f>"Beacon.Put(106,0,"&amp;M電入力!AC32&amp;");"</f>
        <v>Beacon.Put(106,0,000000);</v>
      </c>
      <c r="F31" s="2" t="str">
        <f>"Beacon.Put(107,0,"&amp;M電入力!AD32&amp;");"</f>
        <v>Beacon.Put(107,0,000000);</v>
      </c>
    </row>
    <row r="32" spans="1:6">
      <c r="A32" s="2" t="str">
        <f>M電入力!C33&amp;";"</f>
        <v>;</v>
      </c>
      <c r="B32" s="2" t="str">
        <f t="shared" si="0"/>
        <v>$dis=distance;$dis-500;</v>
      </c>
      <c r="C32" s="2" t="str">
        <f>"Beacon.Put(30,0,"&amp;IF(M電入力!K33="pass",-1,500)&amp;");"</f>
        <v>Beacon.Put(30,0,500);</v>
      </c>
      <c r="D32" s="2" t="str">
        <f>"Beacon.Put(105,0,"&amp;IF(M電入力!K33="PASS","-498","498")&amp;");"</f>
        <v>Beacon.Put(105,0,498);</v>
      </c>
      <c r="E32" s="2" t="str">
        <f>"Beacon.Put(106,0,"&amp;M電入力!AC33&amp;");"</f>
        <v>Beacon.Put(106,0,000000);</v>
      </c>
      <c r="F32" s="2" t="str">
        <f>"Beacon.Put(107,0,"&amp;M電入力!AD33&amp;");"</f>
        <v>Beacon.Put(107,0,000000);</v>
      </c>
    </row>
    <row r="33" spans="1:6">
      <c r="A33" s="2" t="str">
        <f>M電入力!C34&amp;";"</f>
        <v>;</v>
      </c>
      <c r="B33" s="2" t="str">
        <f t="shared" si="0"/>
        <v>$dis=distance;$dis-500;</v>
      </c>
      <c r="C33" s="2" t="str">
        <f>"Beacon.Put(30,0,"&amp;IF(M電入力!K34="pass",-1,500)&amp;");"</f>
        <v>Beacon.Put(30,0,500);</v>
      </c>
      <c r="D33" s="2" t="str">
        <f>"Beacon.Put(105,0,"&amp;IF(M電入力!K34="PASS","-498","498")&amp;");"</f>
        <v>Beacon.Put(105,0,498);</v>
      </c>
      <c r="E33" s="2" t="str">
        <f>"Beacon.Put(106,0,"&amp;M電入力!AC34&amp;");"</f>
        <v>Beacon.Put(106,0,000000);</v>
      </c>
      <c r="F33" s="2" t="str">
        <f>"Beacon.Put(107,0,"&amp;M電入力!AD34&amp;");"</f>
        <v>Beacon.Put(107,0,000000);</v>
      </c>
    </row>
    <row r="34" spans="1:6">
      <c r="A34" s="2" t="str">
        <f>M電入力!C35&amp;";"</f>
        <v>;</v>
      </c>
      <c r="B34" s="2" t="str">
        <f t="shared" si="0"/>
        <v>$dis=distance;$dis-500;</v>
      </c>
      <c r="C34" s="2" t="str">
        <f>"Beacon.Put(30,0,"&amp;IF(M電入力!K35="pass",-1,500)&amp;");"</f>
        <v>Beacon.Put(30,0,500);</v>
      </c>
      <c r="D34" s="2" t="str">
        <f>"Beacon.Put(105,0,"&amp;IF(M電入力!K35="PASS","-498","498")&amp;");"</f>
        <v>Beacon.Put(105,0,498);</v>
      </c>
      <c r="E34" s="2" t="str">
        <f>"Beacon.Put(106,0,"&amp;M電入力!AC35&amp;");"</f>
        <v>Beacon.Put(106,0,000000);</v>
      </c>
      <c r="F34" s="2" t="str">
        <f>"Beacon.Put(107,0,"&amp;M電入力!AD35&amp;");"</f>
        <v>Beacon.Put(107,0,000000);</v>
      </c>
    </row>
    <row r="35" spans="1:6">
      <c r="A35" s="2" t="str">
        <f>M電入力!C36&amp;";"</f>
        <v>;</v>
      </c>
      <c r="B35" s="2" t="str">
        <f t="shared" si="0"/>
        <v>$dis=distance;$dis-500;</v>
      </c>
      <c r="C35" s="2" t="str">
        <f>"Beacon.Put(30,0,"&amp;IF(M電入力!K36="pass",-1,500)&amp;");"</f>
        <v>Beacon.Put(30,0,500);</v>
      </c>
      <c r="D35" s="2" t="str">
        <f>"Beacon.Put(105,0,"&amp;IF(M電入力!K36="PASS","-498","498")&amp;");"</f>
        <v>Beacon.Put(105,0,498);</v>
      </c>
      <c r="E35" s="2" t="str">
        <f>"Beacon.Put(106,0,"&amp;M電入力!AC36&amp;");"</f>
        <v>Beacon.Put(106,0,000000);</v>
      </c>
      <c r="F35" s="2" t="str">
        <f>"Beacon.Put(107,0,"&amp;M電入力!AD36&amp;");"</f>
        <v>Beacon.Put(107,0,000000);</v>
      </c>
    </row>
    <row r="36" spans="1:6">
      <c r="A36" s="2" t="str">
        <f>M電入力!C37&amp;";"</f>
        <v>;</v>
      </c>
      <c r="B36" s="2" t="str">
        <f t="shared" si="0"/>
        <v>$dis=distance;$dis-500;</v>
      </c>
      <c r="C36" s="2" t="str">
        <f>"Beacon.Put(30,0,"&amp;IF(M電入力!K37="pass",-1,500)&amp;");"</f>
        <v>Beacon.Put(30,0,500);</v>
      </c>
      <c r="D36" s="2" t="str">
        <f>"Beacon.Put(105,0,"&amp;IF(M電入力!K37="PASS","-498","498")&amp;");"</f>
        <v>Beacon.Put(105,0,498);</v>
      </c>
      <c r="E36" s="2" t="str">
        <f>"Beacon.Put(106,0,"&amp;M電入力!AC37&amp;");"</f>
        <v>Beacon.Put(106,0,000000);</v>
      </c>
      <c r="F36" s="2" t="str">
        <f>"Beacon.Put(107,0,"&amp;M電入力!AD37&amp;");"</f>
        <v>Beacon.Put(107,0,000000);</v>
      </c>
    </row>
    <row r="37" spans="1:6">
      <c r="A37" s="2" t="str">
        <f>M電入力!C38&amp;";"</f>
        <v>;</v>
      </c>
      <c r="B37" s="2" t="str">
        <f t="shared" si="0"/>
        <v>$dis=distance;$dis-500;</v>
      </c>
      <c r="C37" s="2" t="str">
        <f>"Beacon.Put(30,0,"&amp;IF(M電入力!K38="pass",-1,500)&amp;");"</f>
        <v>Beacon.Put(30,0,500);</v>
      </c>
      <c r="D37" s="2" t="str">
        <f>"Beacon.Put(105,0,"&amp;IF(M電入力!K38="PASS","-498","498")&amp;");"</f>
        <v>Beacon.Put(105,0,498);</v>
      </c>
      <c r="E37" s="2" t="str">
        <f>"Beacon.Put(106,0,"&amp;M電入力!AC38&amp;");"</f>
        <v>Beacon.Put(106,0,000000);</v>
      </c>
      <c r="F37" s="2" t="str">
        <f>"Beacon.Put(107,0,"&amp;M電入力!AD38&amp;");"</f>
        <v>Beacon.Put(107,0,000000);</v>
      </c>
    </row>
    <row r="38" spans="1:6">
      <c r="A38" s="2" t="str">
        <f>M電入力!C39&amp;";"</f>
        <v>;</v>
      </c>
      <c r="B38" s="2" t="str">
        <f t="shared" si="0"/>
        <v>$dis=distance;$dis-500;</v>
      </c>
      <c r="C38" s="2" t="str">
        <f>"Beacon.Put(30,0,"&amp;IF(M電入力!K39="pass",-1,500)&amp;");"</f>
        <v>Beacon.Put(30,0,500);</v>
      </c>
      <c r="D38" s="2" t="str">
        <f>"Beacon.Put(105,0,"&amp;IF(M電入力!K39="PASS","-498","498")&amp;");"</f>
        <v>Beacon.Put(105,0,498);</v>
      </c>
      <c r="E38" s="2" t="str">
        <f>"Beacon.Put(106,0,"&amp;M電入力!AC39&amp;");"</f>
        <v>Beacon.Put(106,0,000000);</v>
      </c>
      <c r="F38" s="2" t="str">
        <f>"Beacon.Put(107,0,"&amp;M電入力!AD39&amp;");"</f>
        <v>Beacon.Put(107,0,000000);</v>
      </c>
    </row>
    <row r="39" spans="1:6">
      <c r="A39" s="2" t="str">
        <f>M電入力!C40&amp;";"</f>
        <v>;</v>
      </c>
      <c r="B39" s="2" t="str">
        <f t="shared" si="0"/>
        <v>$dis=distance;$dis-500;</v>
      </c>
      <c r="C39" s="2" t="str">
        <f>"Beacon.Put(30,0,"&amp;IF(M電入力!K40="pass",-1,500)&amp;");"</f>
        <v>Beacon.Put(30,0,500);</v>
      </c>
      <c r="D39" s="2" t="str">
        <f>"Beacon.Put(105,0,"&amp;IF(M電入力!K40="PASS","-498","498")&amp;");"</f>
        <v>Beacon.Put(105,0,498);</v>
      </c>
      <c r="E39" s="2" t="str">
        <f>"Beacon.Put(106,0,"&amp;M電入力!AC40&amp;");"</f>
        <v>Beacon.Put(106,0,000000);</v>
      </c>
      <c r="F39" s="2" t="str">
        <f>"Beacon.Put(107,0,"&amp;M電入力!AD40&amp;");"</f>
        <v>Beacon.Put(107,0,000000);</v>
      </c>
    </row>
    <row r="40" spans="1:6">
      <c r="A40" s="2" t="str">
        <f>M電入力!C41&amp;";"</f>
        <v>;</v>
      </c>
      <c r="B40" s="2" t="str">
        <f t="shared" si="0"/>
        <v>$dis=distance;$dis-500;</v>
      </c>
      <c r="C40" s="2" t="str">
        <f>"Beacon.Put(30,0,"&amp;IF(M電入力!K41="pass",-1,500)&amp;");"</f>
        <v>Beacon.Put(30,0,500);</v>
      </c>
      <c r="D40" s="2" t="str">
        <f>"Beacon.Put(105,0,"&amp;IF(M電入力!K41="PASS","-498","498")&amp;");"</f>
        <v>Beacon.Put(105,0,498);</v>
      </c>
      <c r="E40" s="2" t="str">
        <f>"Beacon.Put(106,0,"&amp;M電入力!AC41&amp;");"</f>
        <v>Beacon.Put(106,0,000000);</v>
      </c>
      <c r="F40" s="2" t="str">
        <f>"Beacon.Put(107,0,"&amp;M電入力!AD41&amp;");"</f>
        <v>Beacon.Put(107,0,000000);</v>
      </c>
    </row>
    <row r="41" spans="1:6">
      <c r="A41" s="2" t="str">
        <f>M電入力!C42&amp;";"</f>
        <v>;</v>
      </c>
      <c r="B41" s="2" t="str">
        <f t="shared" si="0"/>
        <v>$dis=distance;$dis-500;</v>
      </c>
      <c r="C41" s="2" t="str">
        <f>"Beacon.Put(30,0,"&amp;IF(M電入力!K42="pass",-1,500)&amp;");"</f>
        <v>Beacon.Put(30,0,500);</v>
      </c>
      <c r="D41" s="2" t="str">
        <f>"Beacon.Put(105,0,"&amp;IF(M電入力!K42="PASS","-498","498")&amp;");"</f>
        <v>Beacon.Put(105,0,498);</v>
      </c>
      <c r="E41" s="2" t="str">
        <f>"Beacon.Put(106,0,"&amp;M電入力!AC42&amp;");"</f>
        <v>Beacon.Put(106,0,000000);</v>
      </c>
      <c r="F41" s="2" t="str">
        <f>"Beacon.Put(107,0,"&amp;M電入力!AD42&amp;");"</f>
        <v>Beacon.Put(107,0,000000);</v>
      </c>
    </row>
    <row r="42" spans="1:6">
      <c r="A42" s="2" t="str">
        <f>M電入力!C43&amp;";"</f>
        <v>;</v>
      </c>
      <c r="B42" s="2" t="str">
        <f t="shared" si="0"/>
        <v>$dis=distance;$dis-500;</v>
      </c>
      <c r="C42" s="2" t="str">
        <f>"Beacon.Put(30,0,"&amp;IF(M電入力!K43="pass",-1,500)&amp;");"</f>
        <v>Beacon.Put(30,0,500);</v>
      </c>
      <c r="D42" s="2" t="str">
        <f>"Beacon.Put(105,0,"&amp;IF(M電入力!K43="PASS","-498","498")&amp;");"</f>
        <v>Beacon.Put(105,0,498);</v>
      </c>
      <c r="E42" s="2" t="str">
        <f>"Beacon.Put(106,0,"&amp;M電入力!AC43&amp;");"</f>
        <v>Beacon.Put(106,0,000000);</v>
      </c>
      <c r="F42" s="2" t="str">
        <f>"Beacon.Put(107,0,"&amp;M電入力!AD43&amp;");"</f>
        <v>Beacon.Put(107,0,000000);</v>
      </c>
    </row>
    <row r="43" spans="1:6">
      <c r="A43" s="2" t="str">
        <f>M電入力!C44&amp;";"</f>
        <v>;</v>
      </c>
      <c r="B43" s="2" t="str">
        <f t="shared" si="0"/>
        <v>$dis=distance;$dis-500;</v>
      </c>
      <c r="C43" s="2" t="str">
        <f>"Beacon.Put(30,0,"&amp;IF(M電入力!K44="pass",-1,500)&amp;");"</f>
        <v>Beacon.Put(30,0,500);</v>
      </c>
      <c r="D43" s="2" t="str">
        <f>"Beacon.Put(105,0,"&amp;IF(M電入力!K44="PASS","-498","498")&amp;");"</f>
        <v>Beacon.Put(105,0,498);</v>
      </c>
      <c r="E43" s="2" t="str">
        <f>"Beacon.Put(106,0,"&amp;M電入力!AC44&amp;");"</f>
        <v>Beacon.Put(106,0,000000);</v>
      </c>
      <c r="F43" s="2" t="str">
        <f>"Beacon.Put(107,0,"&amp;M電入力!AD44&amp;");"</f>
        <v>Beacon.Put(107,0,000000);</v>
      </c>
    </row>
    <row r="44" spans="1:6">
      <c r="A44" s="2" t="str">
        <f>M電入力!C45&amp;";"</f>
        <v>;</v>
      </c>
      <c r="B44" s="2" t="str">
        <f t="shared" si="0"/>
        <v>$dis=distance;$dis-500;</v>
      </c>
      <c r="C44" s="2" t="str">
        <f>"Beacon.Put(30,0,"&amp;IF(M電入力!K45="pass",-1,500)&amp;");"</f>
        <v>Beacon.Put(30,0,500);</v>
      </c>
      <c r="D44" s="2" t="str">
        <f>"Beacon.Put(105,0,"&amp;IF(M電入力!K45="PASS","-498","498")&amp;");"</f>
        <v>Beacon.Put(105,0,498);</v>
      </c>
      <c r="E44" s="2" t="str">
        <f>"Beacon.Put(106,0,"&amp;M電入力!AC45&amp;");"</f>
        <v>Beacon.Put(106,0,000000);</v>
      </c>
      <c r="F44" s="2" t="str">
        <f>"Beacon.Put(107,0,"&amp;M電入力!AD45&amp;");"</f>
        <v>Beacon.Put(107,0,000000);</v>
      </c>
    </row>
    <row r="45" spans="1:6">
      <c r="A45" s="2" t="str">
        <f>M電入力!C46&amp;";"</f>
        <v>;</v>
      </c>
      <c r="B45" s="2" t="str">
        <f t="shared" si="0"/>
        <v>$dis=distance;$dis-500;</v>
      </c>
      <c r="C45" s="2" t="str">
        <f>"Beacon.Put(30,0,"&amp;IF(M電入力!K46="pass",-1,500)&amp;");"</f>
        <v>Beacon.Put(30,0,500);</v>
      </c>
      <c r="D45" s="2" t="str">
        <f>"Beacon.Put(105,0,"&amp;IF(M電入力!K46="PASS","-498","498")&amp;");"</f>
        <v>Beacon.Put(105,0,498);</v>
      </c>
      <c r="E45" s="2" t="str">
        <f>"Beacon.Put(106,0,"&amp;M電入力!AC46&amp;");"</f>
        <v>Beacon.Put(106,0,000000);</v>
      </c>
      <c r="F45" s="2" t="str">
        <f>"Beacon.Put(107,0,"&amp;M電入力!AD46&amp;");"</f>
        <v>Beacon.Put(107,0,000000);</v>
      </c>
    </row>
    <row r="46" spans="1:6">
      <c r="A46" s="2" t="str">
        <f>M電入力!C47&amp;";"</f>
        <v>;</v>
      </c>
      <c r="B46" s="2" t="str">
        <f t="shared" si="0"/>
        <v>$dis=distance;$dis-500;</v>
      </c>
      <c r="C46" s="2" t="str">
        <f>"Beacon.Put(30,0,"&amp;IF(M電入力!K47="pass",-1,500)&amp;");"</f>
        <v>Beacon.Put(30,0,500);</v>
      </c>
      <c r="D46" s="2" t="str">
        <f>"Beacon.Put(105,0,"&amp;IF(M電入力!K47="PASS","-498","498")&amp;");"</f>
        <v>Beacon.Put(105,0,498);</v>
      </c>
      <c r="E46" s="2" t="str">
        <f>"Beacon.Put(106,0,"&amp;M電入力!AC47&amp;");"</f>
        <v>Beacon.Put(106,0,000000);</v>
      </c>
      <c r="F46" s="2" t="str">
        <f>"Beacon.Put(107,0,"&amp;M電入力!AD47&amp;");"</f>
        <v>Beacon.Put(107,0,000000);</v>
      </c>
    </row>
    <row r="47" spans="1:6">
      <c r="A47" s="2" t="str">
        <f>M電入力!C48&amp;";"</f>
        <v>;</v>
      </c>
      <c r="B47" s="2" t="str">
        <f t="shared" si="0"/>
        <v>$dis=distance;$dis-500;</v>
      </c>
      <c r="C47" s="2" t="str">
        <f>"Beacon.Put(30,0,"&amp;IF(M電入力!K48="pass",-1,500)&amp;");"</f>
        <v>Beacon.Put(30,0,500);</v>
      </c>
      <c r="D47" s="2" t="str">
        <f>"Beacon.Put(105,0,"&amp;IF(M電入力!K48="PASS","-498","498")&amp;");"</f>
        <v>Beacon.Put(105,0,498);</v>
      </c>
      <c r="E47" s="2" t="str">
        <f>"Beacon.Put(106,0,"&amp;M電入力!AC48&amp;");"</f>
        <v>Beacon.Put(106,0,000000);</v>
      </c>
      <c r="F47" s="2" t="str">
        <f>"Beacon.Put(107,0,"&amp;M電入力!AD48&amp;");"</f>
        <v>Beacon.Put(107,0,000000);</v>
      </c>
    </row>
    <row r="48" spans="1:6">
      <c r="A48" s="2" t="str">
        <f>M電入力!C49&amp;";"</f>
        <v>;</v>
      </c>
      <c r="B48" s="2" t="str">
        <f t="shared" si="0"/>
        <v>$dis=distance;$dis-500;</v>
      </c>
      <c r="C48" s="2" t="str">
        <f>"Beacon.Put(30,0,"&amp;IF(M電入力!K49="pass",-1,500)&amp;");"</f>
        <v>Beacon.Put(30,0,500);</v>
      </c>
      <c r="D48" s="2" t="str">
        <f>"Beacon.Put(105,0,"&amp;IF(M電入力!K49="PASS","-498","498")&amp;");"</f>
        <v>Beacon.Put(105,0,498);</v>
      </c>
      <c r="E48" s="2" t="str">
        <f>"Beacon.Put(106,0,"&amp;M電入力!AC49&amp;");"</f>
        <v>Beacon.Put(106,0,000000);</v>
      </c>
      <c r="F48" s="2" t="str">
        <f>"Beacon.Put(107,0,"&amp;M電入力!AD49&amp;");"</f>
        <v>Beacon.Put(107,0,000000);</v>
      </c>
    </row>
    <row r="49" spans="1:6">
      <c r="A49" s="2" t="str">
        <f>M電入力!C50&amp;";"</f>
        <v>;</v>
      </c>
      <c r="B49" s="2" t="str">
        <f t="shared" si="0"/>
        <v>$dis=distance;$dis-500;</v>
      </c>
      <c r="C49" s="2" t="str">
        <f>"Beacon.Put(30,0,"&amp;IF(M電入力!K50="pass",-1,500)&amp;");"</f>
        <v>Beacon.Put(30,0,500);</v>
      </c>
      <c r="D49" s="2" t="str">
        <f>"Beacon.Put(105,0,"&amp;IF(M電入力!K50="PASS","-498","498")&amp;");"</f>
        <v>Beacon.Put(105,0,498);</v>
      </c>
      <c r="E49" s="2" t="str">
        <f>"Beacon.Put(106,0,"&amp;M電入力!AC50&amp;");"</f>
        <v>Beacon.Put(106,0,000000);</v>
      </c>
      <c r="F49" s="2" t="str">
        <f>"Beacon.Put(107,0,"&amp;M電入力!AD50&amp;");"</f>
        <v>Beacon.Put(107,0,000000);</v>
      </c>
    </row>
    <row r="50" spans="1:6">
      <c r="A50" s="2" t="str">
        <f>M電入力!C51&amp;";"</f>
        <v>;</v>
      </c>
      <c r="B50" s="2" t="str">
        <f t="shared" si="0"/>
        <v>$dis=distance;$dis-500;</v>
      </c>
      <c r="C50" s="2" t="str">
        <f>"Beacon.Put(30,0,"&amp;IF(M電入力!K51="pass",-1,500)&amp;");"</f>
        <v>Beacon.Put(30,0,500);</v>
      </c>
      <c r="D50" s="2" t="str">
        <f>"Beacon.Put(105,0,"&amp;IF(M電入力!K51="PASS","-498","498")&amp;");"</f>
        <v>Beacon.Put(105,0,498);</v>
      </c>
      <c r="E50" s="2" t="str">
        <f>"Beacon.Put(106,0,"&amp;M電入力!AC51&amp;");"</f>
        <v>Beacon.Put(106,0,000000);</v>
      </c>
      <c r="F50" s="2" t="str">
        <f>"Beacon.Put(107,0,"&amp;M電入力!AD51&amp;");"</f>
        <v>Beacon.Put(107,0,000000);</v>
      </c>
    </row>
    <row r="51" spans="1:6">
      <c r="A51" s="2" t="str">
        <f>M電入力!C52&amp;";"</f>
        <v>;</v>
      </c>
      <c r="B51" s="2" t="str">
        <f t="shared" si="0"/>
        <v>$dis=distance;$dis-500;</v>
      </c>
      <c r="C51" s="2" t="str">
        <f>"Beacon.Put(30,0,"&amp;IF(M電入力!K52="pass",-1,500)&amp;");"</f>
        <v>Beacon.Put(30,0,500);</v>
      </c>
      <c r="D51" s="2" t="str">
        <f>"Beacon.Put(105,0,"&amp;IF(M電入力!K52="PASS","-498","498")&amp;");"</f>
        <v>Beacon.Put(105,0,498);</v>
      </c>
      <c r="E51" s="2" t="str">
        <f>"Beacon.Put(106,0,"&amp;M電入力!AC52&amp;");"</f>
        <v>Beacon.Put(106,0,000000);</v>
      </c>
      <c r="F51" s="2" t="str">
        <f>"Beacon.Put(107,0,"&amp;M電入力!AD52&amp;");"</f>
        <v>Beacon.Put(107,0,000000);</v>
      </c>
    </row>
    <row r="52" spans="1:6">
      <c r="A52" s="2" t="str">
        <f>M電入力!C53&amp;";"</f>
        <v>;</v>
      </c>
      <c r="B52" s="2" t="str">
        <f t="shared" si="0"/>
        <v>$dis=distance;$dis-500;</v>
      </c>
      <c r="C52" s="2" t="str">
        <f>"Beacon.Put(30,0,"&amp;IF(M電入力!K53="pass",-1,500)&amp;");"</f>
        <v>Beacon.Put(30,0,500);</v>
      </c>
      <c r="D52" s="2" t="str">
        <f>"Beacon.Put(105,0,"&amp;IF(M電入力!K53="PASS","-498","498")&amp;");"</f>
        <v>Beacon.Put(105,0,498);</v>
      </c>
      <c r="E52" s="2" t="str">
        <f>"Beacon.Put(106,0,"&amp;M電入力!AC53&amp;");"</f>
        <v>Beacon.Put(106,0,000000);</v>
      </c>
      <c r="F52" s="2" t="str">
        <f>"Beacon.Put(107,0,"&amp;M電入力!AD53&amp;");"</f>
        <v>Beacon.Put(107,0,000000);</v>
      </c>
    </row>
    <row r="53" spans="1:6">
      <c r="A53" s="2" t="str">
        <f>M電入力!C54&amp;";"</f>
        <v>;</v>
      </c>
      <c r="B53" s="2" t="str">
        <f t="shared" si="0"/>
        <v>$dis=distance;$dis-500;</v>
      </c>
      <c r="C53" s="2" t="str">
        <f>"Beacon.Put(30,0,"&amp;IF(M電入力!K54="pass",-1,500)&amp;");"</f>
        <v>Beacon.Put(30,0,500);</v>
      </c>
      <c r="D53" s="2" t="str">
        <f>"Beacon.Put(105,0,"&amp;IF(M電入力!K54="PASS","-498","498")&amp;");"</f>
        <v>Beacon.Put(105,0,498);</v>
      </c>
      <c r="E53" s="2" t="str">
        <f>"Beacon.Put(106,0,"&amp;M電入力!AC54&amp;");"</f>
        <v>Beacon.Put(106,0,000000);</v>
      </c>
      <c r="F53" s="2" t="str">
        <f>"Beacon.Put(107,0,"&amp;M電入力!AD54&amp;");"</f>
        <v>Beacon.Put(107,0,000000);</v>
      </c>
    </row>
    <row r="54" spans="1:6">
      <c r="A54" s="2" t="str">
        <f>M電入力!C55&amp;";"</f>
        <v>;</v>
      </c>
      <c r="B54" s="2" t="str">
        <f t="shared" si="0"/>
        <v>$dis=distance;$dis-500;</v>
      </c>
      <c r="C54" s="2" t="str">
        <f>"Beacon.Put(30,0,"&amp;IF(M電入力!K55="pass",-1,500)&amp;");"</f>
        <v>Beacon.Put(30,0,500);</v>
      </c>
      <c r="D54" s="2" t="str">
        <f>"Beacon.Put(105,0,"&amp;IF(M電入力!K55="PASS","-498","498")&amp;");"</f>
        <v>Beacon.Put(105,0,498);</v>
      </c>
      <c r="E54" s="2" t="str">
        <f>"Beacon.Put(106,0,"&amp;M電入力!AC55&amp;");"</f>
        <v>Beacon.Put(106,0,000000);</v>
      </c>
      <c r="F54" s="2" t="str">
        <f>"Beacon.Put(107,0,"&amp;M電入力!AD55&amp;");"</f>
        <v>Beacon.Put(107,0,000000);</v>
      </c>
    </row>
    <row r="55" spans="1:6">
      <c r="A55" s="2" t="str">
        <f>M電入力!C56&amp;";"</f>
        <v>;</v>
      </c>
      <c r="B55" s="2" t="str">
        <f t="shared" si="0"/>
        <v>$dis=distance;$dis-500;</v>
      </c>
      <c r="C55" s="2" t="str">
        <f>"Beacon.Put(30,0,"&amp;IF(M電入力!K56="pass",-1,500)&amp;");"</f>
        <v>Beacon.Put(30,0,500);</v>
      </c>
      <c r="D55" s="2" t="str">
        <f>"Beacon.Put(105,0,"&amp;IF(M電入力!K56="PASS","-498","498")&amp;");"</f>
        <v>Beacon.Put(105,0,498);</v>
      </c>
      <c r="E55" s="2" t="str">
        <f>"Beacon.Put(106,0,"&amp;M電入力!AC56&amp;");"</f>
        <v>Beacon.Put(106,0,000000);</v>
      </c>
      <c r="F55" s="2" t="str">
        <f>"Beacon.Put(107,0,"&amp;M電入力!AD56&amp;");"</f>
        <v>Beacon.Put(107,0,000000);</v>
      </c>
    </row>
    <row r="56" spans="1:6">
      <c r="A56" s="2" t="str">
        <f>M電入力!C57&amp;";"</f>
        <v>;</v>
      </c>
      <c r="B56" s="2" t="str">
        <f t="shared" si="0"/>
        <v>$dis=distance;$dis-500;</v>
      </c>
      <c r="C56" s="2" t="str">
        <f>"Beacon.Put(30,0,"&amp;IF(M電入力!K57="pass",-1,500)&amp;");"</f>
        <v>Beacon.Put(30,0,500);</v>
      </c>
      <c r="D56" s="2" t="str">
        <f>"Beacon.Put(105,0,"&amp;IF(M電入力!K57="PASS","-498","498")&amp;");"</f>
        <v>Beacon.Put(105,0,498);</v>
      </c>
      <c r="E56" s="2" t="str">
        <f>"Beacon.Put(106,0,"&amp;M電入力!AC57&amp;");"</f>
        <v>Beacon.Put(106,0,000000);</v>
      </c>
      <c r="F56" s="2" t="str">
        <f>"Beacon.Put(107,0,"&amp;M電入力!AD57&amp;");"</f>
        <v>Beacon.Put(107,0,000000);</v>
      </c>
    </row>
    <row r="57" spans="1:6">
      <c r="A57" s="2" t="str">
        <f>M電入力!C58&amp;";"</f>
        <v>;</v>
      </c>
      <c r="B57" s="2" t="str">
        <f t="shared" si="0"/>
        <v>$dis=distance;$dis-500;</v>
      </c>
      <c r="C57" s="2" t="str">
        <f>"Beacon.Put(30,0,"&amp;IF(M電入力!K58="pass",-1,500)&amp;");"</f>
        <v>Beacon.Put(30,0,500);</v>
      </c>
      <c r="D57" s="2" t="str">
        <f>"Beacon.Put(105,0,"&amp;IF(M電入力!K58="PASS","-498","498")&amp;");"</f>
        <v>Beacon.Put(105,0,498);</v>
      </c>
      <c r="E57" s="2" t="str">
        <f>"Beacon.Put(106,0,"&amp;M電入力!AC58&amp;");"</f>
        <v>Beacon.Put(106,0,000000);</v>
      </c>
      <c r="F57" s="2" t="str">
        <f>"Beacon.Put(107,0,"&amp;M電入力!AD58&amp;");"</f>
        <v>Beacon.Put(107,0,000000);</v>
      </c>
    </row>
    <row r="58" spans="1:6">
      <c r="A58" s="2" t="str">
        <f>M電入力!C59&amp;";"</f>
        <v>;</v>
      </c>
      <c r="B58" s="2" t="str">
        <f t="shared" si="0"/>
        <v>$dis=distance;$dis-500;</v>
      </c>
      <c r="C58" s="2" t="str">
        <f>"Beacon.Put(30,0,"&amp;IF(M電入力!K59="pass",-1,500)&amp;");"</f>
        <v>Beacon.Put(30,0,500);</v>
      </c>
      <c r="D58" s="2" t="str">
        <f>"Beacon.Put(105,0,"&amp;IF(M電入力!K59="PASS","-498","498")&amp;");"</f>
        <v>Beacon.Put(105,0,498);</v>
      </c>
      <c r="E58" s="2" t="str">
        <f>"Beacon.Put(106,0,"&amp;M電入力!AC59&amp;");"</f>
        <v>Beacon.Put(106,0,000000);</v>
      </c>
      <c r="F58" s="2" t="str">
        <f>"Beacon.Put(107,0,"&amp;M電入力!AD59&amp;");"</f>
        <v>Beacon.Put(107,0,000000);</v>
      </c>
    </row>
    <row r="59" spans="1:6">
      <c r="A59" s="2" t="str">
        <f>M電入力!C60&amp;";"</f>
        <v>;</v>
      </c>
      <c r="B59" s="2" t="str">
        <f t="shared" si="0"/>
        <v>$dis=distance;$dis-500;</v>
      </c>
      <c r="C59" s="2" t="str">
        <f>"Beacon.Put(30,0,"&amp;IF(M電入力!K60="pass",-1,500)&amp;");"</f>
        <v>Beacon.Put(30,0,500);</v>
      </c>
      <c r="D59" s="2" t="str">
        <f>"Beacon.Put(105,0,"&amp;IF(M電入力!K60="PASS","-498","498")&amp;");"</f>
        <v>Beacon.Put(105,0,498);</v>
      </c>
      <c r="E59" s="2" t="str">
        <f>"Beacon.Put(106,0,"&amp;M電入力!AC60&amp;");"</f>
        <v>Beacon.Put(106,0,000000);</v>
      </c>
      <c r="F59" s="2" t="str">
        <f>"Beacon.Put(107,0,"&amp;M電入力!AD60&amp;");"</f>
        <v>Beacon.Put(107,0,000000);</v>
      </c>
    </row>
    <row r="60" spans="1:6">
      <c r="A60" s="2" t="str">
        <f>M電入力!C61&amp;";"</f>
        <v>;</v>
      </c>
      <c r="B60" s="2" t="str">
        <f t="shared" si="0"/>
        <v>$dis=distance;$dis-500;</v>
      </c>
      <c r="C60" s="2" t="str">
        <f>"Beacon.Put(30,0,"&amp;IF(M電入力!K61="pass",-1,500)&amp;");"</f>
        <v>Beacon.Put(30,0,500);</v>
      </c>
      <c r="D60" s="2" t="str">
        <f>"Beacon.Put(105,0,"&amp;IF(M電入力!K61="PASS","-498","498")&amp;");"</f>
        <v>Beacon.Put(105,0,498);</v>
      </c>
      <c r="E60" s="2" t="str">
        <f>"Beacon.Put(106,0,"&amp;M電入力!AC61&amp;");"</f>
        <v>Beacon.Put(106,0,000000);</v>
      </c>
      <c r="F60" s="2" t="str">
        <f>"Beacon.Put(107,0,"&amp;M電入力!AD61&amp;");"</f>
        <v>Beacon.Put(107,0,000000);</v>
      </c>
    </row>
    <row r="61" spans="1:6">
      <c r="A61" s="2" t="str">
        <f>M電入力!C62&amp;";"</f>
        <v>;</v>
      </c>
      <c r="B61" s="2" t="str">
        <f t="shared" si="0"/>
        <v>$dis=distance;$dis-500;</v>
      </c>
      <c r="C61" s="2" t="str">
        <f>"Beacon.Put(30,0,"&amp;IF(M電入力!K62="pass",-1,500)&amp;");"</f>
        <v>Beacon.Put(30,0,500);</v>
      </c>
      <c r="D61" s="2" t="str">
        <f>"Beacon.Put(105,0,"&amp;IF(M電入力!K62="PASS","-498","498")&amp;");"</f>
        <v>Beacon.Put(105,0,498);</v>
      </c>
      <c r="E61" s="2" t="str">
        <f>"Beacon.Put(106,0,"&amp;M電入力!AC62&amp;");"</f>
        <v>Beacon.Put(106,0,000000);</v>
      </c>
      <c r="F61" s="2" t="str">
        <f>"Beacon.Put(107,0,"&amp;M電入力!AD62&amp;");"</f>
        <v>Beacon.Put(107,0,000000);</v>
      </c>
    </row>
    <row r="62" spans="1:6">
      <c r="A62" s="2" t="str">
        <f>M電入力!C63&amp;";"</f>
        <v>;</v>
      </c>
      <c r="B62" s="2" t="str">
        <f t="shared" si="0"/>
        <v>$dis=distance;$dis-500;</v>
      </c>
      <c r="C62" s="2" t="str">
        <f>"Beacon.Put(30,0,"&amp;IF(M電入力!K63="pass",-1,500)&amp;");"</f>
        <v>Beacon.Put(30,0,500);</v>
      </c>
      <c r="D62" s="2" t="str">
        <f>"Beacon.Put(105,0,"&amp;IF(M電入力!K63="PASS","-498","498")&amp;");"</f>
        <v>Beacon.Put(105,0,498);</v>
      </c>
      <c r="E62" s="2" t="str">
        <f>"Beacon.Put(106,0,"&amp;M電入力!AC63&amp;");"</f>
        <v>Beacon.Put(106,0,000000);</v>
      </c>
      <c r="F62" s="2" t="str">
        <f>"Beacon.Put(107,0,"&amp;M電入力!AD63&amp;");"</f>
        <v>Beacon.Put(107,0,000000);</v>
      </c>
    </row>
    <row r="63" spans="1:6">
      <c r="A63" s="2" t="str">
        <f>M電入力!C64&amp;";"</f>
        <v>;</v>
      </c>
      <c r="B63" s="2" t="str">
        <f t="shared" si="0"/>
        <v>$dis=distance;$dis-500;</v>
      </c>
      <c r="C63" s="2" t="str">
        <f>"Beacon.Put(30,0,"&amp;IF(M電入力!K64="pass",-1,500)&amp;");"</f>
        <v>Beacon.Put(30,0,500);</v>
      </c>
      <c r="D63" s="2" t="str">
        <f>"Beacon.Put(105,0,"&amp;IF(M電入力!K64="PASS","-498","498")&amp;");"</f>
        <v>Beacon.Put(105,0,498);</v>
      </c>
      <c r="E63" s="2" t="str">
        <f>"Beacon.Put(106,0,"&amp;M電入力!AC64&amp;");"</f>
        <v>Beacon.Put(106,0,000000);</v>
      </c>
      <c r="F63" s="2" t="str">
        <f>"Beacon.Put(107,0,"&amp;M電入力!AD64&amp;");"</f>
        <v>Beacon.Put(107,0,000000);</v>
      </c>
    </row>
    <row r="64" spans="1:6">
      <c r="A64" s="2" t="str">
        <f>M電入力!C65&amp;";"</f>
        <v>;</v>
      </c>
      <c r="B64" s="2" t="str">
        <f t="shared" si="0"/>
        <v>$dis=distance;$dis-500;</v>
      </c>
      <c r="C64" s="2" t="str">
        <f>"Beacon.Put(30,0,"&amp;IF(M電入力!K65="pass",-1,500)&amp;");"</f>
        <v>Beacon.Put(30,0,500);</v>
      </c>
      <c r="D64" s="2" t="str">
        <f>"Beacon.Put(105,0,"&amp;IF(M電入力!K65="PASS","-498","498")&amp;");"</f>
        <v>Beacon.Put(105,0,498);</v>
      </c>
      <c r="E64" s="2" t="str">
        <f>"Beacon.Put(106,0,"&amp;M電入力!AC65&amp;");"</f>
        <v>Beacon.Put(106,0,000000);</v>
      </c>
      <c r="F64" s="2" t="str">
        <f>"Beacon.Put(107,0,"&amp;M電入力!AD65&amp;");"</f>
        <v>Beacon.Put(107,0,000000);</v>
      </c>
    </row>
    <row r="65" spans="1:6">
      <c r="A65" s="2" t="str">
        <f>M電入力!C66&amp;";"</f>
        <v>;</v>
      </c>
      <c r="B65" s="2" t="str">
        <f t="shared" si="0"/>
        <v>$dis=distance;$dis-500;</v>
      </c>
      <c r="C65" s="2" t="str">
        <f>"Beacon.Put(30,0,"&amp;IF(M電入力!K66="pass",-1,500)&amp;");"</f>
        <v>Beacon.Put(30,0,500);</v>
      </c>
      <c r="D65" s="2" t="str">
        <f>"Beacon.Put(105,0,"&amp;IF(M電入力!K66="PASS","-498","498")&amp;");"</f>
        <v>Beacon.Put(105,0,498);</v>
      </c>
      <c r="E65" s="2" t="str">
        <f>"Beacon.Put(106,0,"&amp;M電入力!AC66&amp;");"</f>
        <v>Beacon.Put(106,0,000000);</v>
      </c>
      <c r="F65" s="2" t="str">
        <f>"Beacon.Put(107,0,"&amp;M電入力!AD66&amp;");"</f>
        <v>Beacon.Put(107,0,000000);</v>
      </c>
    </row>
    <row r="66" spans="1:6">
      <c r="A66" s="2" t="str">
        <f>M電入力!C67&amp;";"</f>
        <v>;</v>
      </c>
      <c r="B66" s="2" t="str">
        <f t="shared" si="0"/>
        <v>$dis=distance;$dis-500;</v>
      </c>
      <c r="C66" s="2" t="str">
        <f>"Beacon.Put(30,0,"&amp;IF(M電入力!K67="pass",-1,500)&amp;");"</f>
        <v>Beacon.Put(30,0,500);</v>
      </c>
      <c r="D66" s="2" t="str">
        <f>"Beacon.Put(105,0,"&amp;IF(M電入力!K67="PASS","-498","498")&amp;");"</f>
        <v>Beacon.Put(105,0,498);</v>
      </c>
      <c r="E66" s="2" t="str">
        <f>"Beacon.Put(106,0,"&amp;M電入力!AC67&amp;");"</f>
        <v>Beacon.Put(106,0,000000);</v>
      </c>
      <c r="F66" s="2" t="str">
        <f>"Beacon.Put(107,0,"&amp;M電入力!AD67&amp;");"</f>
        <v>Beacon.Put(107,0,000000);</v>
      </c>
    </row>
    <row r="67" spans="1:6">
      <c r="A67" s="2" t="str">
        <f>M電入力!C68&amp;";"</f>
        <v>;</v>
      </c>
      <c r="B67" s="2" t="str">
        <f t="shared" si="0"/>
        <v>$dis=distance;$dis-500;</v>
      </c>
      <c r="C67" s="2" t="str">
        <f>"Beacon.Put(30,0,"&amp;IF(M電入力!K68="pass",-1,500)&amp;");"</f>
        <v>Beacon.Put(30,0,500);</v>
      </c>
      <c r="D67" s="2" t="str">
        <f>"Beacon.Put(105,0,"&amp;IF(M電入力!K68="PASS","-498","498")&amp;");"</f>
        <v>Beacon.Put(105,0,498);</v>
      </c>
      <c r="E67" s="2" t="str">
        <f>"Beacon.Put(106,0,"&amp;M電入力!AC68&amp;");"</f>
        <v>Beacon.Put(106,0,000000);</v>
      </c>
      <c r="F67" s="2" t="str">
        <f>"Beacon.Put(107,0,"&amp;M電入力!AD68&amp;");"</f>
        <v>Beacon.Put(107,0,000000);</v>
      </c>
    </row>
    <row r="68" spans="1:6">
      <c r="A68" s="2" t="str">
        <f>M電入力!C69&amp;";"</f>
        <v>;</v>
      </c>
      <c r="B68" s="2" t="str">
        <f t="shared" si="0"/>
        <v>$dis=distance;$dis-500;</v>
      </c>
      <c r="C68" s="2" t="str">
        <f>"Beacon.Put(30,0,"&amp;IF(M電入力!K69="pass",-1,500)&amp;");"</f>
        <v>Beacon.Put(30,0,500);</v>
      </c>
      <c r="D68" s="2" t="str">
        <f>"Beacon.Put(105,0,"&amp;IF(M電入力!K69="PASS","-498","498")&amp;");"</f>
        <v>Beacon.Put(105,0,498);</v>
      </c>
      <c r="E68" s="2" t="str">
        <f>"Beacon.Put(106,0,"&amp;M電入力!AC69&amp;");"</f>
        <v>Beacon.Put(106,0,000000);</v>
      </c>
      <c r="F68" s="2" t="str">
        <f>"Beacon.Put(107,0,"&amp;M電入力!AD69&amp;");"</f>
        <v>Beacon.Put(107,0,000000);</v>
      </c>
    </row>
    <row r="69" spans="1:6">
      <c r="A69" s="2" t="str">
        <f>M電入力!C70&amp;";"</f>
        <v>;</v>
      </c>
      <c r="B69" s="2" t="str">
        <f t="shared" ref="B69:B102" si="1">"$dis=distance;$dis-500;"</f>
        <v>$dis=distance;$dis-500;</v>
      </c>
      <c r="C69" s="2" t="str">
        <f>"Beacon.Put(30,0,"&amp;IF(M電入力!K70="pass",-1,500)&amp;");"</f>
        <v>Beacon.Put(30,0,500);</v>
      </c>
      <c r="D69" s="2" t="str">
        <f>"Beacon.Put(105,0,"&amp;IF(M電入力!K70="PASS","-498","498")&amp;");"</f>
        <v>Beacon.Put(105,0,498);</v>
      </c>
      <c r="E69" s="2" t="str">
        <f>"Beacon.Put(106,0,"&amp;M電入力!AC70&amp;");"</f>
        <v>Beacon.Put(106,0,000000);</v>
      </c>
      <c r="F69" s="2" t="str">
        <f>"Beacon.Put(107,0,"&amp;M電入力!AD70&amp;");"</f>
        <v>Beacon.Put(107,0,000000);</v>
      </c>
    </row>
    <row r="70" spans="1:6">
      <c r="A70" s="2" t="str">
        <f>M電入力!C71&amp;";"</f>
        <v>;</v>
      </c>
      <c r="B70" s="2" t="str">
        <f t="shared" si="1"/>
        <v>$dis=distance;$dis-500;</v>
      </c>
      <c r="C70" s="2" t="str">
        <f>"Beacon.Put(30,0,"&amp;IF(M電入力!K71="pass",-1,500)&amp;");"</f>
        <v>Beacon.Put(30,0,500);</v>
      </c>
      <c r="D70" s="2" t="str">
        <f>"Beacon.Put(105,0,"&amp;IF(M電入力!K71="PASS","-498","498")&amp;");"</f>
        <v>Beacon.Put(105,0,498);</v>
      </c>
      <c r="E70" s="2" t="str">
        <f>"Beacon.Put(106,0,"&amp;M電入力!AC71&amp;");"</f>
        <v>Beacon.Put(106,0,000000);</v>
      </c>
      <c r="F70" s="2" t="str">
        <f>"Beacon.Put(107,0,"&amp;M電入力!AD71&amp;");"</f>
        <v>Beacon.Put(107,0,000000);</v>
      </c>
    </row>
    <row r="71" spans="1:6">
      <c r="A71" s="2" t="str">
        <f>M電入力!C72&amp;";"</f>
        <v>;</v>
      </c>
      <c r="B71" s="2" t="str">
        <f t="shared" si="1"/>
        <v>$dis=distance;$dis-500;</v>
      </c>
      <c r="C71" s="2" t="str">
        <f>"Beacon.Put(30,0,"&amp;IF(M電入力!K72="pass",-1,500)&amp;");"</f>
        <v>Beacon.Put(30,0,500);</v>
      </c>
      <c r="D71" s="2" t="str">
        <f>"Beacon.Put(105,0,"&amp;IF(M電入力!K72="PASS","-498","498")&amp;");"</f>
        <v>Beacon.Put(105,0,498);</v>
      </c>
      <c r="E71" s="2" t="str">
        <f>"Beacon.Put(106,0,"&amp;M電入力!AC72&amp;");"</f>
        <v>Beacon.Put(106,0,000000);</v>
      </c>
      <c r="F71" s="2" t="str">
        <f>"Beacon.Put(107,0,"&amp;M電入力!AD72&amp;");"</f>
        <v>Beacon.Put(107,0,000000);</v>
      </c>
    </row>
    <row r="72" spans="1:6">
      <c r="A72" s="2" t="str">
        <f>M電入力!C73&amp;";"</f>
        <v>;</v>
      </c>
      <c r="B72" s="2" t="str">
        <f t="shared" si="1"/>
        <v>$dis=distance;$dis-500;</v>
      </c>
      <c r="C72" s="2" t="str">
        <f>"Beacon.Put(30,0,"&amp;IF(M電入力!K73="pass",-1,500)&amp;");"</f>
        <v>Beacon.Put(30,0,500);</v>
      </c>
      <c r="D72" s="2" t="str">
        <f>"Beacon.Put(105,0,"&amp;IF(M電入力!K73="PASS","-498","498")&amp;");"</f>
        <v>Beacon.Put(105,0,498);</v>
      </c>
      <c r="E72" s="2" t="str">
        <f>"Beacon.Put(106,0,"&amp;M電入力!AC73&amp;");"</f>
        <v>Beacon.Put(106,0,000000);</v>
      </c>
      <c r="F72" s="2" t="str">
        <f>"Beacon.Put(107,0,"&amp;M電入力!AD73&amp;");"</f>
        <v>Beacon.Put(107,0,000000);</v>
      </c>
    </row>
    <row r="73" spans="1:6">
      <c r="A73" s="2" t="str">
        <f>M電入力!C74&amp;";"</f>
        <v>;</v>
      </c>
      <c r="B73" s="2" t="str">
        <f t="shared" si="1"/>
        <v>$dis=distance;$dis-500;</v>
      </c>
      <c r="C73" s="2" t="str">
        <f>"Beacon.Put(30,0,"&amp;IF(M電入力!K74="pass",-1,500)&amp;");"</f>
        <v>Beacon.Put(30,0,500);</v>
      </c>
      <c r="D73" s="2" t="str">
        <f>"Beacon.Put(105,0,"&amp;IF(M電入力!K74="PASS","-498","498")&amp;");"</f>
        <v>Beacon.Put(105,0,498);</v>
      </c>
      <c r="E73" s="2" t="str">
        <f>"Beacon.Put(106,0,"&amp;M電入力!AC74&amp;");"</f>
        <v>Beacon.Put(106,0,000000);</v>
      </c>
      <c r="F73" s="2" t="str">
        <f>"Beacon.Put(107,0,"&amp;M電入力!AD74&amp;");"</f>
        <v>Beacon.Put(107,0,000000);</v>
      </c>
    </row>
    <row r="74" spans="1:6">
      <c r="A74" s="2" t="str">
        <f>M電入力!C75&amp;";"</f>
        <v>;</v>
      </c>
      <c r="B74" s="2" t="str">
        <f t="shared" si="1"/>
        <v>$dis=distance;$dis-500;</v>
      </c>
      <c r="C74" s="2" t="str">
        <f>"Beacon.Put(30,0,"&amp;IF(M電入力!K75="pass",-1,500)&amp;");"</f>
        <v>Beacon.Put(30,0,500);</v>
      </c>
      <c r="D74" s="2" t="str">
        <f>"Beacon.Put(105,0,"&amp;IF(M電入力!K75="PASS","-498","498")&amp;");"</f>
        <v>Beacon.Put(105,0,498);</v>
      </c>
      <c r="E74" s="2" t="str">
        <f>"Beacon.Put(106,0,"&amp;M電入力!AC75&amp;");"</f>
        <v>Beacon.Put(106,0,000000);</v>
      </c>
      <c r="F74" s="2" t="str">
        <f>"Beacon.Put(107,0,"&amp;M電入力!AD75&amp;");"</f>
        <v>Beacon.Put(107,0,000000);</v>
      </c>
    </row>
    <row r="75" spans="1:6">
      <c r="A75" s="2" t="str">
        <f>M電入力!C76&amp;";"</f>
        <v>;</v>
      </c>
      <c r="B75" s="2" t="str">
        <f t="shared" si="1"/>
        <v>$dis=distance;$dis-500;</v>
      </c>
      <c r="C75" s="2" t="str">
        <f>"Beacon.Put(30,0,"&amp;IF(M電入力!K76="pass",-1,500)&amp;");"</f>
        <v>Beacon.Put(30,0,500);</v>
      </c>
      <c r="D75" s="2" t="str">
        <f>"Beacon.Put(105,0,"&amp;IF(M電入力!K76="PASS","-498","498")&amp;");"</f>
        <v>Beacon.Put(105,0,498);</v>
      </c>
      <c r="E75" s="2" t="str">
        <f>"Beacon.Put(106,0,"&amp;M電入力!AC76&amp;");"</f>
        <v>Beacon.Put(106,0,000000);</v>
      </c>
      <c r="F75" s="2" t="str">
        <f>"Beacon.Put(107,0,"&amp;M電入力!AD76&amp;");"</f>
        <v>Beacon.Put(107,0,000000);</v>
      </c>
    </row>
    <row r="76" spans="1:6">
      <c r="A76" s="2" t="str">
        <f>M電入力!C77&amp;";"</f>
        <v>;</v>
      </c>
      <c r="B76" s="2" t="str">
        <f t="shared" si="1"/>
        <v>$dis=distance;$dis-500;</v>
      </c>
      <c r="C76" s="2" t="str">
        <f>"Beacon.Put(30,0,"&amp;IF(M電入力!K77="pass",-1,500)&amp;");"</f>
        <v>Beacon.Put(30,0,500);</v>
      </c>
      <c r="D76" s="2" t="str">
        <f>"Beacon.Put(105,0,"&amp;IF(M電入力!K77="PASS","-498","498")&amp;");"</f>
        <v>Beacon.Put(105,0,498);</v>
      </c>
      <c r="E76" s="2" t="str">
        <f>"Beacon.Put(106,0,"&amp;M電入力!AC77&amp;");"</f>
        <v>Beacon.Put(106,0,000000);</v>
      </c>
      <c r="F76" s="2" t="str">
        <f>"Beacon.Put(107,0,"&amp;M電入力!AD77&amp;");"</f>
        <v>Beacon.Put(107,0,000000);</v>
      </c>
    </row>
    <row r="77" spans="1:6">
      <c r="A77" s="2" t="str">
        <f>M電入力!C78&amp;";"</f>
        <v>;</v>
      </c>
      <c r="B77" s="2" t="str">
        <f t="shared" si="1"/>
        <v>$dis=distance;$dis-500;</v>
      </c>
      <c r="C77" s="2" t="str">
        <f>"Beacon.Put(30,0,"&amp;IF(M電入力!K78="pass",-1,500)&amp;");"</f>
        <v>Beacon.Put(30,0,500);</v>
      </c>
      <c r="D77" s="2" t="str">
        <f>"Beacon.Put(105,0,"&amp;IF(M電入力!K78="PASS","-498","498")&amp;");"</f>
        <v>Beacon.Put(105,0,498);</v>
      </c>
      <c r="E77" s="2" t="str">
        <f>"Beacon.Put(106,0,"&amp;M電入力!AC78&amp;");"</f>
        <v>Beacon.Put(106,0,000000);</v>
      </c>
      <c r="F77" s="2" t="str">
        <f>"Beacon.Put(107,0,"&amp;M電入力!AD78&amp;");"</f>
        <v>Beacon.Put(107,0,000000);</v>
      </c>
    </row>
    <row r="78" spans="1:6">
      <c r="A78" s="2" t="str">
        <f>M電入力!C79&amp;";"</f>
        <v>;</v>
      </c>
      <c r="B78" s="2" t="str">
        <f t="shared" si="1"/>
        <v>$dis=distance;$dis-500;</v>
      </c>
      <c r="C78" s="2" t="str">
        <f>"Beacon.Put(30,0,"&amp;IF(M電入力!K79="pass",-1,500)&amp;");"</f>
        <v>Beacon.Put(30,0,500);</v>
      </c>
      <c r="D78" s="2" t="str">
        <f>"Beacon.Put(105,0,"&amp;IF(M電入力!K79="PASS","-498","498")&amp;");"</f>
        <v>Beacon.Put(105,0,498);</v>
      </c>
      <c r="E78" s="2" t="str">
        <f>"Beacon.Put(106,0,"&amp;M電入力!AC79&amp;");"</f>
        <v>Beacon.Put(106,0,000000);</v>
      </c>
      <c r="F78" s="2" t="str">
        <f>"Beacon.Put(107,0,"&amp;M電入力!AD79&amp;");"</f>
        <v>Beacon.Put(107,0,000000);</v>
      </c>
    </row>
    <row r="79" spans="1:6">
      <c r="A79" s="2" t="str">
        <f>M電入力!C80&amp;";"</f>
        <v>;</v>
      </c>
      <c r="B79" s="2" t="str">
        <f t="shared" si="1"/>
        <v>$dis=distance;$dis-500;</v>
      </c>
      <c r="C79" s="2" t="str">
        <f>"Beacon.Put(30,0,"&amp;IF(M電入力!K80="pass",-1,500)&amp;");"</f>
        <v>Beacon.Put(30,0,500);</v>
      </c>
      <c r="D79" s="2" t="str">
        <f>"Beacon.Put(105,0,"&amp;IF(M電入力!K80="PASS","-498","498")&amp;");"</f>
        <v>Beacon.Put(105,0,498);</v>
      </c>
      <c r="E79" s="2" t="str">
        <f>"Beacon.Put(106,0,"&amp;M電入力!AC80&amp;");"</f>
        <v>Beacon.Put(106,0,000000);</v>
      </c>
      <c r="F79" s="2" t="str">
        <f>"Beacon.Put(107,0,"&amp;M電入力!AD80&amp;");"</f>
        <v>Beacon.Put(107,0,000000);</v>
      </c>
    </row>
    <row r="80" spans="1:6">
      <c r="A80" s="2" t="str">
        <f>M電入力!C81&amp;";"</f>
        <v>;</v>
      </c>
      <c r="B80" s="2" t="str">
        <f t="shared" si="1"/>
        <v>$dis=distance;$dis-500;</v>
      </c>
      <c r="C80" s="2" t="str">
        <f>"Beacon.Put(30,0,"&amp;IF(M電入力!K81="pass",-1,500)&amp;");"</f>
        <v>Beacon.Put(30,0,500);</v>
      </c>
      <c r="D80" s="2" t="str">
        <f>"Beacon.Put(105,0,"&amp;IF(M電入力!K81="PASS","-498","498")&amp;");"</f>
        <v>Beacon.Put(105,0,498);</v>
      </c>
      <c r="E80" s="2" t="str">
        <f>"Beacon.Put(106,0,"&amp;M電入力!AC81&amp;");"</f>
        <v>Beacon.Put(106,0,000000);</v>
      </c>
      <c r="F80" s="2" t="str">
        <f>"Beacon.Put(107,0,"&amp;M電入力!AD81&amp;");"</f>
        <v>Beacon.Put(107,0,000000);</v>
      </c>
    </row>
    <row r="81" spans="1:6">
      <c r="A81" s="2" t="str">
        <f>M電入力!C82&amp;";"</f>
        <v>;</v>
      </c>
      <c r="B81" s="2" t="str">
        <f t="shared" si="1"/>
        <v>$dis=distance;$dis-500;</v>
      </c>
      <c r="C81" s="2" t="str">
        <f>"Beacon.Put(30,0,"&amp;IF(M電入力!K82="pass",-1,500)&amp;");"</f>
        <v>Beacon.Put(30,0,500);</v>
      </c>
      <c r="D81" s="2" t="str">
        <f>"Beacon.Put(105,0,"&amp;IF(M電入力!K82="PASS","-498","498")&amp;");"</f>
        <v>Beacon.Put(105,0,498);</v>
      </c>
      <c r="E81" s="2" t="str">
        <f>"Beacon.Put(106,0,"&amp;M電入力!AC82&amp;");"</f>
        <v>Beacon.Put(106,0,000000);</v>
      </c>
      <c r="F81" s="2" t="str">
        <f>"Beacon.Put(107,0,"&amp;M電入力!AD82&amp;");"</f>
        <v>Beacon.Put(107,0,000000);</v>
      </c>
    </row>
    <row r="82" spans="1:6">
      <c r="A82" s="2" t="str">
        <f>M電入力!C83&amp;";"</f>
        <v>;</v>
      </c>
      <c r="B82" s="2" t="str">
        <f t="shared" si="1"/>
        <v>$dis=distance;$dis-500;</v>
      </c>
      <c r="C82" s="2" t="str">
        <f>"Beacon.Put(30,0,"&amp;IF(M電入力!K83="pass",-1,500)&amp;");"</f>
        <v>Beacon.Put(30,0,500);</v>
      </c>
      <c r="D82" s="2" t="str">
        <f>"Beacon.Put(105,0,"&amp;IF(M電入力!K83="PASS","-498","498")&amp;");"</f>
        <v>Beacon.Put(105,0,498);</v>
      </c>
      <c r="E82" s="2" t="str">
        <f>"Beacon.Put(106,0,"&amp;M電入力!AC83&amp;");"</f>
        <v>Beacon.Put(106,0,000000);</v>
      </c>
      <c r="F82" s="2" t="str">
        <f>"Beacon.Put(107,0,"&amp;M電入力!AD83&amp;");"</f>
        <v>Beacon.Put(107,0,000000);</v>
      </c>
    </row>
    <row r="83" spans="1:6">
      <c r="A83" s="2" t="str">
        <f>M電入力!C84&amp;";"</f>
        <v>;</v>
      </c>
      <c r="B83" s="2" t="str">
        <f t="shared" si="1"/>
        <v>$dis=distance;$dis-500;</v>
      </c>
      <c r="C83" s="2" t="str">
        <f>"Beacon.Put(30,0,"&amp;IF(M電入力!K84="pass",-1,500)&amp;");"</f>
        <v>Beacon.Put(30,0,500);</v>
      </c>
      <c r="D83" s="2" t="str">
        <f>"Beacon.Put(105,0,"&amp;IF(M電入力!K84="PASS","-498","498")&amp;");"</f>
        <v>Beacon.Put(105,0,498);</v>
      </c>
      <c r="E83" s="2" t="str">
        <f>"Beacon.Put(106,0,"&amp;M電入力!AC84&amp;");"</f>
        <v>Beacon.Put(106,0,000000);</v>
      </c>
      <c r="F83" s="2" t="str">
        <f>"Beacon.Put(107,0,"&amp;M電入力!AD84&amp;");"</f>
        <v>Beacon.Put(107,0,000000);</v>
      </c>
    </row>
    <row r="84" spans="1:6">
      <c r="A84" s="2" t="str">
        <f>M電入力!C85&amp;";"</f>
        <v>;</v>
      </c>
      <c r="B84" s="2" t="str">
        <f t="shared" si="1"/>
        <v>$dis=distance;$dis-500;</v>
      </c>
      <c r="C84" s="2" t="str">
        <f>"Beacon.Put(30,0,"&amp;IF(M電入力!K85="pass",-1,500)&amp;");"</f>
        <v>Beacon.Put(30,0,500);</v>
      </c>
      <c r="D84" s="2" t="str">
        <f>"Beacon.Put(105,0,"&amp;IF(M電入力!K85="PASS","-498","498")&amp;");"</f>
        <v>Beacon.Put(105,0,498);</v>
      </c>
      <c r="E84" s="2" t="str">
        <f>"Beacon.Put(106,0,"&amp;M電入力!AC85&amp;");"</f>
        <v>Beacon.Put(106,0,000000);</v>
      </c>
      <c r="F84" s="2" t="str">
        <f>"Beacon.Put(107,0,"&amp;M電入力!AD85&amp;");"</f>
        <v>Beacon.Put(107,0,000000);</v>
      </c>
    </row>
    <row r="85" spans="1:6">
      <c r="A85" s="2" t="str">
        <f>M電入力!C86&amp;";"</f>
        <v>;</v>
      </c>
      <c r="B85" s="2" t="str">
        <f t="shared" si="1"/>
        <v>$dis=distance;$dis-500;</v>
      </c>
      <c r="C85" s="2" t="str">
        <f>"Beacon.Put(30,0,"&amp;IF(M電入力!K86="pass",-1,500)&amp;");"</f>
        <v>Beacon.Put(30,0,500);</v>
      </c>
      <c r="D85" s="2" t="str">
        <f>"Beacon.Put(105,0,"&amp;IF(M電入力!K86="PASS","-498","498")&amp;");"</f>
        <v>Beacon.Put(105,0,498);</v>
      </c>
      <c r="E85" s="2" t="str">
        <f>"Beacon.Put(106,0,"&amp;M電入力!AC86&amp;");"</f>
        <v>Beacon.Put(106,0,000000);</v>
      </c>
      <c r="F85" s="2" t="str">
        <f>"Beacon.Put(107,0,"&amp;M電入力!AD86&amp;");"</f>
        <v>Beacon.Put(107,0,000000);</v>
      </c>
    </row>
    <row r="86" spans="1:6">
      <c r="A86" s="2" t="str">
        <f>M電入力!C87&amp;";"</f>
        <v>;</v>
      </c>
      <c r="B86" s="2" t="str">
        <f t="shared" si="1"/>
        <v>$dis=distance;$dis-500;</v>
      </c>
      <c r="C86" s="2" t="str">
        <f>"Beacon.Put(30,0,"&amp;IF(M電入力!K87="pass",-1,500)&amp;");"</f>
        <v>Beacon.Put(30,0,500);</v>
      </c>
      <c r="D86" s="2" t="str">
        <f>"Beacon.Put(105,0,"&amp;IF(M電入力!K87="PASS","-498","498")&amp;");"</f>
        <v>Beacon.Put(105,0,498);</v>
      </c>
      <c r="E86" s="2" t="str">
        <f>"Beacon.Put(106,0,"&amp;M電入力!AC87&amp;");"</f>
        <v>Beacon.Put(106,0,000000);</v>
      </c>
      <c r="F86" s="2" t="str">
        <f>"Beacon.Put(107,0,"&amp;M電入力!AD87&amp;");"</f>
        <v>Beacon.Put(107,0,000000);</v>
      </c>
    </row>
    <row r="87" spans="1:6">
      <c r="A87" s="2" t="str">
        <f>M電入力!C88&amp;";"</f>
        <v>;</v>
      </c>
      <c r="B87" s="2" t="str">
        <f t="shared" si="1"/>
        <v>$dis=distance;$dis-500;</v>
      </c>
      <c r="C87" s="2" t="str">
        <f>"Beacon.Put(30,0,"&amp;IF(M電入力!K88="pass",-1,500)&amp;");"</f>
        <v>Beacon.Put(30,0,500);</v>
      </c>
      <c r="D87" s="2" t="str">
        <f>"Beacon.Put(105,0,"&amp;IF(M電入力!K88="PASS","-498","498")&amp;");"</f>
        <v>Beacon.Put(105,0,498);</v>
      </c>
      <c r="E87" s="2" t="str">
        <f>"Beacon.Put(106,0,"&amp;M電入力!AC88&amp;");"</f>
        <v>Beacon.Put(106,0,000000);</v>
      </c>
      <c r="F87" s="2" t="str">
        <f>"Beacon.Put(107,0,"&amp;M電入力!AD88&amp;");"</f>
        <v>Beacon.Put(107,0,000000);</v>
      </c>
    </row>
    <row r="88" spans="1:6">
      <c r="A88" s="2" t="str">
        <f>M電入力!C89&amp;";"</f>
        <v>;</v>
      </c>
      <c r="B88" s="2" t="str">
        <f t="shared" si="1"/>
        <v>$dis=distance;$dis-500;</v>
      </c>
      <c r="C88" s="2" t="str">
        <f>"Beacon.Put(30,0,"&amp;IF(M電入力!K89="pass",-1,500)&amp;");"</f>
        <v>Beacon.Put(30,0,500);</v>
      </c>
      <c r="D88" s="2" t="str">
        <f>"Beacon.Put(105,0,"&amp;IF(M電入力!K89="PASS","-498","498")&amp;");"</f>
        <v>Beacon.Put(105,0,498);</v>
      </c>
      <c r="E88" s="2" t="str">
        <f>"Beacon.Put(106,0,"&amp;M電入力!AC89&amp;");"</f>
        <v>Beacon.Put(106,0,000000);</v>
      </c>
      <c r="F88" s="2" t="str">
        <f>"Beacon.Put(107,0,"&amp;M電入力!AD89&amp;");"</f>
        <v>Beacon.Put(107,0,000000);</v>
      </c>
    </row>
    <row r="89" spans="1:6">
      <c r="A89" s="2" t="str">
        <f>M電入力!C90&amp;";"</f>
        <v>;</v>
      </c>
      <c r="B89" s="2" t="str">
        <f t="shared" si="1"/>
        <v>$dis=distance;$dis-500;</v>
      </c>
      <c r="C89" s="2" t="str">
        <f>"Beacon.Put(30,0,"&amp;IF(M電入力!K90="pass",-1,500)&amp;");"</f>
        <v>Beacon.Put(30,0,500);</v>
      </c>
      <c r="D89" s="2" t="str">
        <f>"Beacon.Put(105,0,"&amp;IF(M電入力!K90="PASS","-498","498")&amp;");"</f>
        <v>Beacon.Put(105,0,498);</v>
      </c>
      <c r="E89" s="2" t="str">
        <f>"Beacon.Put(106,0,"&amp;M電入力!AC90&amp;");"</f>
        <v>Beacon.Put(106,0,000000);</v>
      </c>
      <c r="F89" s="2" t="str">
        <f>"Beacon.Put(107,0,"&amp;M電入力!AD90&amp;");"</f>
        <v>Beacon.Put(107,0,000000);</v>
      </c>
    </row>
    <row r="90" spans="1:6">
      <c r="A90" s="2" t="str">
        <f>M電入力!C91&amp;";"</f>
        <v>;</v>
      </c>
      <c r="B90" s="2" t="str">
        <f t="shared" si="1"/>
        <v>$dis=distance;$dis-500;</v>
      </c>
      <c r="C90" s="2" t="str">
        <f>"Beacon.Put(30,0,"&amp;IF(M電入力!K91="pass",-1,500)&amp;");"</f>
        <v>Beacon.Put(30,0,500);</v>
      </c>
      <c r="D90" s="2" t="str">
        <f>"Beacon.Put(105,0,"&amp;IF(M電入力!K91="PASS","-498","498")&amp;");"</f>
        <v>Beacon.Put(105,0,498);</v>
      </c>
      <c r="E90" s="2" t="str">
        <f>"Beacon.Put(106,0,"&amp;M電入力!AC91&amp;");"</f>
        <v>Beacon.Put(106,0,000000);</v>
      </c>
      <c r="F90" s="2" t="str">
        <f>"Beacon.Put(107,0,"&amp;M電入力!AD91&amp;");"</f>
        <v>Beacon.Put(107,0,000000);</v>
      </c>
    </row>
    <row r="91" spans="1:6">
      <c r="A91" s="2" t="str">
        <f>M電入力!C92&amp;";"</f>
        <v>;</v>
      </c>
      <c r="B91" s="2" t="str">
        <f t="shared" si="1"/>
        <v>$dis=distance;$dis-500;</v>
      </c>
      <c r="C91" s="2" t="str">
        <f>"Beacon.Put(30,0,"&amp;IF(M電入力!K92="pass",-1,500)&amp;");"</f>
        <v>Beacon.Put(30,0,500);</v>
      </c>
      <c r="D91" s="2" t="str">
        <f>"Beacon.Put(105,0,"&amp;IF(M電入力!K92="PASS","-498","498")&amp;");"</f>
        <v>Beacon.Put(105,0,498);</v>
      </c>
      <c r="E91" s="2" t="str">
        <f>"Beacon.Put(106,0,"&amp;M電入力!AC92&amp;");"</f>
        <v>Beacon.Put(106,0,000000);</v>
      </c>
      <c r="F91" s="2" t="str">
        <f>"Beacon.Put(107,0,"&amp;M電入力!AD92&amp;");"</f>
        <v>Beacon.Put(107,0,000000);</v>
      </c>
    </row>
    <row r="92" spans="1:6">
      <c r="A92" s="2" t="str">
        <f>M電入力!C93&amp;";"</f>
        <v>;</v>
      </c>
      <c r="B92" s="2" t="str">
        <f t="shared" si="1"/>
        <v>$dis=distance;$dis-500;</v>
      </c>
      <c r="C92" s="2" t="str">
        <f>"Beacon.Put(30,0,"&amp;IF(M電入力!K93="pass",-1,500)&amp;");"</f>
        <v>Beacon.Put(30,0,500);</v>
      </c>
      <c r="D92" s="2" t="str">
        <f>"Beacon.Put(105,0,"&amp;IF(M電入力!K93="PASS","-498","498")&amp;");"</f>
        <v>Beacon.Put(105,0,498);</v>
      </c>
      <c r="E92" s="2" t="str">
        <f>"Beacon.Put(106,0,"&amp;M電入力!AC93&amp;");"</f>
        <v>Beacon.Put(106,0,000000);</v>
      </c>
      <c r="F92" s="2" t="str">
        <f>"Beacon.Put(107,0,"&amp;M電入力!AD93&amp;");"</f>
        <v>Beacon.Put(107,0,000000);</v>
      </c>
    </row>
    <row r="93" spans="1:6">
      <c r="A93" s="2" t="str">
        <f>M電入力!C94&amp;";"</f>
        <v>;</v>
      </c>
      <c r="B93" s="2" t="str">
        <f t="shared" si="1"/>
        <v>$dis=distance;$dis-500;</v>
      </c>
      <c r="C93" s="2" t="str">
        <f>"Beacon.Put(30,0,"&amp;IF(M電入力!K94="pass",-1,500)&amp;");"</f>
        <v>Beacon.Put(30,0,500);</v>
      </c>
      <c r="D93" s="2" t="str">
        <f>"Beacon.Put(105,0,"&amp;IF(M電入力!K94="PASS","-498","498")&amp;");"</f>
        <v>Beacon.Put(105,0,498);</v>
      </c>
      <c r="E93" s="2" t="str">
        <f>"Beacon.Put(106,0,"&amp;M電入力!AC94&amp;");"</f>
        <v>Beacon.Put(106,0,000000);</v>
      </c>
      <c r="F93" s="2" t="str">
        <f>"Beacon.Put(107,0,"&amp;M電入力!AD94&amp;");"</f>
        <v>Beacon.Put(107,0,000000);</v>
      </c>
    </row>
    <row r="94" spans="1:6">
      <c r="A94" s="2" t="str">
        <f>M電入力!C95&amp;";"</f>
        <v>;</v>
      </c>
      <c r="B94" s="2" t="str">
        <f t="shared" si="1"/>
        <v>$dis=distance;$dis-500;</v>
      </c>
      <c r="C94" s="2" t="str">
        <f>"Beacon.Put(30,0,"&amp;IF(M電入力!K95="pass",-1,500)&amp;");"</f>
        <v>Beacon.Put(30,0,500);</v>
      </c>
      <c r="D94" s="2" t="str">
        <f>"Beacon.Put(105,0,"&amp;IF(M電入力!K95="PASS","-498","498")&amp;");"</f>
        <v>Beacon.Put(105,0,498);</v>
      </c>
      <c r="E94" s="2" t="str">
        <f>"Beacon.Put(106,0,"&amp;M電入力!AC95&amp;");"</f>
        <v>Beacon.Put(106,0,000000);</v>
      </c>
      <c r="F94" s="2" t="str">
        <f>"Beacon.Put(107,0,"&amp;M電入力!AD95&amp;");"</f>
        <v>Beacon.Put(107,0,000000);</v>
      </c>
    </row>
    <row r="95" spans="1:6">
      <c r="A95" s="2" t="str">
        <f>M電入力!C96&amp;";"</f>
        <v>;</v>
      </c>
      <c r="B95" s="2" t="str">
        <f t="shared" si="1"/>
        <v>$dis=distance;$dis-500;</v>
      </c>
      <c r="C95" s="2" t="str">
        <f>"Beacon.Put(30,0,"&amp;IF(M電入力!K96="pass",-1,500)&amp;");"</f>
        <v>Beacon.Put(30,0,500);</v>
      </c>
      <c r="D95" s="2" t="str">
        <f>"Beacon.Put(105,0,"&amp;IF(M電入力!K96="PASS","-498","498")&amp;");"</f>
        <v>Beacon.Put(105,0,498);</v>
      </c>
      <c r="E95" s="2" t="str">
        <f>"Beacon.Put(106,0,"&amp;M電入力!AC96&amp;");"</f>
        <v>Beacon.Put(106,0,000000);</v>
      </c>
      <c r="F95" s="2" t="str">
        <f>"Beacon.Put(107,0,"&amp;M電入力!AD96&amp;");"</f>
        <v>Beacon.Put(107,0,000000);</v>
      </c>
    </row>
    <row r="96" spans="1:6">
      <c r="A96" s="2" t="str">
        <f>M電入力!C97&amp;";"</f>
        <v>;</v>
      </c>
      <c r="B96" s="2" t="str">
        <f t="shared" si="1"/>
        <v>$dis=distance;$dis-500;</v>
      </c>
      <c r="C96" s="2" t="str">
        <f>"Beacon.Put(30,0,"&amp;IF(M電入力!K97="pass",-1,500)&amp;");"</f>
        <v>Beacon.Put(30,0,500);</v>
      </c>
      <c r="D96" s="2" t="str">
        <f>"Beacon.Put(105,0,"&amp;IF(M電入力!K97="PASS","-498","498")&amp;");"</f>
        <v>Beacon.Put(105,0,498);</v>
      </c>
      <c r="E96" s="2" t="str">
        <f>"Beacon.Put(106,0,"&amp;M電入力!AC97&amp;");"</f>
        <v>Beacon.Put(106,0,000000);</v>
      </c>
      <c r="F96" s="2" t="str">
        <f>"Beacon.Put(107,0,"&amp;M電入力!AD97&amp;");"</f>
        <v>Beacon.Put(107,0,000000);</v>
      </c>
    </row>
    <row r="97" spans="1:6">
      <c r="A97" s="2" t="str">
        <f>M電入力!C98&amp;";"</f>
        <v>;</v>
      </c>
      <c r="B97" s="2" t="str">
        <f t="shared" si="1"/>
        <v>$dis=distance;$dis-500;</v>
      </c>
      <c r="C97" s="2" t="str">
        <f>"Beacon.Put(30,0,"&amp;IF(M電入力!K98="pass",-1,500)&amp;");"</f>
        <v>Beacon.Put(30,0,500);</v>
      </c>
      <c r="D97" s="2" t="str">
        <f>"Beacon.Put(105,0,"&amp;IF(M電入力!K98="PASS","-498","498")&amp;");"</f>
        <v>Beacon.Put(105,0,498);</v>
      </c>
      <c r="E97" s="2" t="str">
        <f>"Beacon.Put(106,0,"&amp;M電入力!AC98&amp;");"</f>
        <v>Beacon.Put(106,0,000000);</v>
      </c>
      <c r="F97" s="2" t="str">
        <f>"Beacon.Put(107,0,"&amp;M電入力!AD98&amp;");"</f>
        <v>Beacon.Put(107,0,000000);</v>
      </c>
    </row>
    <row r="98" spans="1:6">
      <c r="A98" s="2" t="str">
        <f>M電入力!C99&amp;";"</f>
        <v>;</v>
      </c>
      <c r="B98" s="2" t="str">
        <f t="shared" si="1"/>
        <v>$dis=distance;$dis-500;</v>
      </c>
      <c r="C98" s="2" t="str">
        <f>"Beacon.Put(30,0,"&amp;IF(M電入力!K99="pass",-1,500)&amp;");"</f>
        <v>Beacon.Put(30,0,500);</v>
      </c>
      <c r="D98" s="2" t="str">
        <f>"Beacon.Put(105,0,"&amp;IF(M電入力!K99="PASS","-498","498")&amp;");"</f>
        <v>Beacon.Put(105,0,498);</v>
      </c>
      <c r="E98" s="2" t="str">
        <f>"Beacon.Put(106,0,"&amp;M電入力!AC99&amp;");"</f>
        <v>Beacon.Put(106,0,000000);</v>
      </c>
      <c r="F98" s="2" t="str">
        <f>"Beacon.Put(107,0,"&amp;M電入力!AD99&amp;");"</f>
        <v>Beacon.Put(107,0,000000);</v>
      </c>
    </row>
    <row r="99" spans="1:6">
      <c r="A99" s="2" t="str">
        <f>M電入力!C100&amp;";"</f>
        <v>;</v>
      </c>
      <c r="B99" s="2" t="str">
        <f t="shared" si="1"/>
        <v>$dis=distance;$dis-500;</v>
      </c>
      <c r="C99" s="2" t="str">
        <f>"Beacon.Put(30,0,"&amp;IF(M電入力!K100="pass",-1,500)&amp;");"</f>
        <v>Beacon.Put(30,0,500);</v>
      </c>
      <c r="D99" s="2" t="str">
        <f>"Beacon.Put(105,0,"&amp;IF(M電入力!K100="PASS","-498","498")&amp;");"</f>
        <v>Beacon.Put(105,0,498);</v>
      </c>
      <c r="E99" s="2" t="str">
        <f>"Beacon.Put(106,0,"&amp;M電入力!AC100&amp;");"</f>
        <v>Beacon.Put(106,0,000000);</v>
      </c>
      <c r="F99" s="2" t="str">
        <f>"Beacon.Put(107,0,"&amp;M電入力!AD100&amp;");"</f>
        <v>Beacon.Put(107,0,000000);</v>
      </c>
    </row>
    <row r="100" spans="1:6">
      <c r="A100" s="2" t="str">
        <f>M電入力!C101&amp;";"</f>
        <v>;</v>
      </c>
      <c r="B100" s="2" t="str">
        <f t="shared" si="1"/>
        <v>$dis=distance;$dis-500;</v>
      </c>
      <c r="C100" s="2" t="str">
        <f>"Beacon.Put(30,0,"&amp;IF(M電入力!K101="pass",-1,500)&amp;");"</f>
        <v>Beacon.Put(30,0,500);</v>
      </c>
      <c r="D100" s="2" t="str">
        <f>"Beacon.Put(105,0,"&amp;IF(M電入力!K101="PASS","-498","498")&amp;");"</f>
        <v>Beacon.Put(105,0,498);</v>
      </c>
      <c r="E100" s="2" t="str">
        <f>"Beacon.Put(106,0,"&amp;M電入力!AC101&amp;");"</f>
        <v>Beacon.Put(106,0,000000);</v>
      </c>
      <c r="F100" s="2" t="str">
        <f>"Beacon.Put(107,0,"&amp;M電入力!AD101&amp;");"</f>
        <v>Beacon.Put(107,0,000000);</v>
      </c>
    </row>
    <row r="101" spans="1:6">
      <c r="A101" s="2" t="str">
        <f>M電入力!C102&amp;";"</f>
        <v>;</v>
      </c>
      <c r="B101" s="2" t="str">
        <f t="shared" si="1"/>
        <v>$dis=distance;$dis-500;</v>
      </c>
      <c r="C101" s="2" t="str">
        <f>"Beacon.Put(30,0,"&amp;IF(M電入力!K102="pass",-1,500)&amp;");"</f>
        <v>Beacon.Put(30,0,500);</v>
      </c>
      <c r="D101" s="2" t="str">
        <f>"Beacon.Put(105,0,"&amp;IF(M電入力!K102="PASS","-498","498")&amp;");"</f>
        <v>Beacon.Put(105,0,498);</v>
      </c>
      <c r="E101" s="2" t="str">
        <f>"Beacon.Put(106,0,"&amp;M電入力!AC102&amp;");"</f>
        <v>Beacon.Put(106,0,000000);</v>
      </c>
      <c r="F101" s="2" t="str">
        <f>"Beacon.Put(107,0,"&amp;M電入力!AD102&amp;");"</f>
        <v>Beacon.Put(107,0,000000);</v>
      </c>
    </row>
    <row r="102" spans="1:6">
      <c r="A102" s="2" t="str">
        <f>M電入力!C103&amp;";"</f>
        <v>;</v>
      </c>
      <c r="B102" s="2" t="str">
        <f t="shared" si="1"/>
        <v>$dis=distance;$dis-500;</v>
      </c>
      <c r="C102" s="2" t="str">
        <f>"Beacon.Put(30,0,"&amp;IF(M電入力!K103="pass",-1,500)&amp;");"</f>
        <v>Beacon.Put(30,0,500);</v>
      </c>
      <c r="D102" s="2" t="str">
        <f>"Beacon.Put(105,0,"&amp;IF(M電入力!K103="PASS","-498","498")&amp;");"</f>
        <v>Beacon.Put(105,0,498);</v>
      </c>
      <c r="E102" s="2" t="str">
        <f>"Beacon.Put(106,0,"&amp;M電入力!AC103&amp;");"</f>
        <v>Beacon.Put(106,0,000000);</v>
      </c>
      <c r="F102" s="2" t="str">
        <f>"Beacon.Put(107,0,"&amp;M電入力!AD103&amp;");"</f>
        <v>Beacon.Put(107,0,000000);</v>
      </c>
    </row>
  </sheetData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959A64-C614-4337-B5E8-3DECA8955FBE}">
  <dimension ref="A1:S102"/>
  <sheetViews>
    <sheetView workbookViewId="0"/>
  </sheetViews>
  <sheetFormatPr defaultRowHeight="14.4"/>
  <cols>
    <col min="1" max="1" width="10.88671875" customWidth="1"/>
    <col min="2" max="3" width="20.109375" bestFit="1" customWidth="1"/>
    <col min="4" max="4" width="22" bestFit="1" customWidth="1"/>
    <col min="5" max="13" width="20.109375" bestFit="1" customWidth="1"/>
    <col min="14" max="19" width="22.21875" bestFit="1" customWidth="1"/>
  </cols>
  <sheetData>
    <row r="1" spans="1:19">
      <c r="A1" t="s">
        <v>61</v>
      </c>
    </row>
    <row r="2" spans="1:19">
      <c r="A2" t="s">
        <v>38</v>
      </c>
    </row>
    <row r="3" spans="1:19">
      <c r="A3" t="str">
        <f>M電入力!C4&amp;";"</f>
        <v>3790;</v>
      </c>
      <c r="B3" t="str">
        <f>"Beacon.Put(114,0,1"&amp;TEXT(M電入力!$H4,"00")&amp;");"</f>
        <v>Beacon.Put(114,0,100);</v>
      </c>
      <c r="C3" t="str">
        <f>"Beacon.Put(114,0,2"&amp;TEXT(M電入力!$H5,"00")&amp;");"</f>
        <v>Beacon.Put(114,0,200);</v>
      </c>
      <c r="D3" t="str">
        <f>"Beacon.Put(114,0,3"&amp;TEXT(M電入力!$H6,"00")&amp;");"</f>
        <v>Beacon.Put(114,0,300);</v>
      </c>
      <c r="E3" t="str">
        <f>"Beacon.Put(114,0,4"&amp;TEXT(M電入力!$H7,"00")&amp;");"</f>
        <v>Beacon.Put(114,0,400);</v>
      </c>
      <c r="F3" t="str">
        <f>"Beacon.Put(114,0,5"&amp;TEXT(M電入力!$H8,"00")&amp;");"</f>
        <v>Beacon.Put(114,0,500);</v>
      </c>
      <c r="G3" t="str">
        <f>"Beacon.Put(114,0,6"&amp;TEXT(M電入力!$H9,"00")&amp;");"</f>
        <v>Beacon.Put(114,0,600);</v>
      </c>
      <c r="H3" t="str">
        <f>"Beacon.Put(115,0,1"&amp;TEXT(M電入力!$I4,"00")&amp;");"</f>
        <v>Beacon.Put(115,0,130);</v>
      </c>
      <c r="I3" t="str">
        <f>"Beacon.Put(115,0,2"&amp;TEXT(M電入力!$I5,"00")&amp;");"</f>
        <v>Beacon.Put(115,0,260);</v>
      </c>
      <c r="J3" t="str">
        <f>"Beacon.Put(115,0,3"&amp;TEXT(M電入力!$I6,"00")&amp;");"</f>
        <v>Beacon.Put(115,0,300);</v>
      </c>
      <c r="K3" t="str">
        <f>"Beacon.Put(115,0,4"&amp;TEXT(M電入力!$I7,"00")&amp;");"</f>
        <v>Beacon.Put(115,0,400);</v>
      </c>
      <c r="L3" t="str">
        <f>"Beacon.Put(115,0,5"&amp;TEXT(M電入力!$I8,"00")&amp;");"</f>
        <v>Beacon.Put(115,0,500);</v>
      </c>
      <c r="M3" t="str">
        <f>"Beacon.Put(115,0,6"&amp;TEXT(M電入力!$I9,"00")&amp;");"</f>
        <v>Beacon.Put(115,0,600);</v>
      </c>
      <c r="N3" t="str">
        <f>"Beacon.Put(116,0,1"&amp;M電入力!$AE4&amp;");"</f>
        <v>Beacon.Put(116,0,10330);</v>
      </c>
      <c r="O3" t="str">
        <f>"Beacon.Put(116,0,2"&amp;M電入力!$AE5&amp;");"</f>
        <v>Beacon.Put(116,0,20115);</v>
      </c>
      <c r="P3" t="str">
        <f>"Beacon.Put(116,0,3"&amp;M電入力!$AE6&amp;");"</f>
        <v>Beacon.Put(116,0,30415);</v>
      </c>
      <c r="Q3" t="str">
        <f>"Beacon.Put(116,0,4"&amp;M電入力!$AE7&amp;");"</f>
        <v>Beacon.Put(116,0,40200);</v>
      </c>
      <c r="R3" t="str">
        <f>"Beacon.Put(116,0,5"&amp;M電入力!$AE8&amp;");"</f>
        <v>Beacon.Put(116,0,50615);</v>
      </c>
      <c r="S3" t="str">
        <f>"Beacon.Put(116,0,6"&amp;M電入力!$AE9&amp;");"</f>
        <v>Beacon.Put(116,0,60315);</v>
      </c>
    </row>
    <row r="4" spans="1:19">
      <c r="A4" t="str">
        <f>M電入力!C5&amp;"+25;"</f>
        <v>6875+25;</v>
      </c>
      <c r="B4" t="str">
        <f>"Beacon.Put(114,0,1"&amp;TEXT(M電入力!$H5,"00")&amp;");"</f>
        <v>Beacon.Put(114,0,100);</v>
      </c>
      <c r="C4" t="str">
        <f>"Beacon.Put(114,0,2"&amp;TEXT(M電入力!$H6,"00")&amp;");"</f>
        <v>Beacon.Put(114,0,200);</v>
      </c>
      <c r="D4" t="str">
        <f>"Beacon.Put(114,0,3"&amp;TEXT(M電入力!$H7,"00")&amp;");"</f>
        <v>Beacon.Put(114,0,300);</v>
      </c>
      <c r="E4" t="str">
        <f>"Beacon.Put(114,0,4"&amp;TEXT(M電入力!$H8,"00")&amp;");"</f>
        <v>Beacon.Put(114,0,400);</v>
      </c>
      <c r="F4" t="str">
        <f>"Beacon.Put(114,0,5"&amp;TEXT(M電入力!$H9,"00")&amp;");"</f>
        <v>Beacon.Put(114,0,500);</v>
      </c>
      <c r="G4" t="str">
        <f>"Beacon.Put(114,0,6"&amp;TEXT(M電入力!$H10,"00")&amp;");"</f>
        <v>Beacon.Put(114,0,600);</v>
      </c>
      <c r="H4" t="str">
        <f>"Beacon.Put(115,0,1"&amp;TEXT(M電入力!$I5,"00")&amp;");"</f>
        <v>Beacon.Put(115,0,160);</v>
      </c>
      <c r="I4" t="str">
        <f>"Beacon.Put(115,0,2"&amp;TEXT(M電入力!$I6,"00")&amp;");"</f>
        <v>Beacon.Put(115,0,200);</v>
      </c>
      <c r="J4" t="str">
        <f>"Beacon.Put(115,0,3"&amp;TEXT(M電入力!$I7,"00")&amp;");"</f>
        <v>Beacon.Put(115,0,300);</v>
      </c>
      <c r="K4" t="str">
        <f>"Beacon.Put(115,0,4"&amp;TEXT(M電入力!$I8,"00")&amp;");"</f>
        <v>Beacon.Put(115,0,400);</v>
      </c>
      <c r="L4" t="str">
        <f>"Beacon.Put(115,0,5"&amp;TEXT(M電入力!$I9,"00")&amp;");"</f>
        <v>Beacon.Put(115,0,500);</v>
      </c>
      <c r="M4" t="str">
        <f>"Beacon.Put(115,0,6"&amp;TEXT(M電入力!$I10,"00")&amp;");"</f>
        <v>Beacon.Put(115,0,600);</v>
      </c>
      <c r="N4" t="str">
        <f>"Beacon.Put(116,0,1"&amp;M電入力!$AE5&amp;");"</f>
        <v>Beacon.Put(116,0,10115);</v>
      </c>
      <c r="O4" t="str">
        <f>"Beacon.Put(116,0,2"&amp;M電入力!$AE6&amp;");"</f>
        <v>Beacon.Put(116,0,20415);</v>
      </c>
      <c r="P4" t="str">
        <f>"Beacon.Put(116,0,3"&amp;M電入力!$AE7&amp;");"</f>
        <v>Beacon.Put(116,0,30200);</v>
      </c>
      <c r="Q4" t="str">
        <f>"Beacon.Put(116,0,4"&amp;M電入力!$AE8&amp;");"</f>
        <v>Beacon.Put(116,0,40615);</v>
      </c>
      <c r="R4" t="str">
        <f>"Beacon.Put(116,0,5"&amp;M電入力!$AE9&amp;");"</f>
        <v>Beacon.Put(116,0,50315);</v>
      </c>
      <c r="S4" t="str">
        <f>"Beacon.Put(116,0,6"&amp;M電入力!$AE10&amp;");"</f>
        <v>Beacon.Put(116,0,60215);</v>
      </c>
    </row>
    <row r="5" spans="1:19">
      <c r="A5" t="str">
        <f>M電入力!C6&amp;"+25;"</f>
        <v>8460+25;</v>
      </c>
      <c r="B5" t="str">
        <f>"Beacon.Put(114,0,1"&amp;TEXT(M電入力!$H6,"00")&amp;");"</f>
        <v>Beacon.Put(114,0,100);</v>
      </c>
      <c r="C5" t="str">
        <f>"Beacon.Put(114,0,2"&amp;TEXT(M電入力!$H7,"00")&amp;");"</f>
        <v>Beacon.Put(114,0,200);</v>
      </c>
      <c r="D5" t="str">
        <f>"Beacon.Put(114,0,3"&amp;TEXT(M電入力!$H8,"00")&amp;");"</f>
        <v>Beacon.Put(114,0,300);</v>
      </c>
      <c r="E5" t="str">
        <f>"Beacon.Put(114,0,4"&amp;TEXT(M電入力!$H9,"00")&amp;");"</f>
        <v>Beacon.Put(114,0,400);</v>
      </c>
      <c r="F5" t="str">
        <f>"Beacon.Put(114,0,5"&amp;TEXT(M電入力!$H10,"00")&amp;");"</f>
        <v>Beacon.Put(114,0,500);</v>
      </c>
      <c r="G5" t="str">
        <f>"Beacon.Put(114,0,6"&amp;TEXT(M電入力!$H11,"00")&amp;");"</f>
        <v>Beacon.Put(114,0,645);</v>
      </c>
      <c r="H5" t="str">
        <f>"Beacon.Put(115,0,1"&amp;TEXT(M電入力!$I6,"00")&amp;");"</f>
        <v>Beacon.Put(115,0,100);</v>
      </c>
      <c r="I5" t="str">
        <f>"Beacon.Put(115,0,2"&amp;TEXT(M電入力!$I7,"00")&amp;");"</f>
        <v>Beacon.Put(115,0,200);</v>
      </c>
      <c r="J5" t="str">
        <f>"Beacon.Put(115,0,3"&amp;TEXT(M電入力!$I8,"00")&amp;");"</f>
        <v>Beacon.Put(115,0,300);</v>
      </c>
      <c r="K5" t="str">
        <f>"Beacon.Put(115,0,4"&amp;TEXT(M電入力!$I9,"00")&amp;");"</f>
        <v>Beacon.Put(115,0,400);</v>
      </c>
      <c r="L5" t="str">
        <f>"Beacon.Put(115,0,5"&amp;TEXT(M電入力!$I10,"00")&amp;");"</f>
        <v>Beacon.Put(115,0,500);</v>
      </c>
      <c r="M5" t="str">
        <f>"Beacon.Put(115,0,6"&amp;TEXT(M電入力!$I11,"00")&amp;");"</f>
        <v>Beacon.Put(115,0,600);</v>
      </c>
      <c r="N5" t="str">
        <f>"Beacon.Put(116,0,1"&amp;M電入力!$AE6&amp;");"</f>
        <v>Beacon.Put(116,0,10415);</v>
      </c>
      <c r="O5" t="str">
        <f>"Beacon.Put(116,0,2"&amp;M電入力!$AE7&amp;");"</f>
        <v>Beacon.Put(116,0,20200);</v>
      </c>
      <c r="P5" t="str">
        <f>"Beacon.Put(116,0,3"&amp;M電入力!$AE8&amp;");"</f>
        <v>Beacon.Put(116,0,30615);</v>
      </c>
      <c r="Q5" t="str">
        <f>"Beacon.Put(116,0,4"&amp;M電入力!$AE9&amp;");"</f>
        <v>Beacon.Put(116,0,40315);</v>
      </c>
      <c r="R5" t="str">
        <f>"Beacon.Put(116,0,5"&amp;M電入力!$AE10&amp;");"</f>
        <v>Beacon.Put(116,0,50215);</v>
      </c>
      <c r="S5" t="str">
        <f>"Beacon.Put(116,0,6"&amp;M電入力!$AE11&amp;");"</f>
        <v>Beacon.Put(116,0,60245);</v>
      </c>
    </row>
    <row r="6" spans="1:19">
      <c r="A6" t="str">
        <f>M電入力!C7&amp;"+25;"</f>
        <v>13240+25;</v>
      </c>
      <c r="B6" t="str">
        <f>"Beacon.Put(114,0,1"&amp;TEXT(M電入力!$H7,"00")&amp;");"</f>
        <v>Beacon.Put(114,0,100);</v>
      </c>
      <c r="C6" t="str">
        <f>"Beacon.Put(114,0,2"&amp;TEXT(M電入力!$H8,"00")&amp;");"</f>
        <v>Beacon.Put(114,0,200);</v>
      </c>
      <c r="D6" t="str">
        <f>"Beacon.Put(114,0,3"&amp;TEXT(M電入力!$H9,"00")&amp;");"</f>
        <v>Beacon.Put(114,0,300);</v>
      </c>
      <c r="E6" t="str">
        <f>"Beacon.Put(114,0,4"&amp;TEXT(M電入力!$H10,"00")&amp;");"</f>
        <v>Beacon.Put(114,0,400);</v>
      </c>
      <c r="F6" t="str">
        <f>"Beacon.Put(114,0,5"&amp;TEXT(M電入力!$H11,"00")&amp;");"</f>
        <v>Beacon.Put(114,0,545);</v>
      </c>
      <c r="G6" t="str">
        <f>"Beacon.Put(114,0,6"&amp;TEXT(M電入力!$H12,"00")&amp;");"</f>
        <v>Beacon.Put(114,0,600);</v>
      </c>
      <c r="H6" t="str">
        <f>"Beacon.Put(115,0,1"&amp;TEXT(M電入力!$I7,"00")&amp;");"</f>
        <v>Beacon.Put(115,0,100);</v>
      </c>
      <c r="I6" t="str">
        <f>"Beacon.Put(115,0,2"&amp;TEXT(M電入力!$I8,"00")&amp;");"</f>
        <v>Beacon.Put(115,0,200);</v>
      </c>
      <c r="J6" t="str">
        <f>"Beacon.Put(115,0,3"&amp;TEXT(M電入力!$I9,"00")&amp;");"</f>
        <v>Beacon.Put(115,0,300);</v>
      </c>
      <c r="K6" t="str">
        <f>"Beacon.Put(115,0,4"&amp;TEXT(M電入力!$I10,"00")&amp;");"</f>
        <v>Beacon.Put(115,0,400);</v>
      </c>
      <c r="L6" t="str">
        <f>"Beacon.Put(115,0,5"&amp;TEXT(M電入力!$I11,"00")&amp;");"</f>
        <v>Beacon.Put(115,0,500);</v>
      </c>
      <c r="M6" t="str">
        <f>"Beacon.Put(115,0,6"&amp;TEXT(M電入力!$I12,"00")&amp;");"</f>
        <v>Beacon.Put(115,0,600);</v>
      </c>
      <c r="N6" t="str">
        <f>"Beacon.Put(116,0,1"&amp;M電入力!$AE7&amp;");"</f>
        <v>Beacon.Put(116,0,10200);</v>
      </c>
      <c r="O6" t="str">
        <f>"Beacon.Put(116,0,2"&amp;M電入力!$AE8&amp;");"</f>
        <v>Beacon.Put(116,0,20615);</v>
      </c>
      <c r="P6" t="str">
        <f>"Beacon.Put(116,0,3"&amp;M電入力!$AE9&amp;");"</f>
        <v>Beacon.Put(116,0,30315);</v>
      </c>
      <c r="Q6" t="str">
        <f>"Beacon.Put(116,0,4"&amp;M電入力!$AE10&amp;");"</f>
        <v>Beacon.Put(116,0,40215);</v>
      </c>
      <c r="R6" t="str">
        <f>"Beacon.Put(116,0,5"&amp;M電入力!$AE11&amp;");"</f>
        <v>Beacon.Put(116,0,50245);</v>
      </c>
      <c r="S6" t="str">
        <f>"Beacon.Put(116,0,6"&amp;M電入力!$AE12&amp;");"</f>
        <v>Beacon.Put(116,0,60130);</v>
      </c>
    </row>
    <row r="7" spans="1:19">
      <c r="A7" t="str">
        <f>M電入力!C8&amp;"+25;"</f>
        <v>15880+25;</v>
      </c>
      <c r="B7" t="str">
        <f>"Beacon.Put(114,0,1"&amp;TEXT(M電入力!$H8,"00")&amp;");"</f>
        <v>Beacon.Put(114,0,100);</v>
      </c>
      <c r="C7" t="str">
        <f>"Beacon.Put(114,0,2"&amp;TEXT(M電入力!$H9,"00")&amp;");"</f>
        <v>Beacon.Put(114,0,200);</v>
      </c>
      <c r="D7" t="str">
        <f>"Beacon.Put(114,0,3"&amp;TEXT(M電入力!$H10,"00")&amp;");"</f>
        <v>Beacon.Put(114,0,300);</v>
      </c>
      <c r="E7" t="str">
        <f>"Beacon.Put(114,0,4"&amp;TEXT(M電入力!$H11,"00")&amp;");"</f>
        <v>Beacon.Put(114,0,445);</v>
      </c>
      <c r="F7" t="str">
        <f>"Beacon.Put(114,0,5"&amp;TEXT(M電入力!$H12,"00")&amp;");"</f>
        <v>Beacon.Put(114,0,500);</v>
      </c>
      <c r="G7" t="str">
        <f>"Beacon.Put(114,0,6"&amp;TEXT(M電入力!$H13,"00")&amp;");"</f>
        <v>Beacon.Put(114,0,600);</v>
      </c>
      <c r="H7" t="str">
        <f>"Beacon.Put(115,0,1"&amp;TEXT(M電入力!$I8,"00")&amp;");"</f>
        <v>Beacon.Put(115,0,100);</v>
      </c>
      <c r="I7" t="str">
        <f>"Beacon.Put(115,0,2"&amp;TEXT(M電入力!$I9,"00")&amp;");"</f>
        <v>Beacon.Put(115,0,200);</v>
      </c>
      <c r="J7" t="str">
        <f>"Beacon.Put(115,0,3"&amp;TEXT(M電入力!$I10,"00")&amp;");"</f>
        <v>Beacon.Put(115,0,300);</v>
      </c>
      <c r="K7" t="str">
        <f>"Beacon.Put(115,0,4"&amp;TEXT(M電入力!$I11,"00")&amp;");"</f>
        <v>Beacon.Put(115,0,400);</v>
      </c>
      <c r="L7" t="str">
        <f>"Beacon.Put(115,0,5"&amp;TEXT(M電入力!$I12,"00")&amp;");"</f>
        <v>Beacon.Put(115,0,500);</v>
      </c>
      <c r="M7" t="str">
        <f>"Beacon.Put(115,0,6"&amp;TEXT(M電入力!$I13,"00")&amp;");"</f>
        <v>Beacon.Put(115,0,600);</v>
      </c>
      <c r="N7" t="str">
        <f>"Beacon.Put(116,0,1"&amp;M電入力!$AE8&amp;");"</f>
        <v>Beacon.Put(116,0,10615);</v>
      </c>
      <c r="O7" t="str">
        <f>"Beacon.Put(116,0,2"&amp;M電入力!$AE9&amp;");"</f>
        <v>Beacon.Put(116,0,20315);</v>
      </c>
      <c r="P7" t="str">
        <f>"Beacon.Put(116,0,3"&amp;M電入力!$AE10&amp;");"</f>
        <v>Beacon.Put(116,0,30215);</v>
      </c>
      <c r="Q7" t="str">
        <f>"Beacon.Put(116,0,4"&amp;M電入力!$AE11&amp;");"</f>
        <v>Beacon.Put(116,0,40245);</v>
      </c>
      <c r="R7" t="str">
        <f>"Beacon.Put(116,0,5"&amp;M電入力!$AE12&amp;");"</f>
        <v>Beacon.Put(116,0,50130);</v>
      </c>
      <c r="S7" t="str">
        <f>"Beacon.Put(116,0,6"&amp;M電入力!$AE13&amp;");"</f>
        <v>Beacon.Put(116,0,60230);</v>
      </c>
    </row>
    <row r="8" spans="1:19">
      <c r="A8" t="str">
        <f>M電入力!C9&amp;"+25;"</f>
        <v>24240+25;</v>
      </c>
      <c r="B8" t="str">
        <f>"Beacon.Put(114,0,1"&amp;TEXT(M電入力!$H9,"00")&amp;");"</f>
        <v>Beacon.Put(114,0,100);</v>
      </c>
      <c r="C8" t="str">
        <f>"Beacon.Put(114,0,2"&amp;TEXT(M電入力!$H10,"00")&amp;");"</f>
        <v>Beacon.Put(114,0,200);</v>
      </c>
      <c r="D8" t="str">
        <f>"Beacon.Put(114,0,3"&amp;TEXT(M電入力!$H11,"00")&amp;");"</f>
        <v>Beacon.Put(114,0,345);</v>
      </c>
      <c r="E8" t="str">
        <f>"Beacon.Put(114,0,4"&amp;TEXT(M電入力!$H12,"00")&amp;");"</f>
        <v>Beacon.Put(114,0,400);</v>
      </c>
      <c r="F8" t="str">
        <f>"Beacon.Put(114,0,5"&amp;TEXT(M電入力!$H13,"00")&amp;");"</f>
        <v>Beacon.Put(114,0,500);</v>
      </c>
      <c r="G8" t="str">
        <f>"Beacon.Put(114,0,6"&amp;TEXT(M電入力!$H14,"00")&amp;");"</f>
        <v>Beacon.Put(114,0,600);</v>
      </c>
      <c r="H8" t="str">
        <f>"Beacon.Put(115,0,1"&amp;TEXT(M電入力!$I9,"00")&amp;");"</f>
        <v>Beacon.Put(115,0,100);</v>
      </c>
      <c r="I8" t="str">
        <f>"Beacon.Put(115,0,2"&amp;TEXT(M電入力!$I10,"00")&amp;");"</f>
        <v>Beacon.Put(115,0,200);</v>
      </c>
      <c r="J8" t="str">
        <f>"Beacon.Put(115,0,3"&amp;TEXT(M電入力!$I11,"00")&amp;");"</f>
        <v>Beacon.Put(115,0,300);</v>
      </c>
      <c r="K8" t="str">
        <f>"Beacon.Put(115,0,4"&amp;TEXT(M電入力!$I12,"00")&amp;");"</f>
        <v>Beacon.Put(115,0,400);</v>
      </c>
      <c r="L8" t="str">
        <f>"Beacon.Put(115,0,5"&amp;TEXT(M電入力!$I13,"00")&amp;");"</f>
        <v>Beacon.Put(115,0,500);</v>
      </c>
      <c r="M8" t="str">
        <f>"Beacon.Put(115,0,6"&amp;TEXT(M電入力!$I14,"00")&amp;");"</f>
        <v>Beacon.Put(115,0,600);</v>
      </c>
      <c r="N8" t="str">
        <f>"Beacon.Put(116,0,1"&amp;M電入力!$AE9&amp;");"</f>
        <v>Beacon.Put(116,0,10315);</v>
      </c>
      <c r="O8" t="str">
        <f>"Beacon.Put(116,0,2"&amp;M電入力!$AE10&amp;");"</f>
        <v>Beacon.Put(116,0,20215);</v>
      </c>
      <c r="P8" t="str">
        <f>"Beacon.Put(116,0,3"&amp;M電入力!$AE11&amp;");"</f>
        <v>Beacon.Put(116,0,30245);</v>
      </c>
      <c r="Q8" t="str">
        <f>"Beacon.Put(116,0,4"&amp;M電入力!$AE12&amp;");"</f>
        <v>Beacon.Put(116,0,40130);</v>
      </c>
      <c r="R8" t="str">
        <f>"Beacon.Put(116,0,5"&amp;M電入力!$AE13&amp;");"</f>
        <v>Beacon.Put(116,0,50230);</v>
      </c>
      <c r="S8" t="str">
        <f>"Beacon.Put(116,0,6"&amp;M電入力!$AE14&amp;");"</f>
        <v>Beacon.Put(116,0,60300);</v>
      </c>
    </row>
    <row r="9" spans="1:19">
      <c r="A9" t="str">
        <f>M電入力!C10&amp;"+25;"</f>
        <v>28915+25;</v>
      </c>
      <c r="B9" t="str">
        <f>"Beacon.Put(114,0,1"&amp;TEXT(M電入力!$H10,"00")&amp;");"</f>
        <v>Beacon.Put(114,0,100);</v>
      </c>
      <c r="C9" t="str">
        <f>"Beacon.Put(114,0,2"&amp;TEXT(M電入力!$H11,"00")&amp;");"</f>
        <v>Beacon.Put(114,0,245);</v>
      </c>
      <c r="D9" t="str">
        <f>"Beacon.Put(114,0,3"&amp;TEXT(M電入力!$H12,"00")&amp;");"</f>
        <v>Beacon.Put(114,0,300);</v>
      </c>
      <c r="E9" t="str">
        <f>"Beacon.Put(114,0,4"&amp;TEXT(M電入力!$H13,"00")&amp;");"</f>
        <v>Beacon.Put(114,0,400);</v>
      </c>
      <c r="F9" t="str">
        <f>"Beacon.Put(114,0,5"&amp;TEXT(M電入力!$H14,"00")&amp;");"</f>
        <v>Beacon.Put(114,0,500);</v>
      </c>
      <c r="G9" t="str">
        <f>"Beacon.Put(114,0,6"&amp;TEXT(M電入力!$H15,"00")&amp;");"</f>
        <v>Beacon.Put(114,0,600);</v>
      </c>
      <c r="H9" t="str">
        <f>"Beacon.Put(115,0,1"&amp;TEXT(M電入力!$I10,"00")&amp;");"</f>
        <v>Beacon.Put(115,0,100);</v>
      </c>
      <c r="I9" t="str">
        <f>"Beacon.Put(115,0,2"&amp;TEXT(M電入力!$I11,"00")&amp;");"</f>
        <v>Beacon.Put(115,0,200);</v>
      </c>
      <c r="J9" t="str">
        <f>"Beacon.Put(115,0,3"&amp;TEXT(M電入力!$I12,"00")&amp;");"</f>
        <v>Beacon.Put(115,0,300);</v>
      </c>
      <c r="K9" t="str">
        <f>"Beacon.Put(115,0,4"&amp;TEXT(M電入力!$I13,"00")&amp;");"</f>
        <v>Beacon.Put(115,0,400);</v>
      </c>
      <c r="L9" t="str">
        <f>"Beacon.Put(115,0,5"&amp;TEXT(M電入力!$I14,"00")&amp;");"</f>
        <v>Beacon.Put(115,0,500);</v>
      </c>
      <c r="M9" t="str">
        <f>"Beacon.Put(115,0,6"&amp;TEXT(M電入力!$I15,"00")&amp;");"</f>
        <v>Beacon.Put(115,0,600);</v>
      </c>
      <c r="N9" t="str">
        <f>"Beacon.Put(116,0,1"&amp;M電入力!$AE10&amp;");"</f>
        <v>Beacon.Put(116,0,10215);</v>
      </c>
      <c r="O9" t="str">
        <f>"Beacon.Put(116,0,2"&amp;M電入力!$AE11&amp;");"</f>
        <v>Beacon.Put(116,0,20245);</v>
      </c>
      <c r="P9" t="str">
        <f>"Beacon.Put(116,0,3"&amp;M電入力!$AE12&amp;");"</f>
        <v>Beacon.Put(116,0,30130);</v>
      </c>
      <c r="Q9" t="str">
        <f>"Beacon.Put(116,0,4"&amp;M電入力!$AE13&amp;");"</f>
        <v>Beacon.Put(116,0,40230);</v>
      </c>
      <c r="R9" t="str">
        <f>"Beacon.Put(116,0,5"&amp;M電入力!$AE14&amp;");"</f>
        <v>Beacon.Put(116,0,50300);</v>
      </c>
      <c r="S9" t="str">
        <f>"Beacon.Put(116,0,6"&amp;M電入力!$AE15&amp;");"</f>
        <v>Beacon.Put(116,0,60130);</v>
      </c>
    </row>
    <row r="10" spans="1:19">
      <c r="A10" t="str">
        <f>M電入力!C11&amp;"+25;"</f>
        <v>30560+25;</v>
      </c>
      <c r="B10" t="str">
        <f>"Beacon.Put(114,0,1"&amp;TEXT(M電入力!$H11,"00")&amp;");"</f>
        <v>Beacon.Put(114,0,145);</v>
      </c>
      <c r="C10" t="str">
        <f>"Beacon.Put(114,0,2"&amp;TEXT(M電入力!$H12,"00")&amp;");"</f>
        <v>Beacon.Put(114,0,200);</v>
      </c>
      <c r="D10" t="str">
        <f>"Beacon.Put(114,0,3"&amp;TEXT(M電入力!$H13,"00")&amp;");"</f>
        <v>Beacon.Put(114,0,300);</v>
      </c>
      <c r="E10" t="str">
        <f>"Beacon.Put(114,0,4"&amp;TEXT(M電入力!$H14,"00")&amp;");"</f>
        <v>Beacon.Put(114,0,400);</v>
      </c>
      <c r="F10" t="str">
        <f>"Beacon.Put(114,0,5"&amp;TEXT(M電入力!$H15,"00")&amp;");"</f>
        <v>Beacon.Put(114,0,500);</v>
      </c>
      <c r="G10" t="str">
        <f>"Beacon.Put(114,0,6"&amp;TEXT(M電入力!$H16,"00")&amp;");"</f>
        <v>Beacon.Put(114,0,600);</v>
      </c>
      <c r="H10" t="str">
        <f>"Beacon.Put(115,0,1"&amp;TEXT(M電入力!$I11,"00")&amp;");"</f>
        <v>Beacon.Put(115,0,100);</v>
      </c>
      <c r="I10" t="str">
        <f>"Beacon.Put(115,0,2"&amp;TEXT(M電入力!$I12,"00")&amp;");"</f>
        <v>Beacon.Put(115,0,200);</v>
      </c>
      <c r="J10" t="str">
        <f>"Beacon.Put(115,0,3"&amp;TEXT(M電入力!$I13,"00")&amp;");"</f>
        <v>Beacon.Put(115,0,300);</v>
      </c>
      <c r="K10" t="str">
        <f>"Beacon.Put(115,0,4"&amp;TEXT(M電入力!$I14,"00")&amp;");"</f>
        <v>Beacon.Put(115,0,400);</v>
      </c>
      <c r="L10" t="str">
        <f>"Beacon.Put(115,0,5"&amp;TEXT(M電入力!$I15,"00")&amp;");"</f>
        <v>Beacon.Put(115,0,500);</v>
      </c>
      <c r="M10" t="str">
        <f>"Beacon.Put(115,0,6"&amp;TEXT(M電入力!$I16,"00")&amp;");"</f>
        <v>Beacon.Put(115,0,600);</v>
      </c>
      <c r="N10" t="str">
        <f>"Beacon.Put(116,0,1"&amp;M電入力!$AE11&amp;");"</f>
        <v>Beacon.Put(116,0,10245);</v>
      </c>
      <c r="O10" t="str">
        <f>"Beacon.Put(116,0,2"&amp;M電入力!$AE12&amp;");"</f>
        <v>Beacon.Put(116,0,20130);</v>
      </c>
      <c r="P10" t="str">
        <f>"Beacon.Put(116,0,3"&amp;M電入力!$AE13&amp;");"</f>
        <v>Beacon.Put(116,0,30230);</v>
      </c>
      <c r="Q10" t="str">
        <f>"Beacon.Put(116,0,4"&amp;M電入力!$AE14&amp;");"</f>
        <v>Beacon.Put(116,0,40300);</v>
      </c>
      <c r="R10" t="str">
        <f>"Beacon.Put(116,0,5"&amp;M電入力!$AE15&amp;");"</f>
        <v>Beacon.Put(116,0,50130);</v>
      </c>
      <c r="S10" t="str">
        <f>"Beacon.Put(116,0,6"&amp;M電入力!$AE16&amp;");"</f>
        <v>Beacon.Put(116,0,60215);</v>
      </c>
    </row>
    <row r="11" spans="1:19">
      <c r="A11" t="str">
        <f>M電入力!C12&amp;"+25;"</f>
        <v>33570+25;</v>
      </c>
      <c r="B11" t="str">
        <f>"Beacon.Put(114,0,1"&amp;TEXT(M電入力!$H12,"00")&amp;");"</f>
        <v>Beacon.Put(114,0,100);</v>
      </c>
      <c r="C11" t="str">
        <f>"Beacon.Put(114,0,2"&amp;TEXT(M電入力!$H13,"00")&amp;");"</f>
        <v>Beacon.Put(114,0,200);</v>
      </c>
      <c r="D11" t="str">
        <f>"Beacon.Put(114,0,3"&amp;TEXT(M電入力!$H14,"00")&amp;");"</f>
        <v>Beacon.Put(114,0,300);</v>
      </c>
      <c r="E11" t="str">
        <f>"Beacon.Put(114,0,4"&amp;TEXT(M電入力!$H15,"00")&amp;");"</f>
        <v>Beacon.Put(114,0,400);</v>
      </c>
      <c r="F11" t="str">
        <f>"Beacon.Put(114,0,5"&amp;TEXT(M電入力!$H16,"00")&amp;");"</f>
        <v>Beacon.Put(114,0,500);</v>
      </c>
      <c r="G11" t="str">
        <f>"Beacon.Put(114,0,6"&amp;TEXT(M電入力!$H17,"00")&amp;");"</f>
        <v>Beacon.Put(114,0,685);</v>
      </c>
      <c r="H11" t="str">
        <f>"Beacon.Put(115,0,1"&amp;TEXT(M電入力!$I12,"00")&amp;");"</f>
        <v>Beacon.Put(115,0,100);</v>
      </c>
      <c r="I11" t="str">
        <f>"Beacon.Put(115,0,2"&amp;TEXT(M電入力!$I13,"00")&amp;");"</f>
        <v>Beacon.Put(115,0,200);</v>
      </c>
      <c r="J11" t="str">
        <f>"Beacon.Put(115,0,3"&amp;TEXT(M電入力!$I14,"00")&amp;");"</f>
        <v>Beacon.Put(115,0,300);</v>
      </c>
      <c r="K11" t="str">
        <f>"Beacon.Put(115,0,4"&amp;TEXT(M電入力!$I15,"00")&amp;");"</f>
        <v>Beacon.Put(115,0,400);</v>
      </c>
      <c r="L11" t="str">
        <f>"Beacon.Put(115,0,5"&amp;TEXT(M電入力!$I16,"00")&amp;");"</f>
        <v>Beacon.Put(115,0,500);</v>
      </c>
      <c r="M11" t="str">
        <f>"Beacon.Put(115,0,6"&amp;TEXT(M電入力!$I17,"00")&amp;");"</f>
        <v>Beacon.Put(115,0,685);</v>
      </c>
      <c r="N11" t="str">
        <f>"Beacon.Put(116,0,1"&amp;M電入力!$AE12&amp;");"</f>
        <v>Beacon.Put(116,0,10130);</v>
      </c>
      <c r="O11" t="str">
        <f>"Beacon.Put(116,0,2"&amp;M電入力!$AE13&amp;");"</f>
        <v>Beacon.Put(116,0,20230);</v>
      </c>
      <c r="P11" t="str">
        <f>"Beacon.Put(116,0,3"&amp;M電入力!$AE14&amp;");"</f>
        <v>Beacon.Put(116,0,30300);</v>
      </c>
      <c r="Q11" t="str">
        <f>"Beacon.Put(116,0,4"&amp;M電入力!$AE15&amp;");"</f>
        <v>Beacon.Put(116,0,40130);</v>
      </c>
      <c r="R11" t="str">
        <f>"Beacon.Put(116,0,5"&amp;M電入力!$AE16&amp;");"</f>
        <v>Beacon.Put(116,0,50215);</v>
      </c>
      <c r="S11" t="str">
        <f>"Beacon.Put(116,0,6"&amp;M電入力!$AE17&amp;");"</f>
        <v>Beacon.Put(116,0,60230);</v>
      </c>
    </row>
    <row r="12" spans="1:19">
      <c r="A12" t="str">
        <f>M電入力!C13&amp;"+25;"</f>
        <v>35668+25;</v>
      </c>
      <c r="B12" t="str">
        <f>"Beacon.Put(114,0,1"&amp;TEXT(M電入力!$H13,"00")&amp;");"</f>
        <v>Beacon.Put(114,0,100);</v>
      </c>
      <c r="C12" t="str">
        <f>"Beacon.Put(114,0,2"&amp;TEXT(M電入力!$H14,"00")&amp;");"</f>
        <v>Beacon.Put(114,0,200);</v>
      </c>
      <c r="D12" t="str">
        <f>"Beacon.Put(114,0,3"&amp;TEXT(M電入力!$H15,"00")&amp;");"</f>
        <v>Beacon.Put(114,0,300);</v>
      </c>
      <c r="E12" t="str">
        <f>"Beacon.Put(114,0,4"&amp;TEXT(M電入力!$H16,"00")&amp;");"</f>
        <v>Beacon.Put(114,0,400);</v>
      </c>
      <c r="F12" t="str">
        <f>"Beacon.Put(114,0,5"&amp;TEXT(M電入力!$H17,"00")&amp;");"</f>
        <v>Beacon.Put(114,0,585);</v>
      </c>
      <c r="G12" t="str">
        <f>"Beacon.Put(114,0,6"&amp;TEXT(M電入力!$H18,"00")&amp;");"</f>
        <v>Beacon.Put(114,0,600);</v>
      </c>
      <c r="H12" t="str">
        <f>"Beacon.Put(115,0,1"&amp;TEXT(M電入力!$I13,"00")&amp;");"</f>
        <v>Beacon.Put(115,0,100);</v>
      </c>
      <c r="I12" t="str">
        <f>"Beacon.Put(115,0,2"&amp;TEXT(M電入力!$I14,"00")&amp;");"</f>
        <v>Beacon.Put(115,0,200);</v>
      </c>
      <c r="J12" t="str">
        <f>"Beacon.Put(115,0,3"&amp;TEXT(M電入力!$I15,"00")&amp;");"</f>
        <v>Beacon.Put(115,0,300);</v>
      </c>
      <c r="K12" t="str">
        <f>"Beacon.Put(115,0,4"&amp;TEXT(M電入力!$I16,"00")&amp;");"</f>
        <v>Beacon.Put(115,0,400);</v>
      </c>
      <c r="L12" t="str">
        <f>"Beacon.Put(115,0,5"&amp;TEXT(M電入力!$I17,"00")&amp;");"</f>
        <v>Beacon.Put(115,0,585);</v>
      </c>
      <c r="M12" t="str">
        <f>"Beacon.Put(115,0,6"&amp;TEXT(M電入力!$I18,"00")&amp;");"</f>
        <v>Beacon.Put(115,0,600);</v>
      </c>
      <c r="N12" t="str">
        <f>"Beacon.Put(116,0,1"&amp;M電入力!$AE13&amp;");"</f>
        <v>Beacon.Put(116,0,10230);</v>
      </c>
      <c r="O12" t="str">
        <f>"Beacon.Put(116,0,2"&amp;M電入力!$AE14&amp;");"</f>
        <v>Beacon.Put(116,0,20300);</v>
      </c>
      <c r="P12" t="str">
        <f>"Beacon.Put(116,0,3"&amp;M電入力!$AE15&amp;");"</f>
        <v>Beacon.Put(116,0,30130);</v>
      </c>
      <c r="Q12" t="str">
        <f>"Beacon.Put(116,0,4"&amp;M電入力!$AE16&amp;");"</f>
        <v>Beacon.Put(116,0,40215);</v>
      </c>
      <c r="R12" t="str">
        <f>"Beacon.Put(116,0,5"&amp;M電入力!$AE17&amp;");"</f>
        <v>Beacon.Put(116,0,50230);</v>
      </c>
      <c r="S12" t="str">
        <f>"Beacon.Put(116,0,6"&amp;M電入力!$AE18&amp;");"</f>
        <v>Beacon.Put(116,0,60400);</v>
      </c>
    </row>
    <row r="13" spans="1:19">
      <c r="A13" t="str">
        <f>M電入力!C14&amp;"+25;"</f>
        <v>39538+25;</v>
      </c>
      <c r="B13" t="str">
        <f>"Beacon.Put(114,0,1"&amp;TEXT(M電入力!$H14,"00")&amp;");"</f>
        <v>Beacon.Put(114,0,100);</v>
      </c>
      <c r="C13" t="str">
        <f>"Beacon.Put(114,0,2"&amp;TEXT(M電入力!$H15,"00")&amp;");"</f>
        <v>Beacon.Put(114,0,200);</v>
      </c>
      <c r="D13" t="str">
        <f>"Beacon.Put(114,0,3"&amp;TEXT(M電入力!$H16,"00")&amp;");"</f>
        <v>Beacon.Put(114,0,300);</v>
      </c>
      <c r="E13" t="str">
        <f>"Beacon.Put(114,0,4"&amp;TEXT(M電入力!$H17,"00")&amp;");"</f>
        <v>Beacon.Put(114,0,485);</v>
      </c>
      <c r="F13" t="str">
        <f>"Beacon.Put(114,0,5"&amp;TEXT(M電入力!$H18,"00")&amp;");"</f>
        <v>Beacon.Put(114,0,500);</v>
      </c>
      <c r="G13" t="str">
        <f>"Beacon.Put(114,0,6"&amp;TEXT(M電入力!$H19,"00")&amp;");"</f>
        <v>Beacon.Put(114,0,600);</v>
      </c>
      <c r="H13" t="str">
        <f>"Beacon.Put(115,0,1"&amp;TEXT(M電入力!$I14,"00")&amp;");"</f>
        <v>Beacon.Put(115,0,100);</v>
      </c>
      <c r="I13" t="str">
        <f>"Beacon.Put(115,0,2"&amp;TEXT(M電入力!$I15,"00")&amp;");"</f>
        <v>Beacon.Put(115,0,200);</v>
      </c>
      <c r="J13" t="str">
        <f>"Beacon.Put(115,0,3"&amp;TEXT(M電入力!$I16,"00")&amp;");"</f>
        <v>Beacon.Put(115,0,300);</v>
      </c>
      <c r="K13" t="str">
        <f>"Beacon.Put(115,0,4"&amp;TEXT(M電入力!$I17,"00")&amp;");"</f>
        <v>Beacon.Put(115,0,485);</v>
      </c>
      <c r="L13" t="str">
        <f>"Beacon.Put(115,0,5"&amp;TEXT(M電入力!$I18,"00")&amp;");"</f>
        <v>Beacon.Put(115,0,500);</v>
      </c>
      <c r="M13" t="str">
        <f>"Beacon.Put(115,0,6"&amp;TEXT(M電入力!$I19,"00")&amp;");"</f>
        <v>Beacon.Put(115,0,600);</v>
      </c>
      <c r="N13" t="str">
        <f>"Beacon.Put(116,0,1"&amp;M電入力!$AE14&amp;");"</f>
        <v>Beacon.Put(116,0,10300);</v>
      </c>
      <c r="O13" t="str">
        <f>"Beacon.Put(116,0,2"&amp;M電入力!$AE15&amp;");"</f>
        <v>Beacon.Put(116,0,20130);</v>
      </c>
      <c r="P13" t="str">
        <f>"Beacon.Put(116,0,3"&amp;M電入力!$AE16&amp;");"</f>
        <v>Beacon.Put(116,0,30215);</v>
      </c>
      <c r="Q13" t="str">
        <f>"Beacon.Put(116,0,4"&amp;M電入力!$AE17&amp;");"</f>
        <v>Beacon.Put(116,0,40230);</v>
      </c>
      <c r="R13" t="str">
        <f>"Beacon.Put(116,0,5"&amp;M電入力!$AE18&amp;");"</f>
        <v>Beacon.Put(116,0,50400);</v>
      </c>
      <c r="S13" t="str">
        <f>"Beacon.Put(116,0,6"&amp;M電入力!$AE19&amp;");"</f>
        <v>Beacon.Put(116,0,60500);</v>
      </c>
    </row>
    <row r="14" spans="1:19">
      <c r="A14" t="str">
        <f>M電入力!C15&amp;"+25;"</f>
        <v>43818+25;</v>
      </c>
      <c r="B14" t="str">
        <f>"Beacon.Put(114,0,1"&amp;TEXT(M電入力!$H15,"00")&amp;");"</f>
        <v>Beacon.Put(114,0,100);</v>
      </c>
      <c r="C14" t="str">
        <f>"Beacon.Put(114,0,2"&amp;TEXT(M電入力!$H16,"00")&amp;");"</f>
        <v>Beacon.Put(114,0,200);</v>
      </c>
      <c r="D14" t="str">
        <f>"Beacon.Put(114,0,3"&amp;TEXT(M電入力!$H17,"00")&amp;");"</f>
        <v>Beacon.Put(114,0,385);</v>
      </c>
      <c r="E14" t="str">
        <f>"Beacon.Put(114,0,4"&amp;TEXT(M電入力!$H18,"00")&amp;");"</f>
        <v>Beacon.Put(114,0,400);</v>
      </c>
      <c r="F14" t="str">
        <f>"Beacon.Put(114,0,5"&amp;TEXT(M電入力!$H19,"00")&amp;");"</f>
        <v>Beacon.Put(114,0,500);</v>
      </c>
      <c r="G14" t="str">
        <f>"Beacon.Put(114,0,6"&amp;TEXT(M電入力!$H20,"00")&amp;");"</f>
        <v>Beacon.Put(114,0,600);</v>
      </c>
      <c r="H14" t="str">
        <f>"Beacon.Put(115,0,1"&amp;TEXT(M電入力!$I15,"00")&amp;");"</f>
        <v>Beacon.Put(115,0,100);</v>
      </c>
      <c r="I14" t="str">
        <f>"Beacon.Put(115,0,2"&amp;TEXT(M電入力!$I16,"00")&amp;");"</f>
        <v>Beacon.Put(115,0,200);</v>
      </c>
      <c r="J14" t="str">
        <f>"Beacon.Put(115,0,3"&amp;TEXT(M電入力!$I17,"00")&amp;");"</f>
        <v>Beacon.Put(115,0,385);</v>
      </c>
      <c r="K14" t="str">
        <f>"Beacon.Put(115,0,4"&amp;TEXT(M電入力!$I18,"00")&amp;");"</f>
        <v>Beacon.Put(115,0,400);</v>
      </c>
      <c r="L14" t="str">
        <f>"Beacon.Put(115,0,5"&amp;TEXT(M電入力!$I19,"00")&amp;");"</f>
        <v>Beacon.Put(115,0,500);</v>
      </c>
      <c r="M14" t="str">
        <f>"Beacon.Put(115,0,6"&amp;TEXT(M電入力!$I20,"00")&amp;");"</f>
        <v>Beacon.Put(115,0,600);</v>
      </c>
      <c r="N14" t="str">
        <f>"Beacon.Put(116,0,1"&amp;M電入力!$AE15&amp;");"</f>
        <v>Beacon.Put(116,0,10130);</v>
      </c>
      <c r="O14" t="str">
        <f>"Beacon.Put(116,0,2"&amp;M電入力!$AE16&amp;");"</f>
        <v>Beacon.Put(116,0,20215);</v>
      </c>
      <c r="P14" t="str">
        <f>"Beacon.Put(116,0,3"&amp;M電入力!$AE17&amp;");"</f>
        <v>Beacon.Put(116,0,30230);</v>
      </c>
      <c r="Q14" t="str">
        <f>"Beacon.Put(116,0,4"&amp;M電入力!$AE18&amp;");"</f>
        <v>Beacon.Put(116,0,40400);</v>
      </c>
      <c r="R14" t="str">
        <f>"Beacon.Put(116,0,5"&amp;M電入力!$AE19&amp;");"</f>
        <v>Beacon.Put(116,0,50500);</v>
      </c>
      <c r="S14" t="str">
        <f>"Beacon.Put(116,0,6"&amp;M電入力!$AE20&amp;");"</f>
        <v>Beacon.Put(116,0,60315);</v>
      </c>
    </row>
    <row r="15" spans="1:19">
      <c r="A15" t="str">
        <f>M電入力!C16&amp;"+25;"</f>
        <v>46196+25;</v>
      </c>
      <c r="B15" t="str">
        <f>"Beacon.Put(114,0,1"&amp;TEXT(M電入力!$H16,"00")&amp;");"</f>
        <v>Beacon.Put(114,0,100);</v>
      </c>
      <c r="C15" t="str">
        <f>"Beacon.Put(114,0,2"&amp;TEXT(M電入力!$H17,"00")&amp;");"</f>
        <v>Beacon.Put(114,0,285);</v>
      </c>
      <c r="D15" t="str">
        <f>"Beacon.Put(114,0,3"&amp;TEXT(M電入力!$H18,"00")&amp;");"</f>
        <v>Beacon.Put(114,0,300);</v>
      </c>
      <c r="E15" t="str">
        <f>"Beacon.Put(114,0,4"&amp;TEXT(M電入力!$H19,"00")&amp;");"</f>
        <v>Beacon.Put(114,0,400);</v>
      </c>
      <c r="F15" t="str">
        <f>"Beacon.Put(114,0,5"&amp;TEXT(M電入力!$H20,"00")&amp;");"</f>
        <v>Beacon.Put(114,0,500);</v>
      </c>
      <c r="G15" t="str">
        <f>"Beacon.Put(114,0,6"&amp;TEXT(M電入力!$H21,"00")&amp;");"</f>
        <v>Beacon.Put(114,0,600);</v>
      </c>
      <c r="H15" t="str">
        <f>"Beacon.Put(115,0,1"&amp;TEXT(M電入力!$I16,"00")&amp;");"</f>
        <v>Beacon.Put(115,0,100);</v>
      </c>
      <c r="I15" t="str">
        <f>"Beacon.Put(115,0,2"&amp;TEXT(M電入力!$I17,"00")&amp;");"</f>
        <v>Beacon.Put(115,0,285);</v>
      </c>
      <c r="J15" t="str">
        <f>"Beacon.Put(115,0,3"&amp;TEXT(M電入力!$I18,"00")&amp;");"</f>
        <v>Beacon.Put(115,0,300);</v>
      </c>
      <c r="K15" t="str">
        <f>"Beacon.Put(115,0,4"&amp;TEXT(M電入力!$I19,"00")&amp;");"</f>
        <v>Beacon.Put(115,0,400);</v>
      </c>
      <c r="L15" t="str">
        <f>"Beacon.Put(115,0,5"&amp;TEXT(M電入力!$I20,"00")&amp;");"</f>
        <v>Beacon.Put(115,0,500);</v>
      </c>
      <c r="M15" t="str">
        <f>"Beacon.Put(115,0,6"&amp;TEXT(M電入力!$I21,"00")&amp;");"</f>
        <v>Beacon.Put(115,0,600);</v>
      </c>
      <c r="N15" t="str">
        <f>"Beacon.Put(116,0,1"&amp;M電入力!$AE16&amp;");"</f>
        <v>Beacon.Put(116,0,10215);</v>
      </c>
      <c r="O15" t="str">
        <f>"Beacon.Put(116,0,2"&amp;M電入力!$AE17&amp;");"</f>
        <v>Beacon.Put(116,0,20230);</v>
      </c>
      <c r="P15" t="str">
        <f>"Beacon.Put(116,0,3"&amp;M電入力!$AE18&amp;");"</f>
        <v>Beacon.Put(116,0,30400);</v>
      </c>
      <c r="Q15" t="str">
        <f>"Beacon.Put(116,0,4"&amp;M電入力!$AE19&amp;");"</f>
        <v>Beacon.Put(116,0,40500);</v>
      </c>
      <c r="R15" t="str">
        <f>"Beacon.Put(116,0,5"&amp;M電入力!$AE20&amp;");"</f>
        <v>Beacon.Put(116,0,50315);</v>
      </c>
      <c r="S15" t="str">
        <f>"Beacon.Put(116,0,6"&amp;M電入力!$AE21&amp;");"</f>
        <v>Beacon.Put(116,0,60215);</v>
      </c>
    </row>
    <row r="16" spans="1:19">
      <c r="A16" t="str">
        <f>M電入力!C17&amp;"+25;"</f>
        <v>49193+25;</v>
      </c>
      <c r="B16" t="str">
        <f>"Beacon.Put(114,0,1"&amp;TEXT(M電入力!$H17,"00")&amp;");"</f>
        <v>Beacon.Put(114,0,185);</v>
      </c>
      <c r="C16" t="str">
        <f>"Beacon.Put(114,0,2"&amp;TEXT(M電入力!$H18,"00")&amp;");"</f>
        <v>Beacon.Put(114,0,200);</v>
      </c>
      <c r="D16" t="str">
        <f>"Beacon.Put(114,0,3"&amp;TEXT(M電入力!$H19,"00")&amp;");"</f>
        <v>Beacon.Put(114,0,300);</v>
      </c>
      <c r="E16" t="str">
        <f>"Beacon.Put(114,0,4"&amp;TEXT(M電入力!$H20,"00")&amp;");"</f>
        <v>Beacon.Put(114,0,400);</v>
      </c>
      <c r="F16" t="str">
        <f>"Beacon.Put(114,0,5"&amp;TEXT(M電入力!$H21,"00")&amp;");"</f>
        <v>Beacon.Put(114,0,500);</v>
      </c>
      <c r="G16" t="str">
        <f>"Beacon.Put(114,0,6"&amp;TEXT(M電入力!$H22,"00")&amp;");"</f>
        <v>Beacon.Put(114,0,600);</v>
      </c>
      <c r="H16" t="str">
        <f>"Beacon.Put(115,0,1"&amp;TEXT(M電入力!$I17,"00")&amp;");"</f>
        <v>Beacon.Put(115,0,185);</v>
      </c>
      <c r="I16" t="str">
        <f>"Beacon.Put(115,0,2"&amp;TEXT(M電入力!$I18,"00")&amp;");"</f>
        <v>Beacon.Put(115,0,200);</v>
      </c>
      <c r="J16" t="str">
        <f>"Beacon.Put(115,0,3"&amp;TEXT(M電入力!$I19,"00")&amp;");"</f>
        <v>Beacon.Put(115,0,300);</v>
      </c>
      <c r="K16" t="str">
        <f>"Beacon.Put(115,0,4"&amp;TEXT(M電入力!$I20,"00")&amp;");"</f>
        <v>Beacon.Put(115,0,400);</v>
      </c>
      <c r="L16" t="str">
        <f>"Beacon.Put(115,0,5"&amp;TEXT(M電入力!$I21,"00")&amp;");"</f>
        <v>Beacon.Put(115,0,500);</v>
      </c>
      <c r="M16" t="str">
        <f>"Beacon.Put(115,0,6"&amp;TEXT(M電入力!$I22,"00")&amp;");"</f>
        <v>Beacon.Put(115,0,600);</v>
      </c>
      <c r="N16" t="str">
        <f>"Beacon.Put(116,0,1"&amp;M電入力!$AE17&amp;");"</f>
        <v>Beacon.Put(116,0,10230);</v>
      </c>
      <c r="O16" t="str">
        <f>"Beacon.Put(116,0,2"&amp;M電入力!$AE18&amp;");"</f>
        <v>Beacon.Put(116,0,20400);</v>
      </c>
      <c r="P16" t="str">
        <f>"Beacon.Put(116,0,3"&amp;M電入力!$AE19&amp;");"</f>
        <v>Beacon.Put(116,0,30500);</v>
      </c>
      <c r="Q16" t="str">
        <f>"Beacon.Put(116,0,4"&amp;M電入力!$AE20&amp;");"</f>
        <v>Beacon.Put(116,0,40315);</v>
      </c>
      <c r="R16" t="str">
        <f>"Beacon.Put(116,0,5"&amp;M電入力!$AE21&amp;");"</f>
        <v>Beacon.Put(116,0,50215);</v>
      </c>
      <c r="S16" t="str">
        <f>"Beacon.Put(116,0,6"&amp;M電入力!$AE22&amp;");"</f>
        <v>Beacon.Put(116,0,60515);</v>
      </c>
    </row>
    <row r="17" spans="1:19">
      <c r="A17" t="str">
        <f>M電入力!C18&amp;"+25;"</f>
        <v>51971+25;</v>
      </c>
      <c r="B17" t="str">
        <f>"Beacon.Put(114,0,1"&amp;TEXT(M電入力!$H18,"00")&amp;");"</f>
        <v>Beacon.Put(114,0,100);</v>
      </c>
      <c r="C17" t="str">
        <f>"Beacon.Put(114,0,2"&amp;TEXT(M電入力!$H19,"00")&amp;");"</f>
        <v>Beacon.Put(114,0,200);</v>
      </c>
      <c r="D17" t="str">
        <f>"Beacon.Put(114,0,3"&amp;TEXT(M電入力!$H20,"00")&amp;");"</f>
        <v>Beacon.Put(114,0,300);</v>
      </c>
      <c r="E17" t="str">
        <f>"Beacon.Put(114,0,4"&amp;TEXT(M電入力!$H21,"00")&amp;");"</f>
        <v>Beacon.Put(114,0,400);</v>
      </c>
      <c r="F17" t="str">
        <f>"Beacon.Put(114,0,5"&amp;TEXT(M電入力!$H22,"00")&amp;");"</f>
        <v>Beacon.Put(114,0,500);</v>
      </c>
      <c r="G17" t="str">
        <f>"Beacon.Put(114,0,6"&amp;TEXT(M電入力!$H23,"00")&amp;");"</f>
        <v>Beacon.Put(114,0,600);</v>
      </c>
      <c r="H17" t="str">
        <f>"Beacon.Put(115,0,1"&amp;TEXT(M電入力!$I18,"00")&amp;");"</f>
        <v>Beacon.Put(115,0,100);</v>
      </c>
      <c r="I17" t="str">
        <f>"Beacon.Put(115,0,2"&amp;TEXT(M電入力!$I19,"00")&amp;");"</f>
        <v>Beacon.Put(115,0,200);</v>
      </c>
      <c r="J17" t="str">
        <f>"Beacon.Put(115,0,3"&amp;TEXT(M電入力!$I20,"00")&amp;");"</f>
        <v>Beacon.Put(115,0,300);</v>
      </c>
      <c r="K17" t="str">
        <f>"Beacon.Put(115,0,4"&amp;TEXT(M電入力!$I21,"00")&amp;");"</f>
        <v>Beacon.Put(115,0,400);</v>
      </c>
      <c r="L17" t="str">
        <f>"Beacon.Put(115,0,5"&amp;TEXT(M電入力!$I22,"00")&amp;");"</f>
        <v>Beacon.Put(115,0,500);</v>
      </c>
      <c r="M17" t="str">
        <f>"Beacon.Put(115,0,6"&amp;TEXT(M電入力!$I23,"00")&amp;");"</f>
        <v>Beacon.Put(115,0,600);</v>
      </c>
      <c r="N17" t="str">
        <f>"Beacon.Put(116,0,1"&amp;M電入力!$AE18&amp;");"</f>
        <v>Beacon.Put(116,0,10400);</v>
      </c>
      <c r="O17" t="str">
        <f>"Beacon.Put(116,0,2"&amp;M電入力!$AE19&amp;");"</f>
        <v>Beacon.Put(116,0,20500);</v>
      </c>
      <c r="P17" t="str">
        <f>"Beacon.Put(116,0,3"&amp;M電入力!$AE20&amp;");"</f>
        <v>Beacon.Put(116,0,30315);</v>
      </c>
      <c r="Q17" t="str">
        <f>"Beacon.Put(116,0,4"&amp;M電入力!$AE21&amp;");"</f>
        <v>Beacon.Put(116,0,40215);</v>
      </c>
      <c r="R17" t="str">
        <f>"Beacon.Put(116,0,5"&amp;M電入力!$AE22&amp;");"</f>
        <v>Beacon.Put(116,0,50515);</v>
      </c>
      <c r="S17" t="str">
        <f>"Beacon.Put(116,0,6"&amp;M電入力!$AE23&amp;");"</f>
        <v>Beacon.Put(116,0,60615);</v>
      </c>
    </row>
    <row r="18" spans="1:19">
      <c r="A18" t="str">
        <f>M電入力!C19&amp;"+25;"</f>
        <v>57590+25;</v>
      </c>
      <c r="B18" t="str">
        <f>"Beacon.Put(114,0,1"&amp;TEXT(M電入力!$H19,"00")&amp;");"</f>
        <v>Beacon.Put(114,0,100);</v>
      </c>
      <c r="C18" t="str">
        <f>"Beacon.Put(114,0,2"&amp;TEXT(M電入力!$H20,"00")&amp;");"</f>
        <v>Beacon.Put(114,0,200);</v>
      </c>
      <c r="D18" t="str">
        <f>"Beacon.Put(114,0,3"&amp;TEXT(M電入力!$H21,"00")&amp;");"</f>
        <v>Beacon.Put(114,0,300);</v>
      </c>
      <c r="E18" t="str">
        <f>"Beacon.Put(114,0,4"&amp;TEXT(M電入力!$H22,"00")&amp;");"</f>
        <v>Beacon.Put(114,0,400);</v>
      </c>
      <c r="F18" t="str">
        <f>"Beacon.Put(114,0,5"&amp;TEXT(M電入力!$H23,"00")&amp;");"</f>
        <v>Beacon.Put(114,0,500);</v>
      </c>
      <c r="G18" t="str">
        <f>"Beacon.Put(114,0,6"&amp;TEXT(M電入力!$H24,"00")&amp;");"</f>
        <v>Beacon.Put(114,0,600);</v>
      </c>
      <c r="H18" t="str">
        <f>"Beacon.Put(115,0,1"&amp;TEXT(M電入力!$I19,"00")&amp;");"</f>
        <v>Beacon.Put(115,0,100);</v>
      </c>
      <c r="I18" t="str">
        <f>"Beacon.Put(115,0,2"&amp;TEXT(M電入力!$I20,"00")&amp;");"</f>
        <v>Beacon.Put(115,0,200);</v>
      </c>
      <c r="J18" t="str">
        <f>"Beacon.Put(115,0,3"&amp;TEXT(M電入力!$I21,"00")&amp;");"</f>
        <v>Beacon.Put(115,0,300);</v>
      </c>
      <c r="K18" t="str">
        <f>"Beacon.Put(115,0,4"&amp;TEXT(M電入力!$I22,"00")&amp;");"</f>
        <v>Beacon.Put(115,0,400);</v>
      </c>
      <c r="L18" t="str">
        <f>"Beacon.Put(115,0,5"&amp;TEXT(M電入力!$I23,"00")&amp;");"</f>
        <v>Beacon.Put(115,0,500);</v>
      </c>
      <c r="M18" t="str">
        <f>"Beacon.Put(115,0,6"&amp;TEXT(M電入力!$I24,"00")&amp;");"</f>
        <v>Beacon.Put(115,0,600);</v>
      </c>
      <c r="N18" t="str">
        <f>"Beacon.Put(116,0,1"&amp;M電入力!$AE19&amp;");"</f>
        <v>Beacon.Put(116,0,10500);</v>
      </c>
      <c r="O18" t="str">
        <f>"Beacon.Put(116,0,2"&amp;M電入力!$AE20&amp;");"</f>
        <v>Beacon.Put(116,0,20315);</v>
      </c>
      <c r="P18" t="str">
        <f>"Beacon.Put(116,0,3"&amp;M電入力!$AE21&amp;");"</f>
        <v>Beacon.Put(116,0,30215);</v>
      </c>
      <c r="Q18" t="str">
        <f>"Beacon.Put(116,0,4"&amp;M電入力!$AE22&amp;");"</f>
        <v>Beacon.Put(116,0,40515);</v>
      </c>
      <c r="R18" t="str">
        <f>"Beacon.Put(116,0,5"&amp;M電入力!$AE23&amp;");"</f>
        <v>Beacon.Put(116,0,50615);</v>
      </c>
      <c r="S18" t="str">
        <f>"Beacon.Put(116,0,6"&amp;M電入力!$AE24&amp;");"</f>
        <v>Beacon.Put(116,0,60245);</v>
      </c>
    </row>
    <row r="19" spans="1:19">
      <c r="A19" t="str">
        <f>M電入力!C20&amp;"+25;"</f>
        <v>65015+25;</v>
      </c>
      <c r="B19" t="str">
        <f>"Beacon.Put(114,0,1"&amp;TEXT(M電入力!$H20,"00")&amp;");"</f>
        <v>Beacon.Put(114,0,100);</v>
      </c>
      <c r="C19" t="str">
        <f>"Beacon.Put(114,0,2"&amp;TEXT(M電入力!$H21,"00")&amp;");"</f>
        <v>Beacon.Put(114,0,200);</v>
      </c>
      <c r="D19" t="str">
        <f>"Beacon.Put(114,0,3"&amp;TEXT(M電入力!$H22,"00")&amp;");"</f>
        <v>Beacon.Put(114,0,300);</v>
      </c>
      <c r="E19" t="str">
        <f>"Beacon.Put(114,0,4"&amp;TEXT(M電入力!$H23,"00")&amp;");"</f>
        <v>Beacon.Put(114,0,400);</v>
      </c>
      <c r="F19" t="str">
        <f>"Beacon.Put(114,0,5"&amp;TEXT(M電入力!$H24,"00")&amp;");"</f>
        <v>Beacon.Put(114,0,500);</v>
      </c>
      <c r="G19" t="str">
        <f>"Beacon.Put(114,0,6"&amp;TEXT(M電入力!$H25,"00")&amp;");"</f>
        <v>Beacon.Put(114,0,600);</v>
      </c>
      <c r="H19" t="str">
        <f>"Beacon.Put(115,0,1"&amp;TEXT(M電入力!$I20,"00")&amp;");"</f>
        <v>Beacon.Put(115,0,100);</v>
      </c>
      <c r="I19" t="str">
        <f>"Beacon.Put(115,0,2"&amp;TEXT(M電入力!$I21,"00")&amp;");"</f>
        <v>Beacon.Put(115,0,200);</v>
      </c>
      <c r="J19" t="str">
        <f>"Beacon.Put(115,0,3"&amp;TEXT(M電入力!$I22,"00")&amp;");"</f>
        <v>Beacon.Put(115,0,300);</v>
      </c>
      <c r="K19" t="str">
        <f>"Beacon.Put(115,0,4"&amp;TEXT(M電入力!$I23,"00")&amp;");"</f>
        <v>Beacon.Put(115,0,400);</v>
      </c>
      <c r="L19" t="str">
        <f>"Beacon.Put(115,0,5"&amp;TEXT(M電入力!$I24,"00")&amp;");"</f>
        <v>Beacon.Put(115,0,500);</v>
      </c>
      <c r="M19" t="str">
        <f>"Beacon.Put(115,0,6"&amp;TEXT(M電入力!$I25,"00")&amp;");"</f>
        <v>Beacon.Put(115,0,600);</v>
      </c>
      <c r="N19" t="str">
        <f>"Beacon.Put(116,0,1"&amp;M電入力!$AE20&amp;");"</f>
        <v>Beacon.Put(116,0,10315);</v>
      </c>
      <c r="O19" t="str">
        <f>"Beacon.Put(116,0,2"&amp;M電入力!$AE21&amp;");"</f>
        <v>Beacon.Put(116,0,20215);</v>
      </c>
      <c r="P19" t="str">
        <f>"Beacon.Put(116,0,3"&amp;M電入力!$AE22&amp;");"</f>
        <v>Beacon.Put(116,0,30515);</v>
      </c>
      <c r="Q19" t="str">
        <f>"Beacon.Put(116,0,4"&amp;M電入力!$AE23&amp;");"</f>
        <v>Beacon.Put(116,0,40615);</v>
      </c>
      <c r="R19" t="str">
        <f>"Beacon.Put(116,0,5"&amp;M電入力!$AE24&amp;");"</f>
        <v>Beacon.Put(116,0,50245);</v>
      </c>
      <c r="S19" t="str">
        <f>"Beacon.Put(116,0,6"&amp;M電入力!$AE25&amp;");"</f>
        <v>Beacon.Put(116,0,60515);</v>
      </c>
    </row>
    <row r="20" spans="1:19">
      <c r="A20" t="str">
        <f>M電入力!C21&amp;"+25;"</f>
        <v>69762+25;</v>
      </c>
      <c r="B20" t="str">
        <f>"Beacon.Put(114,0,1"&amp;TEXT(M電入力!$H21,"00")&amp;");"</f>
        <v>Beacon.Put(114,0,100);</v>
      </c>
      <c r="C20" t="str">
        <f>"Beacon.Put(114,0,2"&amp;TEXT(M電入力!$H22,"00")&amp;");"</f>
        <v>Beacon.Put(114,0,200);</v>
      </c>
      <c r="D20" t="str">
        <f>"Beacon.Put(114,0,3"&amp;TEXT(M電入力!$H23,"00")&amp;");"</f>
        <v>Beacon.Put(114,0,300);</v>
      </c>
      <c r="E20" t="str">
        <f>"Beacon.Put(114,0,4"&amp;TEXT(M電入力!$H24,"00")&amp;");"</f>
        <v>Beacon.Put(114,0,400);</v>
      </c>
      <c r="F20" t="str">
        <f>"Beacon.Put(114,0,5"&amp;TEXT(M電入力!$H25,"00")&amp;");"</f>
        <v>Beacon.Put(114,0,500);</v>
      </c>
      <c r="G20" t="str">
        <f>"Beacon.Put(114,0,6"&amp;TEXT(M電入力!$H26,"00")&amp;");"</f>
        <v>Beacon.Put(114,0,600);</v>
      </c>
      <c r="H20" t="str">
        <f>"Beacon.Put(115,0,1"&amp;TEXT(M電入力!$I21,"00")&amp;");"</f>
        <v>Beacon.Put(115,0,100);</v>
      </c>
      <c r="I20" t="str">
        <f>"Beacon.Put(115,0,2"&amp;TEXT(M電入力!$I22,"00")&amp;");"</f>
        <v>Beacon.Put(115,0,200);</v>
      </c>
      <c r="J20" t="str">
        <f>"Beacon.Put(115,0,3"&amp;TEXT(M電入力!$I23,"00")&amp;");"</f>
        <v>Beacon.Put(115,0,300);</v>
      </c>
      <c r="K20" t="str">
        <f>"Beacon.Put(115,0,4"&amp;TEXT(M電入力!$I24,"00")&amp;");"</f>
        <v>Beacon.Put(115,0,400);</v>
      </c>
      <c r="L20" t="str">
        <f>"Beacon.Put(115,0,5"&amp;TEXT(M電入力!$I25,"00")&amp;");"</f>
        <v>Beacon.Put(115,0,500);</v>
      </c>
      <c r="M20" t="str">
        <f>"Beacon.Put(115,0,6"&amp;TEXT(M電入力!$I26,"00")&amp;");"</f>
        <v>Beacon.Put(115,0,600);</v>
      </c>
      <c r="N20" t="str">
        <f>"Beacon.Put(116,0,1"&amp;M電入力!$AE21&amp;");"</f>
        <v>Beacon.Put(116,0,10215);</v>
      </c>
      <c r="O20" t="str">
        <f>"Beacon.Put(116,0,2"&amp;M電入力!$AE22&amp;");"</f>
        <v>Beacon.Put(116,0,20515);</v>
      </c>
      <c r="P20" t="str">
        <f>"Beacon.Put(116,0,3"&amp;M電入力!$AE23&amp;");"</f>
        <v>Beacon.Put(116,0,30615);</v>
      </c>
      <c r="Q20" t="str">
        <f>"Beacon.Put(116,0,4"&amp;M電入力!$AE24&amp;");"</f>
        <v>Beacon.Put(116,0,40245);</v>
      </c>
      <c r="R20" t="str">
        <f>"Beacon.Put(116,0,5"&amp;M電入力!$AE25&amp;");"</f>
        <v>Beacon.Put(116,0,50515);</v>
      </c>
      <c r="S20" t="str">
        <f>"Beacon.Put(116,0,6"&amp;M電入力!$AE26&amp;");"</f>
        <v>Beacon.Put(116,0,60245);</v>
      </c>
    </row>
    <row r="21" spans="1:19">
      <c r="A21" t="str">
        <f>M電入力!C22&amp;"+25;"</f>
        <v>73595+25;</v>
      </c>
      <c r="B21" t="str">
        <f>"Beacon.Put(114,0,1"&amp;TEXT(M電入力!$H22,"00")&amp;");"</f>
        <v>Beacon.Put(114,0,100);</v>
      </c>
      <c r="C21" t="str">
        <f>"Beacon.Put(114,0,2"&amp;TEXT(M電入力!$H23,"00")&amp;");"</f>
        <v>Beacon.Put(114,0,200);</v>
      </c>
      <c r="D21" t="str">
        <f>"Beacon.Put(114,0,3"&amp;TEXT(M電入力!$H24,"00")&amp;");"</f>
        <v>Beacon.Put(114,0,300);</v>
      </c>
      <c r="E21" t="str">
        <f>"Beacon.Put(114,0,4"&amp;TEXT(M電入力!$H25,"00")&amp;");"</f>
        <v>Beacon.Put(114,0,400);</v>
      </c>
      <c r="F21" t="str">
        <f>"Beacon.Put(114,0,5"&amp;TEXT(M電入力!$H26,"00")&amp;");"</f>
        <v>Beacon.Put(114,0,500);</v>
      </c>
      <c r="G21" t="str">
        <f>"Beacon.Put(114,0,6"&amp;TEXT(M電入力!$H27,"00")&amp;");"</f>
        <v>Beacon.Put(114,0,600);</v>
      </c>
      <c r="H21" t="str">
        <f>"Beacon.Put(115,0,1"&amp;TEXT(M電入力!$I22,"00")&amp;");"</f>
        <v>Beacon.Put(115,0,100);</v>
      </c>
      <c r="I21" t="str">
        <f>"Beacon.Put(115,0,2"&amp;TEXT(M電入力!$I23,"00")&amp;");"</f>
        <v>Beacon.Put(115,0,200);</v>
      </c>
      <c r="J21" t="str">
        <f>"Beacon.Put(115,0,3"&amp;TEXT(M電入力!$I24,"00")&amp;");"</f>
        <v>Beacon.Put(115,0,300);</v>
      </c>
      <c r="K21" t="str">
        <f>"Beacon.Put(115,0,4"&amp;TEXT(M電入力!$I25,"00")&amp;");"</f>
        <v>Beacon.Put(115,0,400);</v>
      </c>
      <c r="L21" t="str">
        <f>"Beacon.Put(115,0,5"&amp;TEXT(M電入力!$I26,"00")&amp;");"</f>
        <v>Beacon.Put(115,0,500);</v>
      </c>
      <c r="M21" t="str">
        <f>"Beacon.Put(115,0,6"&amp;TEXT(M電入力!$I27,"00")&amp;");"</f>
        <v>Beacon.Put(115,0,600);</v>
      </c>
      <c r="N21" t="str">
        <f>"Beacon.Put(116,0,1"&amp;M電入力!$AE22&amp;");"</f>
        <v>Beacon.Put(116,0,10515);</v>
      </c>
      <c r="O21" t="str">
        <f>"Beacon.Put(116,0,2"&amp;M電入力!$AE23&amp;");"</f>
        <v>Beacon.Put(116,0,20615);</v>
      </c>
      <c r="P21" t="str">
        <f>"Beacon.Put(116,0,3"&amp;M電入力!$AE24&amp;");"</f>
        <v>Beacon.Put(116,0,30245);</v>
      </c>
      <c r="Q21" t="str">
        <f>"Beacon.Put(116,0,4"&amp;M電入力!$AE25&amp;");"</f>
        <v>Beacon.Put(116,0,40515);</v>
      </c>
      <c r="R21" t="str">
        <f>"Beacon.Put(116,0,5"&amp;M電入力!$AE26&amp;");"</f>
        <v>Beacon.Put(116,0,50245);</v>
      </c>
      <c r="S21" t="str">
        <f>"Beacon.Put(116,0,6"&amp;M電入力!$AE27&amp;");"</f>
        <v>Beacon.Put(116,0,60215);</v>
      </c>
    </row>
    <row r="22" spans="1:19">
      <c r="A22" t="str">
        <f>M電入力!C23&amp;"+25;"</f>
        <v>80960+25;</v>
      </c>
      <c r="B22" t="str">
        <f>"Beacon.Put(114,0,1"&amp;TEXT(M電入力!$H23,"00")&amp;");"</f>
        <v>Beacon.Put(114,0,100);</v>
      </c>
      <c r="C22" t="str">
        <f>"Beacon.Put(114,0,2"&amp;TEXT(M電入力!$H24,"00")&amp;");"</f>
        <v>Beacon.Put(114,0,200);</v>
      </c>
      <c r="D22" t="str">
        <f>"Beacon.Put(114,0,3"&amp;TEXT(M電入力!$H25,"00")&amp;");"</f>
        <v>Beacon.Put(114,0,300);</v>
      </c>
      <c r="E22" t="str">
        <f>"Beacon.Put(114,0,4"&amp;TEXT(M電入力!$H26,"00")&amp;");"</f>
        <v>Beacon.Put(114,0,400);</v>
      </c>
      <c r="F22" t="str">
        <f>"Beacon.Put(114,0,5"&amp;TEXT(M電入力!$H27,"00")&amp;");"</f>
        <v>Beacon.Put(114,0,500);</v>
      </c>
      <c r="G22" t="str">
        <f>"Beacon.Put(114,0,6"&amp;TEXT(M電入力!$H28,"00")&amp;");"</f>
        <v>Beacon.Put(114,0,600);</v>
      </c>
      <c r="H22" t="str">
        <f>"Beacon.Put(115,0,1"&amp;TEXT(M電入力!$I23,"00")&amp;");"</f>
        <v>Beacon.Put(115,0,100);</v>
      </c>
      <c r="I22" t="str">
        <f>"Beacon.Put(115,0,2"&amp;TEXT(M電入力!$I24,"00")&amp;");"</f>
        <v>Beacon.Put(115,0,200);</v>
      </c>
      <c r="J22" t="str">
        <f>"Beacon.Put(115,0,3"&amp;TEXT(M電入力!$I25,"00")&amp;");"</f>
        <v>Beacon.Put(115,0,300);</v>
      </c>
      <c r="K22" t="str">
        <f>"Beacon.Put(115,0,4"&amp;TEXT(M電入力!$I26,"00")&amp;");"</f>
        <v>Beacon.Put(115,0,400);</v>
      </c>
      <c r="L22" t="str">
        <f>"Beacon.Put(115,0,5"&amp;TEXT(M電入力!$I27,"00")&amp;");"</f>
        <v>Beacon.Put(115,0,500);</v>
      </c>
      <c r="M22" t="str">
        <f>"Beacon.Put(115,0,6"&amp;TEXT(M電入力!$I28,"00")&amp;");"</f>
        <v>Beacon.Put(115,0,600);</v>
      </c>
      <c r="N22" t="str">
        <f>"Beacon.Put(116,0,1"&amp;M電入力!$AE23&amp;");"</f>
        <v>Beacon.Put(116,0,10615);</v>
      </c>
      <c r="O22" t="str">
        <f>"Beacon.Put(116,0,2"&amp;M電入力!$AE24&amp;");"</f>
        <v>Beacon.Put(116,0,20245);</v>
      </c>
      <c r="P22" t="str">
        <f>"Beacon.Put(116,0,3"&amp;M電入力!$AE25&amp;");"</f>
        <v>Beacon.Put(116,0,30515);</v>
      </c>
      <c r="Q22" t="str">
        <f>"Beacon.Put(116,0,4"&amp;M電入力!$AE26&amp;");"</f>
        <v>Beacon.Put(116,0,40245);</v>
      </c>
      <c r="R22" t="str">
        <f>"Beacon.Put(116,0,5"&amp;M電入力!$AE27&amp;");"</f>
        <v>Beacon.Put(116,0,50215);</v>
      </c>
      <c r="S22" t="str">
        <f>"Beacon.Put(116,0,6"&amp;M電入力!$AE28&amp;");"</f>
        <v>Beacon.Put(116,0,60630);</v>
      </c>
    </row>
    <row r="23" spans="1:19">
      <c r="A23" t="str">
        <f>M電入力!C24&amp;"+25;"</f>
        <v>88412+25;</v>
      </c>
      <c r="B23" t="str">
        <f>"Beacon.Put(114,0,1"&amp;TEXT(M電入力!$H24,"00")&amp;");"</f>
        <v>Beacon.Put(114,0,100);</v>
      </c>
      <c r="C23" t="str">
        <f>"Beacon.Put(114,0,2"&amp;TEXT(M電入力!$H25,"00")&amp;");"</f>
        <v>Beacon.Put(114,0,200);</v>
      </c>
      <c r="D23" t="str">
        <f>"Beacon.Put(114,0,3"&amp;TEXT(M電入力!$H26,"00")&amp;");"</f>
        <v>Beacon.Put(114,0,300);</v>
      </c>
      <c r="E23" t="str">
        <f>"Beacon.Put(114,0,4"&amp;TEXT(M電入力!$H27,"00")&amp;");"</f>
        <v>Beacon.Put(114,0,400);</v>
      </c>
      <c r="F23" t="str">
        <f>"Beacon.Put(114,0,5"&amp;TEXT(M電入力!$H28,"00")&amp;");"</f>
        <v>Beacon.Put(114,0,500);</v>
      </c>
      <c r="G23" t="str">
        <f>"Beacon.Put(114,0,6"&amp;TEXT(M電入力!$H29,"00")&amp;");"</f>
        <v>Beacon.Put(114,0,645);</v>
      </c>
      <c r="H23" t="str">
        <f>"Beacon.Put(115,0,1"&amp;TEXT(M電入力!$I24,"00")&amp;");"</f>
        <v>Beacon.Put(115,0,100);</v>
      </c>
      <c r="I23" t="str">
        <f>"Beacon.Put(115,0,2"&amp;TEXT(M電入力!$I25,"00")&amp;");"</f>
        <v>Beacon.Put(115,0,200);</v>
      </c>
      <c r="J23" t="str">
        <f>"Beacon.Put(115,0,3"&amp;TEXT(M電入力!$I26,"00")&amp;");"</f>
        <v>Beacon.Put(115,0,300);</v>
      </c>
      <c r="K23" t="str">
        <f>"Beacon.Put(115,0,4"&amp;TEXT(M電入力!$I27,"00")&amp;");"</f>
        <v>Beacon.Put(115,0,400);</v>
      </c>
      <c r="L23" t="str">
        <f>"Beacon.Put(115,0,5"&amp;TEXT(M電入力!$I28,"00")&amp;");"</f>
        <v>Beacon.Put(115,0,500);</v>
      </c>
      <c r="M23" t="str">
        <f>"Beacon.Put(115,0,6"&amp;TEXT(M電入力!$I29,"00")&amp;");"</f>
        <v>Beacon.Put(115,0,600);</v>
      </c>
      <c r="N23" t="str">
        <f>"Beacon.Put(116,0,1"&amp;M電入力!$AE24&amp;");"</f>
        <v>Beacon.Put(116,0,10245);</v>
      </c>
      <c r="O23" t="str">
        <f>"Beacon.Put(116,0,2"&amp;M電入力!$AE25&amp;");"</f>
        <v>Beacon.Put(116,0,20515);</v>
      </c>
      <c r="P23" t="str">
        <f>"Beacon.Put(116,0,3"&amp;M電入力!$AE26&amp;");"</f>
        <v>Beacon.Put(116,0,30245);</v>
      </c>
      <c r="Q23" t="str">
        <f>"Beacon.Put(116,0,4"&amp;M電入力!$AE27&amp;");"</f>
        <v>Beacon.Put(116,0,40215);</v>
      </c>
      <c r="R23" t="str">
        <f>"Beacon.Put(116,0,5"&amp;M電入力!$AE28&amp;");"</f>
        <v>Beacon.Put(116,0,50630);</v>
      </c>
      <c r="S23" t="str">
        <f>"Beacon.Put(116,0,6"&amp;M電入力!$AE29&amp;");"</f>
        <v>Beacon.Put(116,0,60000);</v>
      </c>
    </row>
    <row r="24" spans="1:19">
      <c r="A24" t="str">
        <f>M電入力!C25&amp;"+25;"</f>
        <v>91012+25;</v>
      </c>
      <c r="B24" t="str">
        <f>"Beacon.Put(114,0,1"&amp;TEXT(M電入力!$H25,"00")&amp;");"</f>
        <v>Beacon.Put(114,0,100);</v>
      </c>
      <c r="C24" t="str">
        <f>"Beacon.Put(114,0,2"&amp;TEXT(M電入力!$H26,"00")&amp;");"</f>
        <v>Beacon.Put(114,0,200);</v>
      </c>
      <c r="D24" t="str">
        <f>"Beacon.Put(114,0,3"&amp;TEXT(M電入力!$H27,"00")&amp;");"</f>
        <v>Beacon.Put(114,0,300);</v>
      </c>
      <c r="E24" t="str">
        <f>"Beacon.Put(114,0,4"&amp;TEXT(M電入力!$H28,"00")&amp;");"</f>
        <v>Beacon.Put(114,0,400);</v>
      </c>
      <c r="F24" t="str">
        <f>"Beacon.Put(114,0,5"&amp;TEXT(M電入力!$H29,"00")&amp;");"</f>
        <v>Beacon.Put(114,0,545);</v>
      </c>
      <c r="G24" t="str">
        <f>"Beacon.Put(114,0,6"&amp;TEXT(M電入力!$H30,"00")&amp;");"</f>
        <v>Beacon.Put(114,0,600);</v>
      </c>
      <c r="H24" t="str">
        <f>"Beacon.Put(115,0,1"&amp;TEXT(M電入力!$I25,"00")&amp;");"</f>
        <v>Beacon.Put(115,0,100);</v>
      </c>
      <c r="I24" t="str">
        <f>"Beacon.Put(115,0,2"&amp;TEXT(M電入力!$I26,"00")&amp;");"</f>
        <v>Beacon.Put(115,0,200);</v>
      </c>
      <c r="J24" t="str">
        <f>"Beacon.Put(115,0,3"&amp;TEXT(M電入力!$I27,"00")&amp;");"</f>
        <v>Beacon.Put(115,0,300);</v>
      </c>
      <c r="K24" t="str">
        <f>"Beacon.Put(115,0,4"&amp;TEXT(M電入力!$I28,"00")&amp;");"</f>
        <v>Beacon.Put(115,0,400);</v>
      </c>
      <c r="L24" t="str">
        <f>"Beacon.Put(115,0,5"&amp;TEXT(M電入力!$I29,"00")&amp;");"</f>
        <v>Beacon.Put(115,0,500);</v>
      </c>
      <c r="M24" t="str">
        <f>"Beacon.Put(115,0,6"&amp;TEXT(M電入力!$I30,"00")&amp;");"</f>
        <v>Beacon.Put(115,0,600);</v>
      </c>
      <c r="N24" t="str">
        <f>"Beacon.Put(116,0,1"&amp;M電入力!$AE25&amp;");"</f>
        <v>Beacon.Put(116,0,10515);</v>
      </c>
      <c r="O24" t="str">
        <f>"Beacon.Put(116,0,2"&amp;M電入力!$AE26&amp;");"</f>
        <v>Beacon.Put(116,0,20245);</v>
      </c>
      <c r="P24" t="str">
        <f>"Beacon.Put(116,0,3"&amp;M電入力!$AE27&amp;");"</f>
        <v>Beacon.Put(116,0,30215);</v>
      </c>
      <c r="Q24" t="str">
        <f>"Beacon.Put(116,0,4"&amp;M電入力!$AE28&amp;");"</f>
        <v>Beacon.Put(116,0,40630);</v>
      </c>
      <c r="R24" t="str">
        <f>"Beacon.Put(116,0,5"&amp;M電入力!$AE29&amp;");"</f>
        <v>Beacon.Put(116,0,50000);</v>
      </c>
      <c r="S24" t="str">
        <f>"Beacon.Put(116,0,6"&amp;M電入力!$AE30&amp;");"</f>
        <v>Beacon.Put(116,0,60000);</v>
      </c>
    </row>
    <row r="25" spans="1:19">
      <c r="A25" t="str">
        <f>M電入力!C26&amp;"+25;"</f>
        <v>95735+25;</v>
      </c>
      <c r="B25" t="str">
        <f>"Beacon.Put(114,0,1"&amp;TEXT(M電入力!$H26,"00")&amp;");"</f>
        <v>Beacon.Put(114,0,100);</v>
      </c>
      <c r="C25" t="str">
        <f>"Beacon.Put(114,0,2"&amp;TEXT(M電入力!$H27,"00")&amp;");"</f>
        <v>Beacon.Put(114,0,200);</v>
      </c>
      <c r="D25" t="str">
        <f>"Beacon.Put(114,0,3"&amp;TEXT(M電入力!$H28,"00")&amp;");"</f>
        <v>Beacon.Put(114,0,300);</v>
      </c>
      <c r="E25" t="str">
        <f>"Beacon.Put(114,0,4"&amp;TEXT(M電入力!$H29,"00")&amp;");"</f>
        <v>Beacon.Put(114,0,445);</v>
      </c>
      <c r="F25" t="str">
        <f>"Beacon.Put(114,0,5"&amp;TEXT(M電入力!$H30,"00")&amp;");"</f>
        <v>Beacon.Put(114,0,500);</v>
      </c>
      <c r="G25" t="str">
        <f>"Beacon.Put(114,0,6"&amp;TEXT(M電入力!$H31,"00")&amp;");"</f>
        <v>Beacon.Put(114,0,600);</v>
      </c>
      <c r="H25" t="str">
        <f>"Beacon.Put(115,0,1"&amp;TEXT(M電入力!$I26,"00")&amp;");"</f>
        <v>Beacon.Put(115,0,100);</v>
      </c>
      <c r="I25" t="str">
        <f>"Beacon.Put(115,0,2"&amp;TEXT(M電入力!$I27,"00")&amp;");"</f>
        <v>Beacon.Put(115,0,200);</v>
      </c>
      <c r="J25" t="str">
        <f>"Beacon.Put(115,0,3"&amp;TEXT(M電入力!$I28,"00")&amp;");"</f>
        <v>Beacon.Put(115,0,300);</v>
      </c>
      <c r="K25" t="str">
        <f>"Beacon.Put(115,0,4"&amp;TEXT(M電入力!$I29,"00")&amp;");"</f>
        <v>Beacon.Put(115,0,400);</v>
      </c>
      <c r="L25" t="str">
        <f>"Beacon.Put(115,0,5"&amp;TEXT(M電入力!$I30,"00")&amp;");"</f>
        <v>Beacon.Put(115,0,500);</v>
      </c>
      <c r="M25" t="str">
        <f>"Beacon.Put(115,0,6"&amp;TEXT(M電入力!$I31,"00")&amp;");"</f>
        <v>Beacon.Put(115,0,600);</v>
      </c>
      <c r="N25" t="str">
        <f>"Beacon.Put(116,0,1"&amp;M電入力!$AE26&amp;");"</f>
        <v>Beacon.Put(116,0,10245);</v>
      </c>
      <c r="O25" t="str">
        <f>"Beacon.Put(116,0,2"&amp;M電入力!$AE27&amp;");"</f>
        <v>Beacon.Put(116,0,20215);</v>
      </c>
      <c r="P25" t="str">
        <f>"Beacon.Put(116,0,3"&amp;M電入力!$AE28&amp;");"</f>
        <v>Beacon.Put(116,0,30630);</v>
      </c>
      <c r="Q25" t="str">
        <f>"Beacon.Put(116,0,4"&amp;M電入力!$AE29&amp;");"</f>
        <v>Beacon.Put(116,0,40000);</v>
      </c>
      <c r="R25" t="str">
        <f>"Beacon.Put(116,0,5"&amp;M電入力!$AE30&amp;");"</f>
        <v>Beacon.Put(116,0,50000);</v>
      </c>
      <c r="S25" t="str">
        <f>"Beacon.Put(116,0,6"&amp;M電入力!$AE31&amp;");"</f>
        <v>Beacon.Put(116,0,60000);</v>
      </c>
    </row>
    <row r="26" spans="1:19">
      <c r="A26" t="str">
        <f>M電入力!C27&amp;"+25;"</f>
        <v>98975+25;</v>
      </c>
      <c r="B26" t="str">
        <f>"Beacon.Put(114,0,1"&amp;TEXT(M電入力!$H27,"00")&amp;");"</f>
        <v>Beacon.Put(114,0,100);</v>
      </c>
      <c r="C26" t="str">
        <f>"Beacon.Put(114,0,2"&amp;TEXT(M電入力!$H28,"00")&amp;");"</f>
        <v>Beacon.Put(114,0,200);</v>
      </c>
      <c r="D26" t="str">
        <f>"Beacon.Put(114,0,3"&amp;TEXT(M電入力!$H29,"00")&amp;");"</f>
        <v>Beacon.Put(114,0,345);</v>
      </c>
      <c r="E26" t="str">
        <f>"Beacon.Put(114,0,4"&amp;TEXT(M電入力!$H30,"00")&amp;");"</f>
        <v>Beacon.Put(114,0,400);</v>
      </c>
      <c r="F26" t="str">
        <f>"Beacon.Put(114,0,5"&amp;TEXT(M電入力!$H31,"00")&amp;");"</f>
        <v>Beacon.Put(114,0,500);</v>
      </c>
      <c r="G26" t="str">
        <f>"Beacon.Put(114,0,6"&amp;TEXT(M電入力!$H32,"00")&amp;");"</f>
        <v>Beacon.Put(114,0,600);</v>
      </c>
      <c r="H26" t="str">
        <f>"Beacon.Put(115,0,1"&amp;TEXT(M電入力!$I27,"00")&amp;");"</f>
        <v>Beacon.Put(115,0,100);</v>
      </c>
      <c r="I26" t="str">
        <f>"Beacon.Put(115,0,2"&amp;TEXT(M電入力!$I28,"00")&amp;");"</f>
        <v>Beacon.Put(115,0,200);</v>
      </c>
      <c r="J26" t="str">
        <f>"Beacon.Put(115,0,3"&amp;TEXT(M電入力!$I29,"00")&amp;");"</f>
        <v>Beacon.Put(115,0,300);</v>
      </c>
      <c r="K26" t="str">
        <f>"Beacon.Put(115,0,4"&amp;TEXT(M電入力!$I30,"00")&amp;");"</f>
        <v>Beacon.Put(115,0,400);</v>
      </c>
      <c r="L26" t="str">
        <f>"Beacon.Put(115,0,5"&amp;TEXT(M電入力!$I31,"00")&amp;");"</f>
        <v>Beacon.Put(115,0,500);</v>
      </c>
      <c r="M26" t="str">
        <f>"Beacon.Put(115,0,6"&amp;TEXT(M電入力!$I32,"00")&amp;");"</f>
        <v>Beacon.Put(115,0,600);</v>
      </c>
      <c r="N26" t="str">
        <f>"Beacon.Put(116,0,1"&amp;M電入力!$AE27&amp;");"</f>
        <v>Beacon.Put(116,0,10215);</v>
      </c>
      <c r="O26" t="str">
        <f>"Beacon.Put(116,0,2"&amp;M電入力!$AE28&amp;");"</f>
        <v>Beacon.Put(116,0,20630);</v>
      </c>
      <c r="P26" t="str">
        <f>"Beacon.Put(116,0,3"&amp;M電入力!$AE29&amp;");"</f>
        <v>Beacon.Put(116,0,30000);</v>
      </c>
      <c r="Q26" t="str">
        <f>"Beacon.Put(116,0,4"&amp;M電入力!$AE30&amp;");"</f>
        <v>Beacon.Put(116,0,40000);</v>
      </c>
      <c r="R26" t="str">
        <f>"Beacon.Put(116,0,5"&amp;M電入力!$AE31&amp;");"</f>
        <v>Beacon.Put(116,0,50000);</v>
      </c>
      <c r="S26" t="str">
        <f>"Beacon.Put(116,0,6"&amp;M電入力!$AE32&amp;");"</f>
        <v>Beacon.Put(116,0,60000);</v>
      </c>
    </row>
    <row r="27" spans="1:19">
      <c r="A27" t="str">
        <f>M電入力!C28&amp;"+25;"</f>
        <v>102162+25;</v>
      </c>
      <c r="B27" t="str">
        <f>"Beacon.Put(114,0,1"&amp;TEXT(M電入力!$H28,"00")&amp;");"</f>
        <v>Beacon.Put(114,0,100);</v>
      </c>
      <c r="C27" t="str">
        <f>"Beacon.Put(114,0,2"&amp;TEXT(M電入力!$H29,"00")&amp;");"</f>
        <v>Beacon.Put(114,0,245);</v>
      </c>
      <c r="D27" t="str">
        <f>"Beacon.Put(114,0,3"&amp;TEXT(M電入力!$H30,"00")&amp;");"</f>
        <v>Beacon.Put(114,0,300);</v>
      </c>
      <c r="E27" t="str">
        <f>"Beacon.Put(114,0,4"&amp;TEXT(M電入力!$H31,"00")&amp;");"</f>
        <v>Beacon.Put(114,0,400);</v>
      </c>
      <c r="F27" t="str">
        <f>"Beacon.Put(114,0,5"&amp;TEXT(M電入力!$H32,"00")&amp;");"</f>
        <v>Beacon.Put(114,0,500);</v>
      </c>
      <c r="G27" t="str">
        <f>"Beacon.Put(114,0,6"&amp;TEXT(M電入力!$H33,"00")&amp;");"</f>
        <v>Beacon.Put(114,0,600);</v>
      </c>
      <c r="H27" t="str">
        <f>"Beacon.Put(115,0,1"&amp;TEXT(M電入力!$I28,"00")&amp;");"</f>
        <v>Beacon.Put(115,0,100);</v>
      </c>
      <c r="I27" t="str">
        <f>"Beacon.Put(115,0,2"&amp;TEXT(M電入力!$I29,"00")&amp;");"</f>
        <v>Beacon.Put(115,0,200);</v>
      </c>
      <c r="J27" t="str">
        <f>"Beacon.Put(115,0,3"&amp;TEXT(M電入力!$I30,"00")&amp;");"</f>
        <v>Beacon.Put(115,0,300);</v>
      </c>
      <c r="K27" t="str">
        <f>"Beacon.Put(115,0,4"&amp;TEXT(M電入力!$I31,"00")&amp;");"</f>
        <v>Beacon.Put(115,0,400);</v>
      </c>
      <c r="L27" t="str">
        <f>"Beacon.Put(115,0,5"&amp;TEXT(M電入力!$I32,"00")&amp;");"</f>
        <v>Beacon.Put(115,0,500);</v>
      </c>
      <c r="M27" t="str">
        <f>"Beacon.Put(115,0,6"&amp;TEXT(M電入力!$I33,"00")&amp;");"</f>
        <v>Beacon.Put(115,0,600);</v>
      </c>
      <c r="N27" t="str">
        <f>"Beacon.Put(116,0,1"&amp;M電入力!$AE28&amp;");"</f>
        <v>Beacon.Put(116,0,10630);</v>
      </c>
      <c r="O27" t="str">
        <f>"Beacon.Put(116,0,2"&amp;M電入力!$AE29&amp;");"</f>
        <v>Beacon.Put(116,0,20000);</v>
      </c>
      <c r="P27" t="str">
        <f>"Beacon.Put(116,0,3"&amp;M電入力!$AE30&amp;");"</f>
        <v>Beacon.Put(116,0,30000);</v>
      </c>
      <c r="Q27" t="str">
        <f>"Beacon.Put(116,0,4"&amp;M電入力!$AE31&amp;");"</f>
        <v>Beacon.Put(116,0,40000);</v>
      </c>
      <c r="R27" t="str">
        <f>"Beacon.Put(116,0,5"&amp;M電入力!$AE32&amp;");"</f>
        <v>Beacon.Put(116,0,50000);</v>
      </c>
      <c r="S27" t="str">
        <f>"Beacon.Put(116,0,6"&amp;M電入力!$AE33&amp;");"</f>
        <v>Beacon.Put(116,0,60000);</v>
      </c>
    </row>
    <row r="28" spans="1:19">
      <c r="A28" t="str">
        <f>M電入力!C29&amp;"+25;"</f>
        <v>109904+25;</v>
      </c>
      <c r="B28" t="str">
        <f>"Beacon.Put(114,0,1"&amp;TEXT(M電入力!$H29,"00")&amp;");"</f>
        <v>Beacon.Put(114,0,145);</v>
      </c>
      <c r="C28" t="str">
        <f>"Beacon.Put(114,0,2"&amp;TEXT(M電入力!$H30,"00")&amp;");"</f>
        <v>Beacon.Put(114,0,200);</v>
      </c>
      <c r="D28" t="str">
        <f>"Beacon.Put(114,0,3"&amp;TEXT(M電入力!$H31,"00")&amp;");"</f>
        <v>Beacon.Put(114,0,300);</v>
      </c>
      <c r="E28" t="str">
        <f>"Beacon.Put(114,0,4"&amp;TEXT(M電入力!$H32,"00")&amp;");"</f>
        <v>Beacon.Put(114,0,400);</v>
      </c>
      <c r="F28" t="str">
        <f>"Beacon.Put(114,0,5"&amp;TEXT(M電入力!$H33,"00")&amp;");"</f>
        <v>Beacon.Put(114,0,500);</v>
      </c>
      <c r="G28" t="str">
        <f>"Beacon.Put(114,0,6"&amp;TEXT(M電入力!$H34,"00")&amp;");"</f>
        <v>Beacon.Put(114,0,600);</v>
      </c>
      <c r="H28" t="str">
        <f>"Beacon.Put(115,0,1"&amp;TEXT(M電入力!$I29,"00")&amp;");"</f>
        <v>Beacon.Put(115,0,100);</v>
      </c>
      <c r="I28" t="str">
        <f>"Beacon.Put(115,0,2"&amp;TEXT(M電入力!$I30,"00")&amp;");"</f>
        <v>Beacon.Put(115,0,200);</v>
      </c>
      <c r="J28" t="str">
        <f>"Beacon.Put(115,0,3"&amp;TEXT(M電入力!$I31,"00")&amp;");"</f>
        <v>Beacon.Put(115,0,300);</v>
      </c>
      <c r="K28" t="str">
        <f>"Beacon.Put(115,0,4"&amp;TEXT(M電入力!$I32,"00")&amp;");"</f>
        <v>Beacon.Put(115,0,400);</v>
      </c>
      <c r="L28" t="str">
        <f>"Beacon.Put(115,0,5"&amp;TEXT(M電入力!$I33,"00")&amp;");"</f>
        <v>Beacon.Put(115,0,500);</v>
      </c>
      <c r="M28" t="str">
        <f>"Beacon.Put(115,0,6"&amp;TEXT(M電入力!$I34,"00")&amp;");"</f>
        <v>Beacon.Put(115,0,600);</v>
      </c>
      <c r="N28" t="str">
        <f>"Beacon.Put(116,0,1"&amp;M電入力!$AE29&amp;");"</f>
        <v>Beacon.Put(116,0,10000);</v>
      </c>
      <c r="O28" t="str">
        <f>"Beacon.Put(116,0,2"&amp;M電入力!$AE30&amp;");"</f>
        <v>Beacon.Put(116,0,20000);</v>
      </c>
      <c r="P28" t="str">
        <f>"Beacon.Put(116,0,3"&amp;M電入力!$AE31&amp;");"</f>
        <v>Beacon.Put(116,0,30000);</v>
      </c>
      <c r="Q28" t="str">
        <f>"Beacon.Put(116,0,4"&amp;M電入力!$AE32&amp;");"</f>
        <v>Beacon.Put(116,0,40000);</v>
      </c>
      <c r="R28" t="str">
        <f>"Beacon.Put(116,0,5"&amp;M電入力!$AE33&amp;");"</f>
        <v>Beacon.Put(116,0,50000);</v>
      </c>
      <c r="S28" t="str">
        <f>"Beacon.Put(116,0,6"&amp;M電入力!$AE34&amp;");"</f>
        <v>Beacon.Put(116,0,60000);</v>
      </c>
    </row>
    <row r="29" spans="1:19">
      <c r="A29" t="str">
        <f>M電入力!C30&amp;"+25;"</f>
        <v>+25;</v>
      </c>
      <c r="B29" t="str">
        <f>"Beacon.Put(114,0,1"&amp;TEXT(M電入力!$H30,"00")&amp;");"</f>
        <v>Beacon.Put(114,0,100);</v>
      </c>
      <c r="C29" t="str">
        <f>"Beacon.Put(114,0,2"&amp;TEXT(M電入力!$H31,"00")&amp;");"</f>
        <v>Beacon.Put(114,0,200);</v>
      </c>
      <c r="D29" t="str">
        <f>"Beacon.Put(114,0,3"&amp;TEXT(M電入力!$H32,"00")&amp;");"</f>
        <v>Beacon.Put(114,0,300);</v>
      </c>
      <c r="E29" t="str">
        <f>"Beacon.Put(114,0,4"&amp;TEXT(M電入力!$H33,"00")&amp;");"</f>
        <v>Beacon.Put(114,0,400);</v>
      </c>
      <c r="F29" t="str">
        <f>"Beacon.Put(114,0,5"&amp;TEXT(M電入力!$H34,"00")&amp;");"</f>
        <v>Beacon.Put(114,0,500);</v>
      </c>
      <c r="G29" t="str">
        <f>"Beacon.Put(114,0,6"&amp;TEXT(M電入力!$H35,"00")&amp;");"</f>
        <v>Beacon.Put(114,0,600);</v>
      </c>
      <c r="H29" t="str">
        <f>"Beacon.Put(115,0,1"&amp;TEXT(M電入力!$I30,"00")&amp;");"</f>
        <v>Beacon.Put(115,0,100);</v>
      </c>
      <c r="I29" t="str">
        <f>"Beacon.Put(115,0,2"&amp;TEXT(M電入力!$I31,"00")&amp;");"</f>
        <v>Beacon.Put(115,0,200);</v>
      </c>
      <c r="J29" t="str">
        <f>"Beacon.Put(115,0,3"&amp;TEXT(M電入力!$I32,"00")&amp;");"</f>
        <v>Beacon.Put(115,0,300);</v>
      </c>
      <c r="K29" t="str">
        <f>"Beacon.Put(115,0,4"&amp;TEXT(M電入力!$I33,"00")&amp;");"</f>
        <v>Beacon.Put(115,0,400);</v>
      </c>
      <c r="L29" t="str">
        <f>"Beacon.Put(115,0,5"&amp;TEXT(M電入力!$I34,"00")&amp;");"</f>
        <v>Beacon.Put(115,0,500);</v>
      </c>
      <c r="M29" t="str">
        <f>"Beacon.Put(115,0,6"&amp;TEXT(M電入力!$I35,"00")&amp;");"</f>
        <v>Beacon.Put(115,0,600);</v>
      </c>
      <c r="N29" t="str">
        <f>"Beacon.Put(116,0,1"&amp;M電入力!$AE30&amp;");"</f>
        <v>Beacon.Put(116,0,10000);</v>
      </c>
      <c r="O29" t="str">
        <f>"Beacon.Put(116,0,2"&amp;M電入力!$AE31&amp;");"</f>
        <v>Beacon.Put(116,0,20000);</v>
      </c>
      <c r="P29" t="str">
        <f>"Beacon.Put(116,0,3"&amp;M電入力!$AE32&amp;");"</f>
        <v>Beacon.Put(116,0,30000);</v>
      </c>
      <c r="Q29" t="str">
        <f>"Beacon.Put(116,0,4"&amp;M電入力!$AE33&amp;");"</f>
        <v>Beacon.Put(116,0,40000);</v>
      </c>
      <c r="R29" t="str">
        <f>"Beacon.Put(116,0,5"&amp;M電入力!$AE34&amp;");"</f>
        <v>Beacon.Put(116,0,50000);</v>
      </c>
      <c r="S29" t="str">
        <f>"Beacon.Put(116,0,6"&amp;M電入力!$AE35&amp;");"</f>
        <v>Beacon.Put(116,0,60000);</v>
      </c>
    </row>
    <row r="30" spans="1:19">
      <c r="A30" t="str">
        <f>M電入力!C31&amp;"+25;"</f>
        <v>+25;</v>
      </c>
      <c r="B30" t="str">
        <f>"Beacon.Put(114,0,1"&amp;TEXT(M電入力!$H31,"00")&amp;");"</f>
        <v>Beacon.Put(114,0,100);</v>
      </c>
      <c r="C30" t="str">
        <f>"Beacon.Put(114,0,2"&amp;TEXT(M電入力!$H32,"00")&amp;");"</f>
        <v>Beacon.Put(114,0,200);</v>
      </c>
      <c r="D30" t="str">
        <f>"Beacon.Put(114,0,3"&amp;TEXT(M電入力!$H33,"00")&amp;");"</f>
        <v>Beacon.Put(114,0,300);</v>
      </c>
      <c r="E30" t="str">
        <f>"Beacon.Put(114,0,4"&amp;TEXT(M電入力!$H34,"00")&amp;");"</f>
        <v>Beacon.Put(114,0,400);</v>
      </c>
      <c r="F30" t="str">
        <f>"Beacon.Put(114,0,5"&amp;TEXT(M電入力!$H35,"00")&amp;");"</f>
        <v>Beacon.Put(114,0,500);</v>
      </c>
      <c r="G30" t="str">
        <f>"Beacon.Put(114,0,6"&amp;TEXT(M電入力!$H36,"00")&amp;");"</f>
        <v>Beacon.Put(114,0,600);</v>
      </c>
      <c r="H30" t="str">
        <f>"Beacon.Put(115,0,1"&amp;TEXT(M電入力!$I31,"00")&amp;");"</f>
        <v>Beacon.Put(115,0,100);</v>
      </c>
      <c r="I30" t="str">
        <f>"Beacon.Put(115,0,2"&amp;TEXT(M電入力!$I32,"00")&amp;");"</f>
        <v>Beacon.Put(115,0,200);</v>
      </c>
      <c r="J30" t="str">
        <f>"Beacon.Put(115,0,3"&amp;TEXT(M電入力!$I33,"00")&amp;");"</f>
        <v>Beacon.Put(115,0,300);</v>
      </c>
      <c r="K30" t="str">
        <f>"Beacon.Put(115,0,4"&amp;TEXT(M電入力!$I34,"00")&amp;");"</f>
        <v>Beacon.Put(115,0,400);</v>
      </c>
      <c r="L30" t="str">
        <f>"Beacon.Put(115,0,5"&amp;TEXT(M電入力!$I35,"00")&amp;");"</f>
        <v>Beacon.Put(115,0,500);</v>
      </c>
      <c r="M30" t="str">
        <f>"Beacon.Put(115,0,6"&amp;TEXT(M電入力!$I36,"00")&amp;");"</f>
        <v>Beacon.Put(115,0,600);</v>
      </c>
      <c r="N30" t="str">
        <f>"Beacon.Put(116,0,1"&amp;M電入力!$AE31&amp;");"</f>
        <v>Beacon.Put(116,0,10000);</v>
      </c>
      <c r="O30" t="str">
        <f>"Beacon.Put(116,0,2"&amp;M電入力!$AE32&amp;");"</f>
        <v>Beacon.Put(116,0,20000);</v>
      </c>
      <c r="P30" t="str">
        <f>"Beacon.Put(116,0,3"&amp;M電入力!$AE33&amp;");"</f>
        <v>Beacon.Put(116,0,30000);</v>
      </c>
      <c r="Q30" t="str">
        <f>"Beacon.Put(116,0,4"&amp;M電入力!$AE34&amp;");"</f>
        <v>Beacon.Put(116,0,40000);</v>
      </c>
      <c r="R30" t="str">
        <f>"Beacon.Put(116,0,5"&amp;M電入力!$AE35&amp;");"</f>
        <v>Beacon.Put(116,0,50000);</v>
      </c>
      <c r="S30" t="str">
        <f>"Beacon.Put(116,0,6"&amp;M電入力!$AE36&amp;");"</f>
        <v>Beacon.Put(116,0,60000);</v>
      </c>
    </row>
    <row r="31" spans="1:19">
      <c r="A31" t="str">
        <f>M電入力!C32&amp;"+25;"</f>
        <v>+25;</v>
      </c>
      <c r="B31" t="str">
        <f>"Beacon.Put(114,0,1"&amp;TEXT(M電入力!$H32,"00")&amp;");"</f>
        <v>Beacon.Put(114,0,100);</v>
      </c>
      <c r="C31" t="str">
        <f>"Beacon.Put(114,0,2"&amp;TEXT(M電入力!$H33,"00")&amp;");"</f>
        <v>Beacon.Put(114,0,200);</v>
      </c>
      <c r="D31" t="str">
        <f>"Beacon.Put(114,0,3"&amp;TEXT(M電入力!$H34,"00")&amp;");"</f>
        <v>Beacon.Put(114,0,300);</v>
      </c>
      <c r="E31" t="str">
        <f>"Beacon.Put(114,0,4"&amp;TEXT(M電入力!$H35,"00")&amp;");"</f>
        <v>Beacon.Put(114,0,400);</v>
      </c>
      <c r="F31" t="str">
        <f>"Beacon.Put(114,0,5"&amp;TEXT(M電入力!$H36,"00")&amp;");"</f>
        <v>Beacon.Put(114,0,500);</v>
      </c>
      <c r="G31" t="str">
        <f>"Beacon.Put(114,0,6"&amp;TEXT(M電入力!$H37,"00")&amp;");"</f>
        <v>Beacon.Put(114,0,600);</v>
      </c>
      <c r="H31" t="str">
        <f>"Beacon.Put(115,0,1"&amp;TEXT(M電入力!$I32,"00")&amp;");"</f>
        <v>Beacon.Put(115,0,100);</v>
      </c>
      <c r="I31" t="str">
        <f>"Beacon.Put(115,0,2"&amp;TEXT(M電入力!$I33,"00")&amp;");"</f>
        <v>Beacon.Put(115,0,200);</v>
      </c>
      <c r="J31" t="str">
        <f>"Beacon.Put(115,0,3"&amp;TEXT(M電入力!$I34,"00")&amp;");"</f>
        <v>Beacon.Put(115,0,300);</v>
      </c>
      <c r="K31" t="str">
        <f>"Beacon.Put(115,0,4"&amp;TEXT(M電入力!$I35,"00")&amp;");"</f>
        <v>Beacon.Put(115,0,400);</v>
      </c>
      <c r="L31" t="str">
        <f>"Beacon.Put(115,0,5"&amp;TEXT(M電入力!$I36,"00")&amp;");"</f>
        <v>Beacon.Put(115,0,500);</v>
      </c>
      <c r="M31" t="str">
        <f>"Beacon.Put(115,0,6"&amp;TEXT(M電入力!$I37,"00")&amp;");"</f>
        <v>Beacon.Put(115,0,600);</v>
      </c>
      <c r="N31" t="str">
        <f>"Beacon.Put(116,0,1"&amp;M電入力!$AE32&amp;");"</f>
        <v>Beacon.Put(116,0,10000);</v>
      </c>
      <c r="O31" t="str">
        <f>"Beacon.Put(116,0,2"&amp;M電入力!$AE33&amp;");"</f>
        <v>Beacon.Put(116,0,20000);</v>
      </c>
      <c r="P31" t="str">
        <f>"Beacon.Put(116,0,3"&amp;M電入力!$AE34&amp;");"</f>
        <v>Beacon.Put(116,0,30000);</v>
      </c>
      <c r="Q31" t="str">
        <f>"Beacon.Put(116,0,4"&amp;M電入力!$AE35&amp;");"</f>
        <v>Beacon.Put(116,0,40000);</v>
      </c>
      <c r="R31" t="str">
        <f>"Beacon.Put(116,0,5"&amp;M電入力!$AE36&amp;");"</f>
        <v>Beacon.Put(116,0,50000);</v>
      </c>
      <c r="S31" t="str">
        <f>"Beacon.Put(116,0,6"&amp;M電入力!$AE37&amp;");"</f>
        <v>Beacon.Put(116,0,60000);</v>
      </c>
    </row>
    <row r="32" spans="1:19">
      <c r="A32" t="str">
        <f>M電入力!C33&amp;"+25;"</f>
        <v>+25;</v>
      </c>
      <c r="B32" t="str">
        <f>"Beacon.Put(114,0,1"&amp;TEXT(M電入力!$H33,"00")&amp;");"</f>
        <v>Beacon.Put(114,0,100);</v>
      </c>
      <c r="C32" t="str">
        <f>"Beacon.Put(114,0,2"&amp;TEXT(M電入力!$H34,"00")&amp;");"</f>
        <v>Beacon.Put(114,0,200);</v>
      </c>
      <c r="D32" t="str">
        <f>"Beacon.Put(114,0,3"&amp;TEXT(M電入力!$H35,"00")&amp;");"</f>
        <v>Beacon.Put(114,0,300);</v>
      </c>
      <c r="E32" t="str">
        <f>"Beacon.Put(114,0,4"&amp;TEXT(M電入力!$H36,"00")&amp;");"</f>
        <v>Beacon.Put(114,0,400);</v>
      </c>
      <c r="F32" t="str">
        <f>"Beacon.Put(114,0,5"&amp;TEXT(M電入力!$H37,"00")&amp;");"</f>
        <v>Beacon.Put(114,0,500);</v>
      </c>
      <c r="G32" t="str">
        <f>"Beacon.Put(114,0,6"&amp;TEXT(M電入力!$H38,"00")&amp;");"</f>
        <v>Beacon.Put(114,0,600);</v>
      </c>
      <c r="H32" t="str">
        <f>"Beacon.Put(115,0,1"&amp;TEXT(M電入力!$I33,"00")&amp;");"</f>
        <v>Beacon.Put(115,0,100);</v>
      </c>
      <c r="I32" t="str">
        <f>"Beacon.Put(115,0,2"&amp;TEXT(M電入力!$I34,"00")&amp;");"</f>
        <v>Beacon.Put(115,0,200);</v>
      </c>
      <c r="J32" t="str">
        <f>"Beacon.Put(115,0,3"&amp;TEXT(M電入力!$I35,"00")&amp;");"</f>
        <v>Beacon.Put(115,0,300);</v>
      </c>
      <c r="K32" t="str">
        <f>"Beacon.Put(115,0,4"&amp;TEXT(M電入力!$I36,"00")&amp;");"</f>
        <v>Beacon.Put(115,0,400);</v>
      </c>
      <c r="L32" t="str">
        <f>"Beacon.Put(115,0,5"&amp;TEXT(M電入力!$I37,"00")&amp;");"</f>
        <v>Beacon.Put(115,0,500);</v>
      </c>
      <c r="M32" t="str">
        <f>"Beacon.Put(115,0,6"&amp;TEXT(M電入力!$I38,"00")&amp;");"</f>
        <v>Beacon.Put(115,0,600);</v>
      </c>
      <c r="N32" t="str">
        <f>"Beacon.Put(116,0,1"&amp;M電入力!$AE33&amp;");"</f>
        <v>Beacon.Put(116,0,10000);</v>
      </c>
      <c r="O32" t="str">
        <f>"Beacon.Put(116,0,2"&amp;M電入力!$AE34&amp;");"</f>
        <v>Beacon.Put(116,0,20000);</v>
      </c>
      <c r="P32" t="str">
        <f>"Beacon.Put(116,0,3"&amp;M電入力!$AE35&amp;");"</f>
        <v>Beacon.Put(116,0,30000);</v>
      </c>
      <c r="Q32" t="str">
        <f>"Beacon.Put(116,0,4"&amp;M電入力!$AE36&amp;");"</f>
        <v>Beacon.Put(116,0,40000);</v>
      </c>
      <c r="R32" t="str">
        <f>"Beacon.Put(116,0,5"&amp;M電入力!$AE37&amp;");"</f>
        <v>Beacon.Put(116,0,50000);</v>
      </c>
      <c r="S32" t="str">
        <f>"Beacon.Put(116,0,6"&amp;M電入力!$AE38&amp;");"</f>
        <v>Beacon.Put(116,0,60000);</v>
      </c>
    </row>
    <row r="33" spans="1:19">
      <c r="A33" t="str">
        <f>M電入力!C34&amp;"+25;"</f>
        <v>+25;</v>
      </c>
      <c r="B33" t="str">
        <f>"Beacon.Put(114,0,1"&amp;TEXT(M電入力!$H34,"00")&amp;");"</f>
        <v>Beacon.Put(114,0,100);</v>
      </c>
      <c r="C33" t="str">
        <f>"Beacon.Put(114,0,2"&amp;TEXT(M電入力!$H35,"00")&amp;");"</f>
        <v>Beacon.Put(114,0,200);</v>
      </c>
      <c r="D33" t="str">
        <f>"Beacon.Put(114,0,3"&amp;TEXT(M電入力!$H36,"00")&amp;");"</f>
        <v>Beacon.Put(114,0,300);</v>
      </c>
      <c r="E33" t="str">
        <f>"Beacon.Put(114,0,4"&amp;TEXT(M電入力!$H37,"00")&amp;");"</f>
        <v>Beacon.Put(114,0,400);</v>
      </c>
      <c r="F33" t="str">
        <f>"Beacon.Put(114,0,5"&amp;TEXT(M電入力!$H38,"00")&amp;");"</f>
        <v>Beacon.Put(114,0,500);</v>
      </c>
      <c r="G33" t="str">
        <f>"Beacon.Put(114,0,6"&amp;TEXT(M電入力!$H39,"00")&amp;");"</f>
        <v>Beacon.Put(114,0,600);</v>
      </c>
      <c r="H33" t="str">
        <f>"Beacon.Put(115,0,1"&amp;TEXT(M電入力!$I34,"00")&amp;");"</f>
        <v>Beacon.Put(115,0,100);</v>
      </c>
      <c r="I33" t="str">
        <f>"Beacon.Put(115,0,2"&amp;TEXT(M電入力!$I35,"00")&amp;");"</f>
        <v>Beacon.Put(115,0,200);</v>
      </c>
      <c r="J33" t="str">
        <f>"Beacon.Put(115,0,3"&amp;TEXT(M電入力!$I36,"00")&amp;");"</f>
        <v>Beacon.Put(115,0,300);</v>
      </c>
      <c r="K33" t="str">
        <f>"Beacon.Put(115,0,4"&amp;TEXT(M電入力!$I37,"00")&amp;");"</f>
        <v>Beacon.Put(115,0,400);</v>
      </c>
      <c r="L33" t="str">
        <f>"Beacon.Put(115,0,5"&amp;TEXT(M電入力!$I38,"00")&amp;");"</f>
        <v>Beacon.Put(115,0,500);</v>
      </c>
      <c r="M33" t="str">
        <f>"Beacon.Put(115,0,6"&amp;TEXT(M電入力!$I39,"00")&amp;");"</f>
        <v>Beacon.Put(115,0,600);</v>
      </c>
      <c r="N33" t="str">
        <f>"Beacon.Put(116,0,1"&amp;M電入力!$AE34&amp;");"</f>
        <v>Beacon.Put(116,0,10000);</v>
      </c>
      <c r="O33" t="str">
        <f>"Beacon.Put(116,0,2"&amp;M電入力!$AE35&amp;");"</f>
        <v>Beacon.Put(116,0,20000);</v>
      </c>
      <c r="P33" t="str">
        <f>"Beacon.Put(116,0,3"&amp;M電入力!$AE36&amp;");"</f>
        <v>Beacon.Put(116,0,30000);</v>
      </c>
      <c r="Q33" t="str">
        <f>"Beacon.Put(116,0,4"&amp;M電入力!$AE37&amp;");"</f>
        <v>Beacon.Put(116,0,40000);</v>
      </c>
      <c r="R33" t="str">
        <f>"Beacon.Put(116,0,5"&amp;M電入力!$AE38&amp;");"</f>
        <v>Beacon.Put(116,0,50000);</v>
      </c>
      <c r="S33" t="str">
        <f>"Beacon.Put(116,0,6"&amp;M電入力!$AE39&amp;");"</f>
        <v>Beacon.Put(116,0,60000);</v>
      </c>
    </row>
    <row r="34" spans="1:19">
      <c r="A34" t="str">
        <f>M電入力!C35&amp;"+25;"</f>
        <v>+25;</v>
      </c>
      <c r="B34" t="str">
        <f>"Beacon.Put(114,0,1"&amp;TEXT(M電入力!$H35,"00")&amp;");"</f>
        <v>Beacon.Put(114,0,100);</v>
      </c>
      <c r="C34" t="str">
        <f>"Beacon.Put(114,0,2"&amp;TEXT(M電入力!$H36,"00")&amp;");"</f>
        <v>Beacon.Put(114,0,200);</v>
      </c>
      <c r="D34" t="str">
        <f>"Beacon.Put(114,0,3"&amp;TEXT(M電入力!$H37,"00")&amp;");"</f>
        <v>Beacon.Put(114,0,300);</v>
      </c>
      <c r="E34" t="str">
        <f>"Beacon.Put(114,0,4"&amp;TEXT(M電入力!$H38,"00")&amp;");"</f>
        <v>Beacon.Put(114,0,400);</v>
      </c>
      <c r="F34" t="str">
        <f>"Beacon.Put(114,0,5"&amp;TEXT(M電入力!$H39,"00")&amp;");"</f>
        <v>Beacon.Put(114,0,500);</v>
      </c>
      <c r="G34" t="str">
        <f>"Beacon.Put(114,0,6"&amp;TEXT(M電入力!$H40,"00")&amp;");"</f>
        <v>Beacon.Put(114,0,600);</v>
      </c>
      <c r="H34" t="str">
        <f>"Beacon.Put(115,0,1"&amp;TEXT(M電入力!$I35,"00")&amp;");"</f>
        <v>Beacon.Put(115,0,100);</v>
      </c>
      <c r="I34" t="str">
        <f>"Beacon.Put(115,0,2"&amp;TEXT(M電入力!$I36,"00")&amp;");"</f>
        <v>Beacon.Put(115,0,200);</v>
      </c>
      <c r="J34" t="str">
        <f>"Beacon.Put(115,0,3"&amp;TEXT(M電入力!$I37,"00")&amp;");"</f>
        <v>Beacon.Put(115,0,300);</v>
      </c>
      <c r="K34" t="str">
        <f>"Beacon.Put(115,0,4"&amp;TEXT(M電入力!$I38,"00")&amp;");"</f>
        <v>Beacon.Put(115,0,400);</v>
      </c>
      <c r="L34" t="str">
        <f>"Beacon.Put(115,0,5"&amp;TEXT(M電入力!$I39,"00")&amp;");"</f>
        <v>Beacon.Put(115,0,500);</v>
      </c>
      <c r="M34" t="str">
        <f>"Beacon.Put(115,0,6"&amp;TEXT(M電入力!$I40,"00")&amp;");"</f>
        <v>Beacon.Put(115,0,600);</v>
      </c>
      <c r="N34" t="str">
        <f>"Beacon.Put(116,0,1"&amp;M電入力!$AE35&amp;");"</f>
        <v>Beacon.Put(116,0,10000);</v>
      </c>
      <c r="O34" t="str">
        <f>"Beacon.Put(116,0,2"&amp;M電入力!$AE36&amp;");"</f>
        <v>Beacon.Put(116,0,20000);</v>
      </c>
      <c r="P34" t="str">
        <f>"Beacon.Put(116,0,3"&amp;M電入力!$AE37&amp;");"</f>
        <v>Beacon.Put(116,0,30000);</v>
      </c>
      <c r="Q34" t="str">
        <f>"Beacon.Put(116,0,4"&amp;M電入力!$AE38&amp;");"</f>
        <v>Beacon.Put(116,0,40000);</v>
      </c>
      <c r="R34" t="str">
        <f>"Beacon.Put(116,0,5"&amp;M電入力!$AE39&amp;");"</f>
        <v>Beacon.Put(116,0,50000);</v>
      </c>
      <c r="S34" t="str">
        <f>"Beacon.Put(116,0,6"&amp;M電入力!$AE40&amp;");"</f>
        <v>Beacon.Put(116,0,60000);</v>
      </c>
    </row>
    <row r="35" spans="1:19">
      <c r="A35" t="str">
        <f>M電入力!C36&amp;"+25;"</f>
        <v>+25;</v>
      </c>
      <c r="B35" t="str">
        <f>"Beacon.Put(114,0,1"&amp;TEXT(M電入力!$H36,"00")&amp;");"</f>
        <v>Beacon.Put(114,0,100);</v>
      </c>
      <c r="C35" t="str">
        <f>"Beacon.Put(114,0,2"&amp;TEXT(M電入力!$H37,"00")&amp;");"</f>
        <v>Beacon.Put(114,0,200);</v>
      </c>
      <c r="D35" t="str">
        <f>"Beacon.Put(114,0,3"&amp;TEXT(M電入力!$H38,"00")&amp;");"</f>
        <v>Beacon.Put(114,0,300);</v>
      </c>
      <c r="E35" t="str">
        <f>"Beacon.Put(114,0,4"&amp;TEXT(M電入力!$H39,"00")&amp;");"</f>
        <v>Beacon.Put(114,0,400);</v>
      </c>
      <c r="F35" t="str">
        <f>"Beacon.Put(114,0,5"&amp;TEXT(M電入力!$H40,"00")&amp;");"</f>
        <v>Beacon.Put(114,0,500);</v>
      </c>
      <c r="G35" t="str">
        <f>"Beacon.Put(114,0,6"&amp;TEXT(M電入力!$H41,"00")&amp;");"</f>
        <v>Beacon.Put(114,0,600);</v>
      </c>
      <c r="H35" t="str">
        <f>"Beacon.Put(115,0,1"&amp;TEXT(M電入力!$I36,"00")&amp;");"</f>
        <v>Beacon.Put(115,0,100);</v>
      </c>
      <c r="I35" t="str">
        <f>"Beacon.Put(115,0,2"&amp;TEXT(M電入力!$I37,"00")&amp;");"</f>
        <v>Beacon.Put(115,0,200);</v>
      </c>
      <c r="J35" t="str">
        <f>"Beacon.Put(115,0,3"&amp;TEXT(M電入力!$I38,"00")&amp;");"</f>
        <v>Beacon.Put(115,0,300);</v>
      </c>
      <c r="K35" t="str">
        <f>"Beacon.Put(115,0,4"&amp;TEXT(M電入力!$I39,"00")&amp;");"</f>
        <v>Beacon.Put(115,0,400);</v>
      </c>
      <c r="L35" t="str">
        <f>"Beacon.Put(115,0,5"&amp;TEXT(M電入力!$I40,"00")&amp;");"</f>
        <v>Beacon.Put(115,0,500);</v>
      </c>
      <c r="M35" t="str">
        <f>"Beacon.Put(115,0,6"&amp;TEXT(M電入力!$I41,"00")&amp;");"</f>
        <v>Beacon.Put(115,0,600);</v>
      </c>
      <c r="N35" t="str">
        <f>"Beacon.Put(116,0,1"&amp;M電入力!$AE36&amp;");"</f>
        <v>Beacon.Put(116,0,10000);</v>
      </c>
      <c r="O35" t="str">
        <f>"Beacon.Put(116,0,2"&amp;M電入力!$AE37&amp;");"</f>
        <v>Beacon.Put(116,0,20000);</v>
      </c>
      <c r="P35" t="str">
        <f>"Beacon.Put(116,0,3"&amp;M電入力!$AE38&amp;");"</f>
        <v>Beacon.Put(116,0,30000);</v>
      </c>
      <c r="Q35" t="str">
        <f>"Beacon.Put(116,0,4"&amp;M電入力!$AE39&amp;");"</f>
        <v>Beacon.Put(116,0,40000);</v>
      </c>
      <c r="R35" t="str">
        <f>"Beacon.Put(116,0,5"&amp;M電入力!$AE40&amp;");"</f>
        <v>Beacon.Put(116,0,50000);</v>
      </c>
      <c r="S35" t="str">
        <f>"Beacon.Put(116,0,6"&amp;M電入力!$AE41&amp;");"</f>
        <v>Beacon.Put(116,0,60000);</v>
      </c>
    </row>
    <row r="36" spans="1:19">
      <c r="A36" t="str">
        <f>M電入力!C37&amp;"+25;"</f>
        <v>+25;</v>
      </c>
      <c r="B36" t="str">
        <f>"Beacon.Put(114,0,1"&amp;TEXT(M電入力!$H37,"00")&amp;");"</f>
        <v>Beacon.Put(114,0,100);</v>
      </c>
      <c r="C36" t="str">
        <f>"Beacon.Put(114,0,2"&amp;TEXT(M電入力!$H38,"00")&amp;");"</f>
        <v>Beacon.Put(114,0,200);</v>
      </c>
      <c r="D36" t="str">
        <f>"Beacon.Put(114,0,3"&amp;TEXT(M電入力!$H39,"00")&amp;");"</f>
        <v>Beacon.Put(114,0,300);</v>
      </c>
      <c r="E36" t="str">
        <f>"Beacon.Put(114,0,4"&amp;TEXT(M電入力!$H40,"00")&amp;");"</f>
        <v>Beacon.Put(114,0,400);</v>
      </c>
      <c r="F36" t="str">
        <f>"Beacon.Put(114,0,5"&amp;TEXT(M電入力!$H41,"00")&amp;");"</f>
        <v>Beacon.Put(114,0,500);</v>
      </c>
      <c r="G36" t="str">
        <f>"Beacon.Put(114,0,6"&amp;TEXT(M電入力!$H42,"00")&amp;");"</f>
        <v>Beacon.Put(114,0,600);</v>
      </c>
      <c r="H36" t="str">
        <f>"Beacon.Put(115,0,1"&amp;TEXT(M電入力!$I37,"00")&amp;");"</f>
        <v>Beacon.Put(115,0,100);</v>
      </c>
      <c r="I36" t="str">
        <f>"Beacon.Put(115,0,2"&amp;TEXT(M電入力!$I38,"00")&amp;");"</f>
        <v>Beacon.Put(115,0,200);</v>
      </c>
      <c r="J36" t="str">
        <f>"Beacon.Put(115,0,3"&amp;TEXT(M電入力!$I39,"00")&amp;");"</f>
        <v>Beacon.Put(115,0,300);</v>
      </c>
      <c r="K36" t="str">
        <f>"Beacon.Put(115,0,4"&amp;TEXT(M電入力!$I40,"00")&amp;");"</f>
        <v>Beacon.Put(115,0,400);</v>
      </c>
      <c r="L36" t="str">
        <f>"Beacon.Put(115,0,5"&amp;TEXT(M電入力!$I41,"00")&amp;");"</f>
        <v>Beacon.Put(115,0,500);</v>
      </c>
      <c r="M36" t="str">
        <f>"Beacon.Put(115,0,6"&amp;TEXT(M電入力!$I42,"00")&amp;");"</f>
        <v>Beacon.Put(115,0,600);</v>
      </c>
      <c r="N36" t="str">
        <f>"Beacon.Put(116,0,1"&amp;M電入力!$AE37&amp;");"</f>
        <v>Beacon.Put(116,0,10000);</v>
      </c>
      <c r="O36" t="str">
        <f>"Beacon.Put(116,0,2"&amp;M電入力!$AE38&amp;");"</f>
        <v>Beacon.Put(116,0,20000);</v>
      </c>
      <c r="P36" t="str">
        <f>"Beacon.Put(116,0,3"&amp;M電入力!$AE39&amp;");"</f>
        <v>Beacon.Put(116,0,30000);</v>
      </c>
      <c r="Q36" t="str">
        <f>"Beacon.Put(116,0,4"&amp;M電入力!$AE40&amp;");"</f>
        <v>Beacon.Put(116,0,40000);</v>
      </c>
      <c r="R36" t="str">
        <f>"Beacon.Put(116,0,5"&amp;M電入力!$AE41&amp;");"</f>
        <v>Beacon.Put(116,0,50000);</v>
      </c>
      <c r="S36" t="str">
        <f>"Beacon.Put(116,0,6"&amp;M電入力!$AE42&amp;");"</f>
        <v>Beacon.Put(116,0,60000);</v>
      </c>
    </row>
    <row r="37" spans="1:19">
      <c r="A37" t="str">
        <f>M電入力!C38&amp;"+25;"</f>
        <v>+25;</v>
      </c>
      <c r="B37" t="str">
        <f>"Beacon.Put(114,0,1"&amp;TEXT(M電入力!$H38,"00")&amp;");"</f>
        <v>Beacon.Put(114,0,100);</v>
      </c>
      <c r="C37" t="str">
        <f>"Beacon.Put(114,0,2"&amp;TEXT(M電入力!$H39,"00")&amp;");"</f>
        <v>Beacon.Put(114,0,200);</v>
      </c>
      <c r="D37" t="str">
        <f>"Beacon.Put(114,0,3"&amp;TEXT(M電入力!$H40,"00")&amp;");"</f>
        <v>Beacon.Put(114,0,300);</v>
      </c>
      <c r="E37" t="str">
        <f>"Beacon.Put(114,0,4"&amp;TEXT(M電入力!$H41,"00")&amp;");"</f>
        <v>Beacon.Put(114,0,400);</v>
      </c>
      <c r="F37" t="str">
        <f>"Beacon.Put(114,0,5"&amp;TEXT(M電入力!$H42,"00")&amp;");"</f>
        <v>Beacon.Put(114,0,500);</v>
      </c>
      <c r="G37" t="str">
        <f>"Beacon.Put(114,0,6"&amp;TEXT(M電入力!$H43,"00")&amp;");"</f>
        <v>Beacon.Put(114,0,600);</v>
      </c>
      <c r="H37" t="str">
        <f>"Beacon.Put(115,0,1"&amp;TEXT(M電入力!$I38,"00")&amp;");"</f>
        <v>Beacon.Put(115,0,100);</v>
      </c>
      <c r="I37" t="str">
        <f>"Beacon.Put(115,0,2"&amp;TEXT(M電入力!$I39,"00")&amp;");"</f>
        <v>Beacon.Put(115,0,200);</v>
      </c>
      <c r="J37" t="str">
        <f>"Beacon.Put(115,0,3"&amp;TEXT(M電入力!$I40,"00")&amp;");"</f>
        <v>Beacon.Put(115,0,300);</v>
      </c>
      <c r="K37" t="str">
        <f>"Beacon.Put(115,0,4"&amp;TEXT(M電入力!$I41,"00")&amp;");"</f>
        <v>Beacon.Put(115,0,400);</v>
      </c>
      <c r="L37" t="str">
        <f>"Beacon.Put(115,0,5"&amp;TEXT(M電入力!$I42,"00")&amp;");"</f>
        <v>Beacon.Put(115,0,500);</v>
      </c>
      <c r="M37" t="str">
        <f>"Beacon.Put(115,0,6"&amp;TEXT(M電入力!$I43,"00")&amp;");"</f>
        <v>Beacon.Put(115,0,600);</v>
      </c>
      <c r="N37" t="str">
        <f>"Beacon.Put(116,0,1"&amp;M電入力!$AE38&amp;");"</f>
        <v>Beacon.Put(116,0,10000);</v>
      </c>
      <c r="O37" t="str">
        <f>"Beacon.Put(116,0,2"&amp;M電入力!$AE39&amp;");"</f>
        <v>Beacon.Put(116,0,20000);</v>
      </c>
      <c r="P37" t="str">
        <f>"Beacon.Put(116,0,3"&amp;M電入力!$AE40&amp;");"</f>
        <v>Beacon.Put(116,0,30000);</v>
      </c>
      <c r="Q37" t="str">
        <f>"Beacon.Put(116,0,4"&amp;M電入力!$AE41&amp;");"</f>
        <v>Beacon.Put(116,0,40000);</v>
      </c>
      <c r="R37" t="str">
        <f>"Beacon.Put(116,0,5"&amp;M電入力!$AE42&amp;");"</f>
        <v>Beacon.Put(116,0,50000);</v>
      </c>
      <c r="S37" t="str">
        <f>"Beacon.Put(116,0,6"&amp;M電入力!$AE43&amp;");"</f>
        <v>Beacon.Put(116,0,60000);</v>
      </c>
    </row>
    <row r="38" spans="1:19">
      <c r="A38" t="str">
        <f>M電入力!C39&amp;"+25;"</f>
        <v>+25;</v>
      </c>
      <c r="B38" t="str">
        <f>"Beacon.Put(114,0,1"&amp;TEXT(M電入力!$H39,"00")&amp;");"</f>
        <v>Beacon.Put(114,0,100);</v>
      </c>
      <c r="C38" t="str">
        <f>"Beacon.Put(114,0,2"&amp;TEXT(M電入力!$H40,"00")&amp;");"</f>
        <v>Beacon.Put(114,0,200);</v>
      </c>
      <c r="D38" t="str">
        <f>"Beacon.Put(114,0,3"&amp;TEXT(M電入力!$H41,"00")&amp;");"</f>
        <v>Beacon.Put(114,0,300);</v>
      </c>
      <c r="E38" t="str">
        <f>"Beacon.Put(114,0,4"&amp;TEXT(M電入力!$H42,"00")&amp;");"</f>
        <v>Beacon.Put(114,0,400);</v>
      </c>
      <c r="F38" t="str">
        <f>"Beacon.Put(114,0,5"&amp;TEXT(M電入力!$H43,"00")&amp;");"</f>
        <v>Beacon.Put(114,0,500);</v>
      </c>
      <c r="G38" t="str">
        <f>"Beacon.Put(114,0,6"&amp;TEXT(M電入力!$H44,"00")&amp;");"</f>
        <v>Beacon.Put(114,0,600);</v>
      </c>
      <c r="H38" t="str">
        <f>"Beacon.Put(115,0,1"&amp;TEXT(M電入力!$I39,"00")&amp;");"</f>
        <v>Beacon.Put(115,0,100);</v>
      </c>
      <c r="I38" t="str">
        <f>"Beacon.Put(115,0,2"&amp;TEXT(M電入力!$I40,"00")&amp;");"</f>
        <v>Beacon.Put(115,0,200);</v>
      </c>
      <c r="J38" t="str">
        <f>"Beacon.Put(115,0,3"&amp;TEXT(M電入力!$I41,"00")&amp;");"</f>
        <v>Beacon.Put(115,0,300);</v>
      </c>
      <c r="K38" t="str">
        <f>"Beacon.Put(115,0,4"&amp;TEXT(M電入力!$I42,"00")&amp;");"</f>
        <v>Beacon.Put(115,0,400);</v>
      </c>
      <c r="L38" t="str">
        <f>"Beacon.Put(115,0,5"&amp;TEXT(M電入力!$I43,"00")&amp;");"</f>
        <v>Beacon.Put(115,0,500);</v>
      </c>
      <c r="M38" t="str">
        <f>"Beacon.Put(115,0,6"&amp;TEXT(M電入力!$I44,"00")&amp;");"</f>
        <v>Beacon.Put(115,0,600);</v>
      </c>
      <c r="N38" t="str">
        <f>"Beacon.Put(116,0,1"&amp;M電入力!$AE39&amp;");"</f>
        <v>Beacon.Put(116,0,10000);</v>
      </c>
      <c r="O38" t="str">
        <f>"Beacon.Put(116,0,2"&amp;M電入力!$AE40&amp;");"</f>
        <v>Beacon.Put(116,0,20000);</v>
      </c>
      <c r="P38" t="str">
        <f>"Beacon.Put(116,0,3"&amp;M電入力!$AE41&amp;");"</f>
        <v>Beacon.Put(116,0,30000);</v>
      </c>
      <c r="Q38" t="str">
        <f>"Beacon.Put(116,0,4"&amp;M電入力!$AE42&amp;");"</f>
        <v>Beacon.Put(116,0,40000);</v>
      </c>
      <c r="R38" t="str">
        <f>"Beacon.Put(116,0,5"&amp;M電入力!$AE43&amp;");"</f>
        <v>Beacon.Put(116,0,50000);</v>
      </c>
      <c r="S38" t="str">
        <f>"Beacon.Put(116,0,6"&amp;M電入力!$AE44&amp;");"</f>
        <v>Beacon.Put(116,0,60000);</v>
      </c>
    </row>
    <row r="39" spans="1:19">
      <c r="A39" t="str">
        <f>M電入力!C40&amp;"+25;"</f>
        <v>+25;</v>
      </c>
      <c r="B39" t="str">
        <f>"Beacon.Put(114,0,1"&amp;TEXT(M電入力!$H40,"00")&amp;");"</f>
        <v>Beacon.Put(114,0,100);</v>
      </c>
      <c r="C39" t="str">
        <f>"Beacon.Put(114,0,2"&amp;TEXT(M電入力!$H41,"00")&amp;");"</f>
        <v>Beacon.Put(114,0,200);</v>
      </c>
      <c r="D39" t="str">
        <f>"Beacon.Put(114,0,3"&amp;TEXT(M電入力!$H42,"00")&amp;");"</f>
        <v>Beacon.Put(114,0,300);</v>
      </c>
      <c r="E39" t="str">
        <f>"Beacon.Put(114,0,4"&amp;TEXT(M電入力!$H43,"00")&amp;");"</f>
        <v>Beacon.Put(114,0,400);</v>
      </c>
      <c r="F39" t="str">
        <f>"Beacon.Put(114,0,5"&amp;TEXT(M電入力!$H44,"00")&amp;");"</f>
        <v>Beacon.Put(114,0,500);</v>
      </c>
      <c r="G39" t="str">
        <f>"Beacon.Put(114,0,6"&amp;TEXT(M電入力!$H45,"00")&amp;");"</f>
        <v>Beacon.Put(114,0,600);</v>
      </c>
      <c r="H39" t="str">
        <f>"Beacon.Put(115,0,1"&amp;TEXT(M電入力!$I40,"00")&amp;");"</f>
        <v>Beacon.Put(115,0,100);</v>
      </c>
      <c r="I39" t="str">
        <f>"Beacon.Put(115,0,2"&amp;TEXT(M電入力!$I41,"00")&amp;");"</f>
        <v>Beacon.Put(115,0,200);</v>
      </c>
      <c r="J39" t="str">
        <f>"Beacon.Put(115,0,3"&amp;TEXT(M電入力!$I42,"00")&amp;");"</f>
        <v>Beacon.Put(115,0,300);</v>
      </c>
      <c r="K39" t="str">
        <f>"Beacon.Put(115,0,4"&amp;TEXT(M電入力!$I43,"00")&amp;");"</f>
        <v>Beacon.Put(115,0,400);</v>
      </c>
      <c r="L39" t="str">
        <f>"Beacon.Put(115,0,5"&amp;TEXT(M電入力!$I44,"00")&amp;");"</f>
        <v>Beacon.Put(115,0,500);</v>
      </c>
      <c r="M39" t="str">
        <f>"Beacon.Put(115,0,6"&amp;TEXT(M電入力!$I45,"00")&amp;");"</f>
        <v>Beacon.Put(115,0,600);</v>
      </c>
      <c r="N39" t="str">
        <f>"Beacon.Put(116,0,1"&amp;M電入力!$AE40&amp;");"</f>
        <v>Beacon.Put(116,0,10000);</v>
      </c>
      <c r="O39" t="str">
        <f>"Beacon.Put(116,0,2"&amp;M電入力!$AE41&amp;");"</f>
        <v>Beacon.Put(116,0,20000);</v>
      </c>
      <c r="P39" t="str">
        <f>"Beacon.Put(116,0,3"&amp;M電入力!$AE42&amp;");"</f>
        <v>Beacon.Put(116,0,30000);</v>
      </c>
      <c r="Q39" t="str">
        <f>"Beacon.Put(116,0,4"&amp;M電入力!$AE43&amp;");"</f>
        <v>Beacon.Put(116,0,40000);</v>
      </c>
      <c r="R39" t="str">
        <f>"Beacon.Put(116,0,5"&amp;M電入力!$AE44&amp;");"</f>
        <v>Beacon.Put(116,0,50000);</v>
      </c>
      <c r="S39" t="str">
        <f>"Beacon.Put(116,0,6"&amp;M電入力!$AE45&amp;");"</f>
        <v>Beacon.Put(116,0,60000);</v>
      </c>
    </row>
    <row r="40" spans="1:19">
      <c r="A40" t="str">
        <f>M電入力!C41&amp;"+25;"</f>
        <v>+25;</v>
      </c>
      <c r="B40" t="str">
        <f>"Beacon.Put(114,0,1"&amp;TEXT(M電入力!$H41,"00")&amp;");"</f>
        <v>Beacon.Put(114,0,100);</v>
      </c>
      <c r="C40" t="str">
        <f>"Beacon.Put(114,0,2"&amp;TEXT(M電入力!$H42,"00")&amp;");"</f>
        <v>Beacon.Put(114,0,200);</v>
      </c>
      <c r="D40" t="str">
        <f>"Beacon.Put(114,0,3"&amp;TEXT(M電入力!$H43,"00")&amp;");"</f>
        <v>Beacon.Put(114,0,300);</v>
      </c>
      <c r="E40" t="str">
        <f>"Beacon.Put(114,0,4"&amp;TEXT(M電入力!$H44,"00")&amp;");"</f>
        <v>Beacon.Put(114,0,400);</v>
      </c>
      <c r="F40" t="str">
        <f>"Beacon.Put(114,0,5"&amp;TEXT(M電入力!$H45,"00")&amp;");"</f>
        <v>Beacon.Put(114,0,500);</v>
      </c>
      <c r="G40" t="str">
        <f>"Beacon.Put(114,0,6"&amp;TEXT(M電入力!$H46,"00")&amp;");"</f>
        <v>Beacon.Put(114,0,600);</v>
      </c>
      <c r="H40" t="str">
        <f>"Beacon.Put(115,0,1"&amp;TEXT(M電入力!$I41,"00")&amp;");"</f>
        <v>Beacon.Put(115,0,100);</v>
      </c>
      <c r="I40" t="str">
        <f>"Beacon.Put(115,0,2"&amp;TEXT(M電入力!$I42,"00")&amp;");"</f>
        <v>Beacon.Put(115,0,200);</v>
      </c>
      <c r="J40" t="str">
        <f>"Beacon.Put(115,0,3"&amp;TEXT(M電入力!$I43,"00")&amp;");"</f>
        <v>Beacon.Put(115,0,300);</v>
      </c>
      <c r="K40" t="str">
        <f>"Beacon.Put(115,0,4"&amp;TEXT(M電入力!$I44,"00")&amp;");"</f>
        <v>Beacon.Put(115,0,400);</v>
      </c>
      <c r="L40" t="str">
        <f>"Beacon.Put(115,0,5"&amp;TEXT(M電入力!$I45,"00")&amp;");"</f>
        <v>Beacon.Put(115,0,500);</v>
      </c>
      <c r="M40" t="str">
        <f>"Beacon.Put(115,0,6"&amp;TEXT(M電入力!$I46,"00")&amp;");"</f>
        <v>Beacon.Put(115,0,600);</v>
      </c>
      <c r="N40" t="str">
        <f>"Beacon.Put(116,0,1"&amp;M電入力!$AE41&amp;");"</f>
        <v>Beacon.Put(116,0,10000);</v>
      </c>
      <c r="O40" t="str">
        <f>"Beacon.Put(116,0,2"&amp;M電入力!$AE42&amp;");"</f>
        <v>Beacon.Put(116,0,20000);</v>
      </c>
      <c r="P40" t="str">
        <f>"Beacon.Put(116,0,3"&amp;M電入力!$AE43&amp;");"</f>
        <v>Beacon.Put(116,0,30000);</v>
      </c>
      <c r="Q40" t="str">
        <f>"Beacon.Put(116,0,4"&amp;M電入力!$AE44&amp;");"</f>
        <v>Beacon.Put(116,0,40000);</v>
      </c>
      <c r="R40" t="str">
        <f>"Beacon.Put(116,0,5"&amp;M電入力!$AE45&amp;");"</f>
        <v>Beacon.Put(116,0,50000);</v>
      </c>
      <c r="S40" t="str">
        <f>"Beacon.Put(116,0,6"&amp;M電入力!$AE46&amp;");"</f>
        <v>Beacon.Put(116,0,60000);</v>
      </c>
    </row>
    <row r="41" spans="1:19">
      <c r="A41" t="str">
        <f>M電入力!C42&amp;"+25;"</f>
        <v>+25;</v>
      </c>
      <c r="B41" t="str">
        <f>"Beacon.Put(114,0,1"&amp;TEXT(M電入力!$H42,"00")&amp;");"</f>
        <v>Beacon.Put(114,0,100);</v>
      </c>
      <c r="C41" t="str">
        <f>"Beacon.Put(114,0,2"&amp;TEXT(M電入力!$H43,"00")&amp;");"</f>
        <v>Beacon.Put(114,0,200);</v>
      </c>
      <c r="D41" t="str">
        <f>"Beacon.Put(114,0,3"&amp;TEXT(M電入力!$H44,"00")&amp;");"</f>
        <v>Beacon.Put(114,0,300);</v>
      </c>
      <c r="E41" t="str">
        <f>"Beacon.Put(114,0,4"&amp;TEXT(M電入力!$H45,"00")&amp;");"</f>
        <v>Beacon.Put(114,0,400);</v>
      </c>
      <c r="F41" t="str">
        <f>"Beacon.Put(114,0,5"&amp;TEXT(M電入力!$H46,"00")&amp;");"</f>
        <v>Beacon.Put(114,0,500);</v>
      </c>
      <c r="G41" t="str">
        <f>"Beacon.Put(114,0,6"&amp;TEXT(M電入力!$H47,"00")&amp;");"</f>
        <v>Beacon.Put(114,0,600);</v>
      </c>
      <c r="H41" t="str">
        <f>"Beacon.Put(115,0,1"&amp;TEXT(M電入力!$I42,"00")&amp;");"</f>
        <v>Beacon.Put(115,0,100);</v>
      </c>
      <c r="I41" t="str">
        <f>"Beacon.Put(115,0,2"&amp;TEXT(M電入力!$I43,"00")&amp;");"</f>
        <v>Beacon.Put(115,0,200);</v>
      </c>
      <c r="J41" t="str">
        <f>"Beacon.Put(115,0,3"&amp;TEXT(M電入力!$I44,"00")&amp;");"</f>
        <v>Beacon.Put(115,0,300);</v>
      </c>
      <c r="K41" t="str">
        <f>"Beacon.Put(115,0,4"&amp;TEXT(M電入力!$I45,"00")&amp;");"</f>
        <v>Beacon.Put(115,0,400);</v>
      </c>
      <c r="L41" t="str">
        <f>"Beacon.Put(115,0,5"&amp;TEXT(M電入力!$I46,"00")&amp;");"</f>
        <v>Beacon.Put(115,0,500);</v>
      </c>
      <c r="M41" t="str">
        <f>"Beacon.Put(115,0,6"&amp;TEXT(M電入力!$I47,"00")&amp;");"</f>
        <v>Beacon.Put(115,0,600);</v>
      </c>
      <c r="N41" t="str">
        <f>"Beacon.Put(116,0,1"&amp;M電入力!$AE42&amp;");"</f>
        <v>Beacon.Put(116,0,10000);</v>
      </c>
      <c r="O41" t="str">
        <f>"Beacon.Put(116,0,2"&amp;M電入力!$AE43&amp;");"</f>
        <v>Beacon.Put(116,0,20000);</v>
      </c>
      <c r="P41" t="str">
        <f>"Beacon.Put(116,0,3"&amp;M電入力!$AE44&amp;");"</f>
        <v>Beacon.Put(116,0,30000);</v>
      </c>
      <c r="Q41" t="str">
        <f>"Beacon.Put(116,0,4"&amp;M電入力!$AE45&amp;");"</f>
        <v>Beacon.Put(116,0,40000);</v>
      </c>
      <c r="R41" t="str">
        <f>"Beacon.Put(116,0,5"&amp;M電入力!$AE46&amp;");"</f>
        <v>Beacon.Put(116,0,50000);</v>
      </c>
      <c r="S41" t="str">
        <f>"Beacon.Put(116,0,6"&amp;M電入力!$AE47&amp;");"</f>
        <v>Beacon.Put(116,0,60000);</v>
      </c>
    </row>
    <row r="42" spans="1:19">
      <c r="A42" t="str">
        <f>M電入力!C43&amp;"+25;"</f>
        <v>+25;</v>
      </c>
      <c r="B42" t="str">
        <f>"Beacon.Put(114,0,1"&amp;TEXT(M電入力!$H43,"00")&amp;");"</f>
        <v>Beacon.Put(114,0,100);</v>
      </c>
      <c r="C42" t="str">
        <f>"Beacon.Put(114,0,2"&amp;TEXT(M電入力!$H44,"00")&amp;");"</f>
        <v>Beacon.Put(114,0,200);</v>
      </c>
      <c r="D42" t="str">
        <f>"Beacon.Put(114,0,3"&amp;TEXT(M電入力!$H45,"00")&amp;");"</f>
        <v>Beacon.Put(114,0,300);</v>
      </c>
      <c r="E42" t="str">
        <f>"Beacon.Put(114,0,4"&amp;TEXT(M電入力!$H46,"00")&amp;");"</f>
        <v>Beacon.Put(114,0,400);</v>
      </c>
      <c r="F42" t="str">
        <f>"Beacon.Put(114,0,5"&amp;TEXT(M電入力!$H47,"00")&amp;");"</f>
        <v>Beacon.Put(114,0,500);</v>
      </c>
      <c r="G42" t="str">
        <f>"Beacon.Put(114,0,6"&amp;TEXT(M電入力!$H48,"00")&amp;");"</f>
        <v>Beacon.Put(114,0,600);</v>
      </c>
      <c r="H42" t="str">
        <f>"Beacon.Put(115,0,1"&amp;TEXT(M電入力!$I43,"00")&amp;");"</f>
        <v>Beacon.Put(115,0,100);</v>
      </c>
      <c r="I42" t="str">
        <f>"Beacon.Put(115,0,2"&amp;TEXT(M電入力!$I44,"00")&amp;");"</f>
        <v>Beacon.Put(115,0,200);</v>
      </c>
      <c r="J42" t="str">
        <f>"Beacon.Put(115,0,3"&amp;TEXT(M電入力!$I45,"00")&amp;");"</f>
        <v>Beacon.Put(115,0,300);</v>
      </c>
      <c r="K42" t="str">
        <f>"Beacon.Put(115,0,4"&amp;TEXT(M電入力!$I46,"00")&amp;");"</f>
        <v>Beacon.Put(115,0,400);</v>
      </c>
      <c r="L42" t="str">
        <f>"Beacon.Put(115,0,5"&amp;TEXT(M電入力!$I47,"00")&amp;");"</f>
        <v>Beacon.Put(115,0,500);</v>
      </c>
      <c r="M42" t="str">
        <f>"Beacon.Put(115,0,6"&amp;TEXT(M電入力!$I48,"00")&amp;");"</f>
        <v>Beacon.Put(115,0,600);</v>
      </c>
      <c r="N42" t="str">
        <f>"Beacon.Put(116,0,1"&amp;M電入力!$AE43&amp;");"</f>
        <v>Beacon.Put(116,0,10000);</v>
      </c>
      <c r="O42" t="str">
        <f>"Beacon.Put(116,0,2"&amp;M電入力!$AE44&amp;");"</f>
        <v>Beacon.Put(116,0,20000);</v>
      </c>
      <c r="P42" t="str">
        <f>"Beacon.Put(116,0,3"&amp;M電入力!$AE45&amp;");"</f>
        <v>Beacon.Put(116,0,30000);</v>
      </c>
      <c r="Q42" t="str">
        <f>"Beacon.Put(116,0,4"&amp;M電入力!$AE46&amp;");"</f>
        <v>Beacon.Put(116,0,40000);</v>
      </c>
      <c r="R42" t="str">
        <f>"Beacon.Put(116,0,5"&amp;M電入力!$AE47&amp;");"</f>
        <v>Beacon.Put(116,0,50000);</v>
      </c>
      <c r="S42" t="str">
        <f>"Beacon.Put(116,0,6"&amp;M電入力!$AE48&amp;");"</f>
        <v>Beacon.Put(116,0,60000);</v>
      </c>
    </row>
    <row r="43" spans="1:19">
      <c r="A43" t="str">
        <f>M電入力!C44&amp;"+25;"</f>
        <v>+25;</v>
      </c>
      <c r="B43" t="str">
        <f>"Beacon.Put(114,0,1"&amp;TEXT(M電入力!$H44,"00")&amp;");"</f>
        <v>Beacon.Put(114,0,100);</v>
      </c>
      <c r="C43" t="str">
        <f>"Beacon.Put(114,0,2"&amp;TEXT(M電入力!$H45,"00")&amp;");"</f>
        <v>Beacon.Put(114,0,200);</v>
      </c>
      <c r="D43" t="str">
        <f>"Beacon.Put(114,0,3"&amp;TEXT(M電入力!$H46,"00")&amp;");"</f>
        <v>Beacon.Put(114,0,300);</v>
      </c>
      <c r="E43" t="str">
        <f>"Beacon.Put(114,0,4"&amp;TEXT(M電入力!$H47,"00")&amp;");"</f>
        <v>Beacon.Put(114,0,400);</v>
      </c>
      <c r="F43" t="str">
        <f>"Beacon.Put(114,0,5"&amp;TEXT(M電入力!$H48,"00")&amp;");"</f>
        <v>Beacon.Put(114,0,500);</v>
      </c>
      <c r="G43" t="str">
        <f>"Beacon.Put(114,0,6"&amp;TEXT(M電入力!$H49,"00")&amp;");"</f>
        <v>Beacon.Put(114,0,600);</v>
      </c>
      <c r="H43" t="str">
        <f>"Beacon.Put(115,0,1"&amp;TEXT(M電入力!$I44,"00")&amp;");"</f>
        <v>Beacon.Put(115,0,100);</v>
      </c>
      <c r="I43" t="str">
        <f>"Beacon.Put(115,0,2"&amp;TEXT(M電入力!$I45,"00")&amp;");"</f>
        <v>Beacon.Put(115,0,200);</v>
      </c>
      <c r="J43" t="str">
        <f>"Beacon.Put(115,0,3"&amp;TEXT(M電入力!$I46,"00")&amp;");"</f>
        <v>Beacon.Put(115,0,300);</v>
      </c>
      <c r="K43" t="str">
        <f>"Beacon.Put(115,0,4"&amp;TEXT(M電入力!$I47,"00")&amp;");"</f>
        <v>Beacon.Put(115,0,400);</v>
      </c>
      <c r="L43" t="str">
        <f>"Beacon.Put(115,0,5"&amp;TEXT(M電入力!$I48,"00")&amp;");"</f>
        <v>Beacon.Put(115,0,500);</v>
      </c>
      <c r="M43" t="str">
        <f>"Beacon.Put(115,0,6"&amp;TEXT(M電入力!$I49,"00")&amp;");"</f>
        <v>Beacon.Put(115,0,600);</v>
      </c>
      <c r="N43" t="str">
        <f>"Beacon.Put(116,0,1"&amp;M電入力!$AE44&amp;");"</f>
        <v>Beacon.Put(116,0,10000);</v>
      </c>
      <c r="O43" t="str">
        <f>"Beacon.Put(116,0,2"&amp;M電入力!$AE45&amp;");"</f>
        <v>Beacon.Put(116,0,20000);</v>
      </c>
      <c r="P43" t="str">
        <f>"Beacon.Put(116,0,3"&amp;M電入力!$AE46&amp;");"</f>
        <v>Beacon.Put(116,0,30000);</v>
      </c>
      <c r="Q43" t="str">
        <f>"Beacon.Put(116,0,4"&amp;M電入力!$AE47&amp;");"</f>
        <v>Beacon.Put(116,0,40000);</v>
      </c>
      <c r="R43" t="str">
        <f>"Beacon.Put(116,0,5"&amp;M電入力!$AE48&amp;");"</f>
        <v>Beacon.Put(116,0,50000);</v>
      </c>
      <c r="S43" t="str">
        <f>"Beacon.Put(116,0,6"&amp;M電入力!$AE49&amp;");"</f>
        <v>Beacon.Put(116,0,60000);</v>
      </c>
    </row>
    <row r="44" spans="1:19">
      <c r="A44" t="str">
        <f>M電入力!C45&amp;"+25;"</f>
        <v>+25;</v>
      </c>
      <c r="B44" t="str">
        <f>"Beacon.Put(114,0,1"&amp;TEXT(M電入力!$H45,"00")&amp;");"</f>
        <v>Beacon.Put(114,0,100);</v>
      </c>
      <c r="C44" t="str">
        <f>"Beacon.Put(114,0,2"&amp;TEXT(M電入力!$H46,"00")&amp;");"</f>
        <v>Beacon.Put(114,0,200);</v>
      </c>
      <c r="D44" t="str">
        <f>"Beacon.Put(114,0,3"&amp;TEXT(M電入力!$H47,"00")&amp;");"</f>
        <v>Beacon.Put(114,0,300);</v>
      </c>
      <c r="E44" t="str">
        <f>"Beacon.Put(114,0,4"&amp;TEXT(M電入力!$H48,"00")&amp;");"</f>
        <v>Beacon.Put(114,0,400);</v>
      </c>
      <c r="F44" t="str">
        <f>"Beacon.Put(114,0,5"&amp;TEXT(M電入力!$H49,"00")&amp;");"</f>
        <v>Beacon.Put(114,0,500);</v>
      </c>
      <c r="G44" t="str">
        <f>"Beacon.Put(114,0,6"&amp;TEXT(M電入力!$H50,"00")&amp;");"</f>
        <v>Beacon.Put(114,0,600);</v>
      </c>
      <c r="H44" t="str">
        <f>"Beacon.Put(115,0,1"&amp;TEXT(M電入力!$I45,"00")&amp;");"</f>
        <v>Beacon.Put(115,0,100);</v>
      </c>
      <c r="I44" t="str">
        <f>"Beacon.Put(115,0,2"&amp;TEXT(M電入力!$I46,"00")&amp;");"</f>
        <v>Beacon.Put(115,0,200);</v>
      </c>
      <c r="J44" t="str">
        <f>"Beacon.Put(115,0,3"&amp;TEXT(M電入力!$I47,"00")&amp;");"</f>
        <v>Beacon.Put(115,0,300);</v>
      </c>
      <c r="K44" t="str">
        <f>"Beacon.Put(115,0,4"&amp;TEXT(M電入力!$I48,"00")&amp;");"</f>
        <v>Beacon.Put(115,0,400);</v>
      </c>
      <c r="L44" t="str">
        <f>"Beacon.Put(115,0,5"&amp;TEXT(M電入力!$I49,"00")&amp;");"</f>
        <v>Beacon.Put(115,0,500);</v>
      </c>
      <c r="M44" t="str">
        <f>"Beacon.Put(115,0,6"&amp;TEXT(M電入力!$I50,"00")&amp;");"</f>
        <v>Beacon.Put(115,0,600);</v>
      </c>
      <c r="N44" t="str">
        <f>"Beacon.Put(116,0,1"&amp;M電入力!$AE45&amp;");"</f>
        <v>Beacon.Put(116,0,10000);</v>
      </c>
      <c r="O44" t="str">
        <f>"Beacon.Put(116,0,2"&amp;M電入力!$AE46&amp;");"</f>
        <v>Beacon.Put(116,0,20000);</v>
      </c>
      <c r="P44" t="str">
        <f>"Beacon.Put(116,0,3"&amp;M電入力!$AE47&amp;");"</f>
        <v>Beacon.Put(116,0,30000);</v>
      </c>
      <c r="Q44" t="str">
        <f>"Beacon.Put(116,0,4"&amp;M電入力!$AE48&amp;");"</f>
        <v>Beacon.Put(116,0,40000);</v>
      </c>
      <c r="R44" t="str">
        <f>"Beacon.Put(116,0,5"&amp;M電入力!$AE49&amp;");"</f>
        <v>Beacon.Put(116,0,50000);</v>
      </c>
      <c r="S44" t="str">
        <f>"Beacon.Put(116,0,6"&amp;M電入力!$AE50&amp;");"</f>
        <v>Beacon.Put(116,0,60000);</v>
      </c>
    </row>
    <row r="45" spans="1:19">
      <c r="A45" t="str">
        <f>M電入力!C46&amp;"+25;"</f>
        <v>+25;</v>
      </c>
      <c r="B45" t="str">
        <f>"Beacon.Put(114,0,1"&amp;TEXT(M電入力!$H46,"00")&amp;");"</f>
        <v>Beacon.Put(114,0,100);</v>
      </c>
      <c r="C45" t="str">
        <f>"Beacon.Put(114,0,2"&amp;TEXT(M電入力!$H47,"00")&amp;");"</f>
        <v>Beacon.Put(114,0,200);</v>
      </c>
      <c r="D45" t="str">
        <f>"Beacon.Put(114,0,3"&amp;TEXT(M電入力!$H48,"00")&amp;");"</f>
        <v>Beacon.Put(114,0,300);</v>
      </c>
      <c r="E45" t="str">
        <f>"Beacon.Put(114,0,4"&amp;TEXT(M電入力!$H49,"00")&amp;");"</f>
        <v>Beacon.Put(114,0,400);</v>
      </c>
      <c r="F45" t="str">
        <f>"Beacon.Put(114,0,5"&amp;TEXT(M電入力!$H50,"00")&amp;");"</f>
        <v>Beacon.Put(114,0,500);</v>
      </c>
      <c r="G45" t="str">
        <f>"Beacon.Put(114,0,6"&amp;TEXT(M電入力!$H51,"00")&amp;");"</f>
        <v>Beacon.Put(114,0,600);</v>
      </c>
      <c r="H45" t="str">
        <f>"Beacon.Put(115,0,1"&amp;TEXT(M電入力!$I46,"00")&amp;");"</f>
        <v>Beacon.Put(115,0,100);</v>
      </c>
      <c r="I45" t="str">
        <f>"Beacon.Put(115,0,2"&amp;TEXT(M電入力!$I47,"00")&amp;");"</f>
        <v>Beacon.Put(115,0,200);</v>
      </c>
      <c r="J45" t="str">
        <f>"Beacon.Put(115,0,3"&amp;TEXT(M電入力!$I48,"00")&amp;");"</f>
        <v>Beacon.Put(115,0,300);</v>
      </c>
      <c r="K45" t="str">
        <f>"Beacon.Put(115,0,4"&amp;TEXT(M電入力!$I49,"00")&amp;");"</f>
        <v>Beacon.Put(115,0,400);</v>
      </c>
      <c r="L45" t="str">
        <f>"Beacon.Put(115,0,5"&amp;TEXT(M電入力!$I50,"00")&amp;");"</f>
        <v>Beacon.Put(115,0,500);</v>
      </c>
      <c r="M45" t="str">
        <f>"Beacon.Put(115,0,6"&amp;TEXT(M電入力!$I51,"00")&amp;");"</f>
        <v>Beacon.Put(115,0,600);</v>
      </c>
      <c r="N45" t="str">
        <f>"Beacon.Put(116,0,1"&amp;M電入力!$AE46&amp;");"</f>
        <v>Beacon.Put(116,0,10000);</v>
      </c>
      <c r="O45" t="str">
        <f>"Beacon.Put(116,0,2"&amp;M電入力!$AE47&amp;");"</f>
        <v>Beacon.Put(116,0,20000);</v>
      </c>
      <c r="P45" t="str">
        <f>"Beacon.Put(116,0,3"&amp;M電入力!$AE48&amp;");"</f>
        <v>Beacon.Put(116,0,30000);</v>
      </c>
      <c r="Q45" t="str">
        <f>"Beacon.Put(116,0,4"&amp;M電入力!$AE49&amp;");"</f>
        <v>Beacon.Put(116,0,40000);</v>
      </c>
      <c r="R45" t="str">
        <f>"Beacon.Put(116,0,5"&amp;M電入力!$AE50&amp;");"</f>
        <v>Beacon.Put(116,0,50000);</v>
      </c>
      <c r="S45" t="str">
        <f>"Beacon.Put(116,0,6"&amp;M電入力!$AE51&amp;");"</f>
        <v>Beacon.Put(116,0,60000);</v>
      </c>
    </row>
    <row r="46" spans="1:19">
      <c r="A46" t="str">
        <f>M電入力!C47&amp;"+25;"</f>
        <v>+25;</v>
      </c>
      <c r="B46" t="str">
        <f>"Beacon.Put(114,0,1"&amp;TEXT(M電入力!$H47,"00")&amp;");"</f>
        <v>Beacon.Put(114,0,100);</v>
      </c>
      <c r="C46" t="str">
        <f>"Beacon.Put(114,0,2"&amp;TEXT(M電入力!$H48,"00")&amp;");"</f>
        <v>Beacon.Put(114,0,200);</v>
      </c>
      <c r="D46" t="str">
        <f>"Beacon.Put(114,0,3"&amp;TEXT(M電入力!$H49,"00")&amp;");"</f>
        <v>Beacon.Put(114,0,300);</v>
      </c>
      <c r="E46" t="str">
        <f>"Beacon.Put(114,0,4"&amp;TEXT(M電入力!$H50,"00")&amp;");"</f>
        <v>Beacon.Put(114,0,400);</v>
      </c>
      <c r="F46" t="str">
        <f>"Beacon.Put(114,0,5"&amp;TEXT(M電入力!$H51,"00")&amp;");"</f>
        <v>Beacon.Put(114,0,500);</v>
      </c>
      <c r="G46" t="str">
        <f>"Beacon.Put(114,0,6"&amp;TEXT(M電入力!$H52,"00")&amp;");"</f>
        <v>Beacon.Put(114,0,600);</v>
      </c>
      <c r="H46" t="str">
        <f>"Beacon.Put(115,0,1"&amp;TEXT(M電入力!$I47,"00")&amp;");"</f>
        <v>Beacon.Put(115,0,100);</v>
      </c>
      <c r="I46" t="str">
        <f>"Beacon.Put(115,0,2"&amp;TEXT(M電入力!$I48,"00")&amp;");"</f>
        <v>Beacon.Put(115,0,200);</v>
      </c>
      <c r="J46" t="str">
        <f>"Beacon.Put(115,0,3"&amp;TEXT(M電入力!$I49,"00")&amp;");"</f>
        <v>Beacon.Put(115,0,300);</v>
      </c>
      <c r="K46" t="str">
        <f>"Beacon.Put(115,0,4"&amp;TEXT(M電入力!$I50,"00")&amp;");"</f>
        <v>Beacon.Put(115,0,400);</v>
      </c>
      <c r="L46" t="str">
        <f>"Beacon.Put(115,0,5"&amp;TEXT(M電入力!$I51,"00")&amp;");"</f>
        <v>Beacon.Put(115,0,500);</v>
      </c>
      <c r="M46" t="str">
        <f>"Beacon.Put(115,0,6"&amp;TEXT(M電入力!$I52,"00")&amp;");"</f>
        <v>Beacon.Put(115,0,600);</v>
      </c>
      <c r="N46" t="str">
        <f>"Beacon.Put(116,0,1"&amp;M電入力!$AE47&amp;");"</f>
        <v>Beacon.Put(116,0,10000);</v>
      </c>
      <c r="O46" t="str">
        <f>"Beacon.Put(116,0,2"&amp;M電入力!$AE48&amp;");"</f>
        <v>Beacon.Put(116,0,20000);</v>
      </c>
      <c r="P46" t="str">
        <f>"Beacon.Put(116,0,3"&amp;M電入力!$AE49&amp;");"</f>
        <v>Beacon.Put(116,0,30000);</v>
      </c>
      <c r="Q46" t="str">
        <f>"Beacon.Put(116,0,4"&amp;M電入力!$AE50&amp;");"</f>
        <v>Beacon.Put(116,0,40000);</v>
      </c>
      <c r="R46" t="str">
        <f>"Beacon.Put(116,0,5"&amp;M電入力!$AE51&amp;");"</f>
        <v>Beacon.Put(116,0,50000);</v>
      </c>
      <c r="S46" t="str">
        <f>"Beacon.Put(116,0,6"&amp;M電入力!$AE52&amp;");"</f>
        <v>Beacon.Put(116,0,60000);</v>
      </c>
    </row>
    <row r="47" spans="1:19">
      <c r="A47" t="str">
        <f>M電入力!C48&amp;"+25;"</f>
        <v>+25;</v>
      </c>
      <c r="B47" t="str">
        <f>"Beacon.Put(114,0,1"&amp;TEXT(M電入力!$H48,"00")&amp;");"</f>
        <v>Beacon.Put(114,0,100);</v>
      </c>
      <c r="C47" t="str">
        <f>"Beacon.Put(114,0,2"&amp;TEXT(M電入力!$H49,"00")&amp;");"</f>
        <v>Beacon.Put(114,0,200);</v>
      </c>
      <c r="D47" t="str">
        <f>"Beacon.Put(114,0,3"&amp;TEXT(M電入力!$H50,"00")&amp;");"</f>
        <v>Beacon.Put(114,0,300);</v>
      </c>
      <c r="E47" t="str">
        <f>"Beacon.Put(114,0,4"&amp;TEXT(M電入力!$H51,"00")&amp;");"</f>
        <v>Beacon.Put(114,0,400);</v>
      </c>
      <c r="F47" t="str">
        <f>"Beacon.Put(114,0,5"&amp;TEXT(M電入力!$H52,"00")&amp;");"</f>
        <v>Beacon.Put(114,0,500);</v>
      </c>
      <c r="G47" t="str">
        <f>"Beacon.Put(114,0,6"&amp;TEXT(M電入力!$H53,"00")&amp;");"</f>
        <v>Beacon.Put(114,0,600);</v>
      </c>
      <c r="H47" t="str">
        <f>"Beacon.Put(115,0,1"&amp;TEXT(M電入力!$I48,"00")&amp;");"</f>
        <v>Beacon.Put(115,0,100);</v>
      </c>
      <c r="I47" t="str">
        <f>"Beacon.Put(115,0,2"&amp;TEXT(M電入力!$I49,"00")&amp;");"</f>
        <v>Beacon.Put(115,0,200);</v>
      </c>
      <c r="J47" t="str">
        <f>"Beacon.Put(115,0,3"&amp;TEXT(M電入力!$I50,"00")&amp;");"</f>
        <v>Beacon.Put(115,0,300);</v>
      </c>
      <c r="K47" t="str">
        <f>"Beacon.Put(115,0,4"&amp;TEXT(M電入力!$I51,"00")&amp;");"</f>
        <v>Beacon.Put(115,0,400);</v>
      </c>
      <c r="L47" t="str">
        <f>"Beacon.Put(115,0,5"&amp;TEXT(M電入力!$I52,"00")&amp;");"</f>
        <v>Beacon.Put(115,0,500);</v>
      </c>
      <c r="M47" t="str">
        <f>"Beacon.Put(115,0,6"&amp;TEXT(M電入力!$I53,"00")&amp;");"</f>
        <v>Beacon.Put(115,0,600);</v>
      </c>
      <c r="N47" t="str">
        <f>"Beacon.Put(116,0,1"&amp;M電入力!$AE48&amp;");"</f>
        <v>Beacon.Put(116,0,10000);</v>
      </c>
      <c r="O47" t="str">
        <f>"Beacon.Put(116,0,2"&amp;M電入力!$AE49&amp;");"</f>
        <v>Beacon.Put(116,0,20000);</v>
      </c>
      <c r="P47" t="str">
        <f>"Beacon.Put(116,0,3"&amp;M電入力!$AE50&amp;");"</f>
        <v>Beacon.Put(116,0,30000);</v>
      </c>
      <c r="Q47" t="str">
        <f>"Beacon.Put(116,0,4"&amp;M電入力!$AE51&amp;");"</f>
        <v>Beacon.Put(116,0,40000);</v>
      </c>
      <c r="R47" t="str">
        <f>"Beacon.Put(116,0,5"&amp;M電入力!$AE52&amp;");"</f>
        <v>Beacon.Put(116,0,50000);</v>
      </c>
      <c r="S47" t="str">
        <f>"Beacon.Put(116,0,6"&amp;M電入力!$AE53&amp;");"</f>
        <v>Beacon.Put(116,0,60000);</v>
      </c>
    </row>
    <row r="48" spans="1:19">
      <c r="A48" t="str">
        <f>M電入力!C49&amp;"+25;"</f>
        <v>+25;</v>
      </c>
      <c r="B48" t="str">
        <f>"Beacon.Put(114,0,1"&amp;TEXT(M電入力!$H49,"00")&amp;");"</f>
        <v>Beacon.Put(114,0,100);</v>
      </c>
      <c r="C48" t="str">
        <f>"Beacon.Put(114,0,2"&amp;TEXT(M電入力!$H50,"00")&amp;");"</f>
        <v>Beacon.Put(114,0,200);</v>
      </c>
      <c r="D48" t="str">
        <f>"Beacon.Put(114,0,3"&amp;TEXT(M電入力!$H51,"00")&amp;");"</f>
        <v>Beacon.Put(114,0,300);</v>
      </c>
      <c r="E48" t="str">
        <f>"Beacon.Put(114,0,4"&amp;TEXT(M電入力!$H52,"00")&amp;");"</f>
        <v>Beacon.Put(114,0,400);</v>
      </c>
      <c r="F48" t="str">
        <f>"Beacon.Put(114,0,5"&amp;TEXT(M電入力!$H53,"00")&amp;");"</f>
        <v>Beacon.Put(114,0,500);</v>
      </c>
      <c r="G48" t="str">
        <f>"Beacon.Put(114,0,6"&amp;TEXT(M電入力!$H54,"00")&amp;");"</f>
        <v>Beacon.Put(114,0,600);</v>
      </c>
      <c r="H48" t="str">
        <f>"Beacon.Put(115,0,1"&amp;TEXT(M電入力!$I49,"00")&amp;");"</f>
        <v>Beacon.Put(115,0,100);</v>
      </c>
      <c r="I48" t="str">
        <f>"Beacon.Put(115,0,2"&amp;TEXT(M電入力!$I50,"00")&amp;");"</f>
        <v>Beacon.Put(115,0,200);</v>
      </c>
      <c r="J48" t="str">
        <f>"Beacon.Put(115,0,3"&amp;TEXT(M電入力!$I51,"00")&amp;");"</f>
        <v>Beacon.Put(115,0,300);</v>
      </c>
      <c r="K48" t="str">
        <f>"Beacon.Put(115,0,4"&amp;TEXT(M電入力!$I52,"00")&amp;");"</f>
        <v>Beacon.Put(115,0,400);</v>
      </c>
      <c r="L48" t="str">
        <f>"Beacon.Put(115,0,5"&amp;TEXT(M電入力!$I53,"00")&amp;");"</f>
        <v>Beacon.Put(115,0,500);</v>
      </c>
      <c r="M48" t="str">
        <f>"Beacon.Put(115,0,6"&amp;TEXT(M電入力!$I54,"00")&amp;");"</f>
        <v>Beacon.Put(115,0,600);</v>
      </c>
      <c r="N48" t="str">
        <f>"Beacon.Put(116,0,1"&amp;M電入力!$AE49&amp;");"</f>
        <v>Beacon.Put(116,0,10000);</v>
      </c>
      <c r="O48" t="str">
        <f>"Beacon.Put(116,0,2"&amp;M電入力!$AE50&amp;");"</f>
        <v>Beacon.Put(116,0,20000);</v>
      </c>
      <c r="P48" t="str">
        <f>"Beacon.Put(116,0,3"&amp;M電入力!$AE51&amp;");"</f>
        <v>Beacon.Put(116,0,30000);</v>
      </c>
      <c r="Q48" t="str">
        <f>"Beacon.Put(116,0,4"&amp;M電入力!$AE52&amp;");"</f>
        <v>Beacon.Put(116,0,40000);</v>
      </c>
      <c r="R48" t="str">
        <f>"Beacon.Put(116,0,5"&amp;M電入力!$AE53&amp;");"</f>
        <v>Beacon.Put(116,0,50000);</v>
      </c>
      <c r="S48" t="str">
        <f>"Beacon.Put(116,0,6"&amp;M電入力!$AE54&amp;");"</f>
        <v>Beacon.Put(116,0,60000);</v>
      </c>
    </row>
    <row r="49" spans="1:19">
      <c r="A49" t="str">
        <f>M電入力!C50&amp;"+25;"</f>
        <v>+25;</v>
      </c>
      <c r="B49" t="str">
        <f>"Beacon.Put(114,0,1"&amp;TEXT(M電入力!$H50,"00")&amp;");"</f>
        <v>Beacon.Put(114,0,100);</v>
      </c>
      <c r="C49" t="str">
        <f>"Beacon.Put(114,0,2"&amp;TEXT(M電入力!$H51,"00")&amp;");"</f>
        <v>Beacon.Put(114,0,200);</v>
      </c>
      <c r="D49" t="str">
        <f>"Beacon.Put(114,0,3"&amp;TEXT(M電入力!$H52,"00")&amp;");"</f>
        <v>Beacon.Put(114,0,300);</v>
      </c>
      <c r="E49" t="str">
        <f>"Beacon.Put(114,0,4"&amp;TEXT(M電入力!$H53,"00")&amp;");"</f>
        <v>Beacon.Put(114,0,400);</v>
      </c>
      <c r="F49" t="str">
        <f>"Beacon.Put(114,0,5"&amp;TEXT(M電入力!$H54,"00")&amp;");"</f>
        <v>Beacon.Put(114,0,500);</v>
      </c>
      <c r="G49" t="str">
        <f>"Beacon.Put(114,0,6"&amp;TEXT(M電入力!$H55,"00")&amp;");"</f>
        <v>Beacon.Put(114,0,600);</v>
      </c>
      <c r="H49" t="str">
        <f>"Beacon.Put(115,0,1"&amp;TEXT(M電入力!$I50,"00")&amp;");"</f>
        <v>Beacon.Put(115,0,100);</v>
      </c>
      <c r="I49" t="str">
        <f>"Beacon.Put(115,0,2"&amp;TEXT(M電入力!$I51,"00")&amp;");"</f>
        <v>Beacon.Put(115,0,200);</v>
      </c>
      <c r="J49" t="str">
        <f>"Beacon.Put(115,0,3"&amp;TEXT(M電入力!$I52,"00")&amp;");"</f>
        <v>Beacon.Put(115,0,300);</v>
      </c>
      <c r="K49" t="str">
        <f>"Beacon.Put(115,0,4"&amp;TEXT(M電入力!$I53,"00")&amp;");"</f>
        <v>Beacon.Put(115,0,400);</v>
      </c>
      <c r="L49" t="str">
        <f>"Beacon.Put(115,0,5"&amp;TEXT(M電入力!$I54,"00")&amp;");"</f>
        <v>Beacon.Put(115,0,500);</v>
      </c>
      <c r="M49" t="str">
        <f>"Beacon.Put(115,0,6"&amp;TEXT(M電入力!$I55,"00")&amp;");"</f>
        <v>Beacon.Put(115,0,600);</v>
      </c>
      <c r="N49" t="str">
        <f>"Beacon.Put(116,0,1"&amp;M電入力!$AE50&amp;");"</f>
        <v>Beacon.Put(116,0,10000);</v>
      </c>
      <c r="O49" t="str">
        <f>"Beacon.Put(116,0,2"&amp;M電入力!$AE51&amp;");"</f>
        <v>Beacon.Put(116,0,20000);</v>
      </c>
      <c r="P49" t="str">
        <f>"Beacon.Put(116,0,3"&amp;M電入力!$AE52&amp;");"</f>
        <v>Beacon.Put(116,0,30000);</v>
      </c>
      <c r="Q49" t="str">
        <f>"Beacon.Put(116,0,4"&amp;M電入力!$AE53&amp;");"</f>
        <v>Beacon.Put(116,0,40000);</v>
      </c>
      <c r="R49" t="str">
        <f>"Beacon.Put(116,0,5"&amp;M電入力!$AE54&amp;");"</f>
        <v>Beacon.Put(116,0,50000);</v>
      </c>
      <c r="S49" t="str">
        <f>"Beacon.Put(116,0,6"&amp;M電入力!$AE55&amp;");"</f>
        <v>Beacon.Put(116,0,60000);</v>
      </c>
    </row>
    <row r="50" spans="1:19">
      <c r="A50" t="str">
        <f>M電入力!C51&amp;"+25;"</f>
        <v>+25;</v>
      </c>
      <c r="B50" t="str">
        <f>"Beacon.Put(114,0,1"&amp;TEXT(M電入力!$H51,"00")&amp;");"</f>
        <v>Beacon.Put(114,0,100);</v>
      </c>
      <c r="C50" t="str">
        <f>"Beacon.Put(114,0,2"&amp;TEXT(M電入力!$H52,"00")&amp;");"</f>
        <v>Beacon.Put(114,0,200);</v>
      </c>
      <c r="D50" t="str">
        <f>"Beacon.Put(114,0,3"&amp;TEXT(M電入力!$H53,"00")&amp;");"</f>
        <v>Beacon.Put(114,0,300);</v>
      </c>
      <c r="E50" t="str">
        <f>"Beacon.Put(114,0,4"&amp;TEXT(M電入力!$H54,"00")&amp;");"</f>
        <v>Beacon.Put(114,0,400);</v>
      </c>
      <c r="F50" t="str">
        <f>"Beacon.Put(114,0,5"&amp;TEXT(M電入力!$H55,"00")&amp;");"</f>
        <v>Beacon.Put(114,0,500);</v>
      </c>
      <c r="G50" t="str">
        <f>"Beacon.Put(114,0,6"&amp;TEXT(M電入力!$H56,"00")&amp;");"</f>
        <v>Beacon.Put(114,0,600);</v>
      </c>
      <c r="H50" t="str">
        <f>"Beacon.Put(115,0,1"&amp;TEXT(M電入力!$I51,"00")&amp;");"</f>
        <v>Beacon.Put(115,0,100);</v>
      </c>
      <c r="I50" t="str">
        <f>"Beacon.Put(115,0,2"&amp;TEXT(M電入力!$I52,"00")&amp;");"</f>
        <v>Beacon.Put(115,0,200);</v>
      </c>
      <c r="J50" t="str">
        <f>"Beacon.Put(115,0,3"&amp;TEXT(M電入力!$I53,"00")&amp;");"</f>
        <v>Beacon.Put(115,0,300);</v>
      </c>
      <c r="K50" t="str">
        <f>"Beacon.Put(115,0,4"&amp;TEXT(M電入力!$I54,"00")&amp;");"</f>
        <v>Beacon.Put(115,0,400);</v>
      </c>
      <c r="L50" t="str">
        <f>"Beacon.Put(115,0,5"&amp;TEXT(M電入力!$I55,"00")&amp;");"</f>
        <v>Beacon.Put(115,0,500);</v>
      </c>
      <c r="M50" t="str">
        <f>"Beacon.Put(115,0,6"&amp;TEXT(M電入力!$I56,"00")&amp;");"</f>
        <v>Beacon.Put(115,0,600);</v>
      </c>
      <c r="N50" t="str">
        <f>"Beacon.Put(116,0,1"&amp;M電入力!$AE51&amp;");"</f>
        <v>Beacon.Put(116,0,10000);</v>
      </c>
      <c r="O50" t="str">
        <f>"Beacon.Put(116,0,2"&amp;M電入力!$AE52&amp;");"</f>
        <v>Beacon.Put(116,0,20000);</v>
      </c>
      <c r="P50" t="str">
        <f>"Beacon.Put(116,0,3"&amp;M電入力!$AE53&amp;");"</f>
        <v>Beacon.Put(116,0,30000);</v>
      </c>
      <c r="Q50" t="str">
        <f>"Beacon.Put(116,0,4"&amp;M電入力!$AE54&amp;");"</f>
        <v>Beacon.Put(116,0,40000);</v>
      </c>
      <c r="R50" t="str">
        <f>"Beacon.Put(116,0,5"&amp;M電入力!$AE55&amp;");"</f>
        <v>Beacon.Put(116,0,50000);</v>
      </c>
      <c r="S50" t="str">
        <f>"Beacon.Put(116,0,6"&amp;M電入力!$AE56&amp;");"</f>
        <v>Beacon.Put(116,0,60000);</v>
      </c>
    </row>
    <row r="51" spans="1:19">
      <c r="A51" t="str">
        <f>M電入力!C52&amp;"+25;"</f>
        <v>+25;</v>
      </c>
      <c r="B51" t="str">
        <f>"Beacon.Put(114,0,1"&amp;TEXT(M電入力!$H52,"00")&amp;");"</f>
        <v>Beacon.Put(114,0,100);</v>
      </c>
      <c r="C51" t="str">
        <f>"Beacon.Put(114,0,2"&amp;TEXT(M電入力!$H53,"00")&amp;");"</f>
        <v>Beacon.Put(114,0,200);</v>
      </c>
      <c r="D51" t="str">
        <f>"Beacon.Put(114,0,3"&amp;TEXT(M電入力!$H54,"00")&amp;");"</f>
        <v>Beacon.Put(114,0,300);</v>
      </c>
      <c r="E51" t="str">
        <f>"Beacon.Put(114,0,4"&amp;TEXT(M電入力!$H55,"00")&amp;");"</f>
        <v>Beacon.Put(114,0,400);</v>
      </c>
      <c r="F51" t="str">
        <f>"Beacon.Put(114,0,5"&amp;TEXT(M電入力!$H56,"00")&amp;");"</f>
        <v>Beacon.Put(114,0,500);</v>
      </c>
      <c r="G51" t="str">
        <f>"Beacon.Put(114,0,6"&amp;TEXT(M電入力!$H57,"00")&amp;");"</f>
        <v>Beacon.Put(114,0,600);</v>
      </c>
      <c r="H51" t="str">
        <f>"Beacon.Put(115,0,1"&amp;TEXT(M電入力!$I52,"00")&amp;");"</f>
        <v>Beacon.Put(115,0,100);</v>
      </c>
      <c r="I51" t="str">
        <f>"Beacon.Put(115,0,2"&amp;TEXT(M電入力!$I53,"00")&amp;");"</f>
        <v>Beacon.Put(115,0,200);</v>
      </c>
      <c r="J51" t="str">
        <f>"Beacon.Put(115,0,3"&amp;TEXT(M電入力!$I54,"00")&amp;");"</f>
        <v>Beacon.Put(115,0,300);</v>
      </c>
      <c r="K51" t="str">
        <f>"Beacon.Put(115,0,4"&amp;TEXT(M電入力!$I55,"00")&amp;");"</f>
        <v>Beacon.Put(115,0,400);</v>
      </c>
      <c r="L51" t="str">
        <f>"Beacon.Put(115,0,5"&amp;TEXT(M電入力!$I56,"00")&amp;");"</f>
        <v>Beacon.Put(115,0,500);</v>
      </c>
      <c r="M51" t="str">
        <f>"Beacon.Put(115,0,6"&amp;TEXT(M電入力!$I57,"00")&amp;");"</f>
        <v>Beacon.Put(115,0,600);</v>
      </c>
      <c r="N51" t="str">
        <f>"Beacon.Put(116,0,1"&amp;M電入力!$AE52&amp;");"</f>
        <v>Beacon.Put(116,0,10000);</v>
      </c>
      <c r="O51" t="str">
        <f>"Beacon.Put(116,0,2"&amp;M電入力!$AE53&amp;");"</f>
        <v>Beacon.Put(116,0,20000);</v>
      </c>
      <c r="P51" t="str">
        <f>"Beacon.Put(116,0,3"&amp;M電入力!$AE54&amp;");"</f>
        <v>Beacon.Put(116,0,30000);</v>
      </c>
      <c r="Q51" t="str">
        <f>"Beacon.Put(116,0,4"&amp;M電入力!$AE55&amp;");"</f>
        <v>Beacon.Put(116,0,40000);</v>
      </c>
      <c r="R51" t="str">
        <f>"Beacon.Put(116,0,5"&amp;M電入力!$AE56&amp;");"</f>
        <v>Beacon.Put(116,0,50000);</v>
      </c>
      <c r="S51" t="str">
        <f>"Beacon.Put(116,0,6"&amp;M電入力!$AE57&amp;");"</f>
        <v>Beacon.Put(116,0,60000);</v>
      </c>
    </row>
    <row r="52" spans="1:19">
      <c r="A52" t="str">
        <f>M電入力!C53&amp;"+25;"</f>
        <v>+25;</v>
      </c>
      <c r="B52" t="str">
        <f>"Beacon.Put(114,0,1"&amp;TEXT(M電入力!$H53,"00")&amp;");"</f>
        <v>Beacon.Put(114,0,100);</v>
      </c>
      <c r="C52" t="str">
        <f>"Beacon.Put(114,0,2"&amp;TEXT(M電入力!$H54,"00")&amp;");"</f>
        <v>Beacon.Put(114,0,200);</v>
      </c>
      <c r="D52" t="str">
        <f>"Beacon.Put(114,0,3"&amp;TEXT(M電入力!$H55,"00")&amp;");"</f>
        <v>Beacon.Put(114,0,300);</v>
      </c>
      <c r="E52" t="str">
        <f>"Beacon.Put(114,0,4"&amp;TEXT(M電入力!$H56,"00")&amp;");"</f>
        <v>Beacon.Put(114,0,400);</v>
      </c>
      <c r="F52" t="str">
        <f>"Beacon.Put(114,0,5"&amp;TEXT(M電入力!$H57,"00")&amp;");"</f>
        <v>Beacon.Put(114,0,500);</v>
      </c>
      <c r="G52" t="str">
        <f>"Beacon.Put(114,0,6"&amp;TEXT(M電入力!$H58,"00")&amp;");"</f>
        <v>Beacon.Put(114,0,600);</v>
      </c>
      <c r="H52" t="str">
        <f>"Beacon.Put(115,0,1"&amp;TEXT(M電入力!$I53,"00")&amp;");"</f>
        <v>Beacon.Put(115,0,100);</v>
      </c>
      <c r="I52" t="str">
        <f>"Beacon.Put(115,0,2"&amp;TEXT(M電入力!$I54,"00")&amp;");"</f>
        <v>Beacon.Put(115,0,200);</v>
      </c>
      <c r="J52" t="str">
        <f>"Beacon.Put(115,0,3"&amp;TEXT(M電入力!$I55,"00")&amp;");"</f>
        <v>Beacon.Put(115,0,300);</v>
      </c>
      <c r="K52" t="str">
        <f>"Beacon.Put(115,0,4"&amp;TEXT(M電入力!$I56,"00")&amp;");"</f>
        <v>Beacon.Put(115,0,400);</v>
      </c>
      <c r="L52" t="str">
        <f>"Beacon.Put(115,0,5"&amp;TEXT(M電入力!$I57,"00")&amp;");"</f>
        <v>Beacon.Put(115,0,500);</v>
      </c>
      <c r="M52" t="str">
        <f>"Beacon.Put(115,0,6"&amp;TEXT(M電入力!$I58,"00")&amp;");"</f>
        <v>Beacon.Put(115,0,600);</v>
      </c>
      <c r="N52" t="str">
        <f>"Beacon.Put(116,0,1"&amp;M電入力!$AE53&amp;");"</f>
        <v>Beacon.Put(116,0,10000);</v>
      </c>
      <c r="O52" t="str">
        <f>"Beacon.Put(116,0,2"&amp;M電入力!$AE54&amp;");"</f>
        <v>Beacon.Put(116,0,20000);</v>
      </c>
      <c r="P52" t="str">
        <f>"Beacon.Put(116,0,3"&amp;M電入力!$AE55&amp;");"</f>
        <v>Beacon.Put(116,0,30000);</v>
      </c>
      <c r="Q52" t="str">
        <f>"Beacon.Put(116,0,4"&amp;M電入力!$AE56&amp;");"</f>
        <v>Beacon.Put(116,0,40000);</v>
      </c>
      <c r="R52" t="str">
        <f>"Beacon.Put(116,0,5"&amp;M電入力!$AE57&amp;");"</f>
        <v>Beacon.Put(116,0,50000);</v>
      </c>
      <c r="S52" t="str">
        <f>"Beacon.Put(116,0,6"&amp;M電入力!$AE58&amp;");"</f>
        <v>Beacon.Put(116,0,60000);</v>
      </c>
    </row>
    <row r="53" spans="1:19">
      <c r="A53" t="str">
        <f>M電入力!C54&amp;"+25;"</f>
        <v>+25;</v>
      </c>
      <c r="B53" t="str">
        <f>"Beacon.Put(114,0,1"&amp;TEXT(M電入力!$H54,"00")&amp;");"</f>
        <v>Beacon.Put(114,0,100);</v>
      </c>
      <c r="C53" t="str">
        <f>"Beacon.Put(114,0,2"&amp;TEXT(M電入力!$H55,"00")&amp;");"</f>
        <v>Beacon.Put(114,0,200);</v>
      </c>
      <c r="D53" t="str">
        <f>"Beacon.Put(114,0,3"&amp;TEXT(M電入力!$H56,"00")&amp;");"</f>
        <v>Beacon.Put(114,0,300);</v>
      </c>
      <c r="E53" t="str">
        <f>"Beacon.Put(114,0,4"&amp;TEXT(M電入力!$H57,"00")&amp;");"</f>
        <v>Beacon.Put(114,0,400);</v>
      </c>
      <c r="F53" t="str">
        <f>"Beacon.Put(114,0,5"&amp;TEXT(M電入力!$H58,"00")&amp;");"</f>
        <v>Beacon.Put(114,0,500);</v>
      </c>
      <c r="G53" t="str">
        <f>"Beacon.Put(114,0,6"&amp;TEXT(M電入力!$H59,"00")&amp;");"</f>
        <v>Beacon.Put(114,0,600);</v>
      </c>
      <c r="H53" t="str">
        <f>"Beacon.Put(115,0,1"&amp;TEXT(M電入力!$I54,"00")&amp;");"</f>
        <v>Beacon.Put(115,0,100);</v>
      </c>
      <c r="I53" t="str">
        <f>"Beacon.Put(115,0,2"&amp;TEXT(M電入力!$I55,"00")&amp;");"</f>
        <v>Beacon.Put(115,0,200);</v>
      </c>
      <c r="J53" t="str">
        <f>"Beacon.Put(115,0,3"&amp;TEXT(M電入力!$I56,"00")&amp;");"</f>
        <v>Beacon.Put(115,0,300);</v>
      </c>
      <c r="K53" t="str">
        <f>"Beacon.Put(115,0,4"&amp;TEXT(M電入力!$I57,"00")&amp;");"</f>
        <v>Beacon.Put(115,0,400);</v>
      </c>
      <c r="L53" t="str">
        <f>"Beacon.Put(115,0,5"&amp;TEXT(M電入力!$I58,"00")&amp;");"</f>
        <v>Beacon.Put(115,0,500);</v>
      </c>
      <c r="M53" t="str">
        <f>"Beacon.Put(115,0,6"&amp;TEXT(M電入力!$I59,"00")&amp;");"</f>
        <v>Beacon.Put(115,0,600);</v>
      </c>
      <c r="N53" t="str">
        <f>"Beacon.Put(116,0,1"&amp;M電入力!$AE54&amp;");"</f>
        <v>Beacon.Put(116,0,10000);</v>
      </c>
      <c r="O53" t="str">
        <f>"Beacon.Put(116,0,2"&amp;M電入力!$AE55&amp;");"</f>
        <v>Beacon.Put(116,0,20000);</v>
      </c>
      <c r="P53" t="str">
        <f>"Beacon.Put(116,0,3"&amp;M電入力!$AE56&amp;");"</f>
        <v>Beacon.Put(116,0,30000);</v>
      </c>
      <c r="Q53" t="str">
        <f>"Beacon.Put(116,0,4"&amp;M電入力!$AE57&amp;");"</f>
        <v>Beacon.Put(116,0,40000);</v>
      </c>
      <c r="R53" t="str">
        <f>"Beacon.Put(116,0,5"&amp;M電入力!$AE58&amp;");"</f>
        <v>Beacon.Put(116,0,50000);</v>
      </c>
      <c r="S53" t="str">
        <f>"Beacon.Put(116,0,6"&amp;M電入力!$AE59&amp;");"</f>
        <v>Beacon.Put(116,0,60000);</v>
      </c>
    </row>
    <row r="54" spans="1:19">
      <c r="A54" t="str">
        <f>M電入力!C55&amp;"+25;"</f>
        <v>+25;</v>
      </c>
      <c r="B54" t="str">
        <f>"Beacon.Put(114,0,1"&amp;TEXT(M電入力!$H55,"00")&amp;");"</f>
        <v>Beacon.Put(114,0,100);</v>
      </c>
      <c r="C54" t="str">
        <f>"Beacon.Put(114,0,2"&amp;TEXT(M電入力!$H56,"00")&amp;");"</f>
        <v>Beacon.Put(114,0,200);</v>
      </c>
      <c r="D54" t="str">
        <f>"Beacon.Put(114,0,3"&amp;TEXT(M電入力!$H57,"00")&amp;");"</f>
        <v>Beacon.Put(114,0,300);</v>
      </c>
      <c r="E54" t="str">
        <f>"Beacon.Put(114,0,4"&amp;TEXT(M電入力!$H58,"00")&amp;");"</f>
        <v>Beacon.Put(114,0,400);</v>
      </c>
      <c r="F54" t="str">
        <f>"Beacon.Put(114,0,5"&amp;TEXT(M電入力!$H59,"00")&amp;");"</f>
        <v>Beacon.Put(114,0,500);</v>
      </c>
      <c r="G54" t="str">
        <f>"Beacon.Put(114,0,6"&amp;TEXT(M電入力!$H60,"00")&amp;");"</f>
        <v>Beacon.Put(114,0,600);</v>
      </c>
      <c r="H54" t="str">
        <f>"Beacon.Put(115,0,1"&amp;TEXT(M電入力!$I55,"00")&amp;");"</f>
        <v>Beacon.Put(115,0,100);</v>
      </c>
      <c r="I54" t="str">
        <f>"Beacon.Put(115,0,2"&amp;TEXT(M電入力!$I56,"00")&amp;");"</f>
        <v>Beacon.Put(115,0,200);</v>
      </c>
      <c r="J54" t="str">
        <f>"Beacon.Put(115,0,3"&amp;TEXT(M電入力!$I57,"00")&amp;");"</f>
        <v>Beacon.Put(115,0,300);</v>
      </c>
      <c r="K54" t="str">
        <f>"Beacon.Put(115,0,4"&amp;TEXT(M電入力!$I58,"00")&amp;");"</f>
        <v>Beacon.Put(115,0,400);</v>
      </c>
      <c r="L54" t="str">
        <f>"Beacon.Put(115,0,5"&amp;TEXT(M電入力!$I59,"00")&amp;");"</f>
        <v>Beacon.Put(115,0,500);</v>
      </c>
      <c r="M54" t="str">
        <f>"Beacon.Put(115,0,6"&amp;TEXT(M電入力!$I60,"00")&amp;");"</f>
        <v>Beacon.Put(115,0,600);</v>
      </c>
      <c r="N54" t="str">
        <f>"Beacon.Put(116,0,1"&amp;M電入力!$AE55&amp;");"</f>
        <v>Beacon.Put(116,0,10000);</v>
      </c>
      <c r="O54" t="str">
        <f>"Beacon.Put(116,0,2"&amp;M電入力!$AE56&amp;");"</f>
        <v>Beacon.Put(116,0,20000);</v>
      </c>
      <c r="P54" t="str">
        <f>"Beacon.Put(116,0,3"&amp;M電入力!$AE57&amp;");"</f>
        <v>Beacon.Put(116,0,30000);</v>
      </c>
      <c r="Q54" t="str">
        <f>"Beacon.Put(116,0,4"&amp;M電入力!$AE58&amp;");"</f>
        <v>Beacon.Put(116,0,40000);</v>
      </c>
      <c r="R54" t="str">
        <f>"Beacon.Put(116,0,5"&amp;M電入力!$AE59&amp;");"</f>
        <v>Beacon.Put(116,0,50000);</v>
      </c>
      <c r="S54" t="str">
        <f>"Beacon.Put(116,0,6"&amp;M電入力!$AE60&amp;");"</f>
        <v>Beacon.Put(116,0,60000);</v>
      </c>
    </row>
    <row r="55" spans="1:19">
      <c r="A55" t="str">
        <f>M電入力!C56&amp;"+25;"</f>
        <v>+25;</v>
      </c>
      <c r="B55" t="str">
        <f>"Beacon.Put(114,0,1"&amp;TEXT(M電入力!$H56,"00")&amp;");"</f>
        <v>Beacon.Put(114,0,100);</v>
      </c>
      <c r="C55" t="str">
        <f>"Beacon.Put(114,0,2"&amp;TEXT(M電入力!$H57,"00")&amp;");"</f>
        <v>Beacon.Put(114,0,200);</v>
      </c>
      <c r="D55" t="str">
        <f>"Beacon.Put(114,0,3"&amp;TEXT(M電入力!$H58,"00")&amp;");"</f>
        <v>Beacon.Put(114,0,300);</v>
      </c>
      <c r="E55" t="str">
        <f>"Beacon.Put(114,0,4"&amp;TEXT(M電入力!$H59,"00")&amp;");"</f>
        <v>Beacon.Put(114,0,400);</v>
      </c>
      <c r="F55" t="str">
        <f>"Beacon.Put(114,0,5"&amp;TEXT(M電入力!$H60,"00")&amp;");"</f>
        <v>Beacon.Put(114,0,500);</v>
      </c>
      <c r="G55" t="str">
        <f>"Beacon.Put(114,0,6"&amp;TEXT(M電入力!$H61,"00")&amp;");"</f>
        <v>Beacon.Put(114,0,600);</v>
      </c>
      <c r="H55" t="str">
        <f>"Beacon.Put(115,0,1"&amp;TEXT(M電入力!$I56,"00")&amp;");"</f>
        <v>Beacon.Put(115,0,100);</v>
      </c>
      <c r="I55" t="str">
        <f>"Beacon.Put(115,0,2"&amp;TEXT(M電入力!$I57,"00")&amp;");"</f>
        <v>Beacon.Put(115,0,200);</v>
      </c>
      <c r="J55" t="str">
        <f>"Beacon.Put(115,0,3"&amp;TEXT(M電入力!$I58,"00")&amp;");"</f>
        <v>Beacon.Put(115,0,300);</v>
      </c>
      <c r="K55" t="str">
        <f>"Beacon.Put(115,0,4"&amp;TEXT(M電入力!$I59,"00")&amp;");"</f>
        <v>Beacon.Put(115,0,400);</v>
      </c>
      <c r="L55" t="str">
        <f>"Beacon.Put(115,0,5"&amp;TEXT(M電入力!$I60,"00")&amp;");"</f>
        <v>Beacon.Put(115,0,500);</v>
      </c>
      <c r="M55" t="str">
        <f>"Beacon.Put(115,0,6"&amp;TEXT(M電入力!$I61,"00")&amp;");"</f>
        <v>Beacon.Put(115,0,600);</v>
      </c>
      <c r="N55" t="str">
        <f>"Beacon.Put(116,0,1"&amp;M電入力!$AE56&amp;");"</f>
        <v>Beacon.Put(116,0,10000);</v>
      </c>
      <c r="O55" t="str">
        <f>"Beacon.Put(116,0,2"&amp;M電入力!$AE57&amp;");"</f>
        <v>Beacon.Put(116,0,20000);</v>
      </c>
      <c r="P55" t="str">
        <f>"Beacon.Put(116,0,3"&amp;M電入力!$AE58&amp;");"</f>
        <v>Beacon.Put(116,0,30000);</v>
      </c>
      <c r="Q55" t="str">
        <f>"Beacon.Put(116,0,4"&amp;M電入力!$AE59&amp;");"</f>
        <v>Beacon.Put(116,0,40000);</v>
      </c>
      <c r="R55" t="str">
        <f>"Beacon.Put(116,0,5"&amp;M電入力!$AE60&amp;");"</f>
        <v>Beacon.Put(116,0,50000);</v>
      </c>
      <c r="S55" t="str">
        <f>"Beacon.Put(116,0,6"&amp;M電入力!$AE61&amp;");"</f>
        <v>Beacon.Put(116,0,60000);</v>
      </c>
    </row>
    <row r="56" spans="1:19">
      <c r="A56" t="str">
        <f>M電入力!C57&amp;"+25;"</f>
        <v>+25;</v>
      </c>
      <c r="B56" t="str">
        <f>"Beacon.Put(114,0,1"&amp;TEXT(M電入力!$H57,"00")&amp;");"</f>
        <v>Beacon.Put(114,0,100);</v>
      </c>
      <c r="C56" t="str">
        <f>"Beacon.Put(114,0,2"&amp;TEXT(M電入力!$H58,"00")&amp;");"</f>
        <v>Beacon.Put(114,0,200);</v>
      </c>
      <c r="D56" t="str">
        <f>"Beacon.Put(114,0,3"&amp;TEXT(M電入力!$H59,"00")&amp;");"</f>
        <v>Beacon.Put(114,0,300);</v>
      </c>
      <c r="E56" t="str">
        <f>"Beacon.Put(114,0,4"&amp;TEXT(M電入力!$H60,"00")&amp;");"</f>
        <v>Beacon.Put(114,0,400);</v>
      </c>
      <c r="F56" t="str">
        <f>"Beacon.Put(114,0,5"&amp;TEXT(M電入力!$H61,"00")&amp;");"</f>
        <v>Beacon.Put(114,0,500);</v>
      </c>
      <c r="G56" t="str">
        <f>"Beacon.Put(114,0,6"&amp;TEXT(M電入力!$H62,"00")&amp;");"</f>
        <v>Beacon.Put(114,0,600);</v>
      </c>
      <c r="H56" t="str">
        <f>"Beacon.Put(115,0,1"&amp;TEXT(M電入力!$I57,"00")&amp;");"</f>
        <v>Beacon.Put(115,0,100);</v>
      </c>
      <c r="I56" t="str">
        <f>"Beacon.Put(115,0,2"&amp;TEXT(M電入力!$I58,"00")&amp;");"</f>
        <v>Beacon.Put(115,0,200);</v>
      </c>
      <c r="J56" t="str">
        <f>"Beacon.Put(115,0,3"&amp;TEXT(M電入力!$I59,"00")&amp;");"</f>
        <v>Beacon.Put(115,0,300);</v>
      </c>
      <c r="K56" t="str">
        <f>"Beacon.Put(115,0,4"&amp;TEXT(M電入力!$I60,"00")&amp;");"</f>
        <v>Beacon.Put(115,0,400);</v>
      </c>
      <c r="L56" t="str">
        <f>"Beacon.Put(115,0,5"&amp;TEXT(M電入力!$I61,"00")&amp;");"</f>
        <v>Beacon.Put(115,0,500);</v>
      </c>
      <c r="M56" t="str">
        <f>"Beacon.Put(115,0,6"&amp;TEXT(M電入力!$I62,"00")&amp;");"</f>
        <v>Beacon.Put(115,0,600);</v>
      </c>
      <c r="N56" t="str">
        <f>"Beacon.Put(116,0,1"&amp;M電入力!$AE57&amp;");"</f>
        <v>Beacon.Put(116,0,10000);</v>
      </c>
      <c r="O56" t="str">
        <f>"Beacon.Put(116,0,2"&amp;M電入力!$AE58&amp;");"</f>
        <v>Beacon.Put(116,0,20000);</v>
      </c>
      <c r="P56" t="str">
        <f>"Beacon.Put(116,0,3"&amp;M電入力!$AE59&amp;");"</f>
        <v>Beacon.Put(116,0,30000);</v>
      </c>
      <c r="Q56" t="str">
        <f>"Beacon.Put(116,0,4"&amp;M電入力!$AE60&amp;");"</f>
        <v>Beacon.Put(116,0,40000);</v>
      </c>
      <c r="R56" t="str">
        <f>"Beacon.Put(116,0,5"&amp;M電入力!$AE61&amp;");"</f>
        <v>Beacon.Put(116,0,50000);</v>
      </c>
      <c r="S56" t="str">
        <f>"Beacon.Put(116,0,6"&amp;M電入力!$AE62&amp;");"</f>
        <v>Beacon.Put(116,0,60000);</v>
      </c>
    </row>
    <row r="57" spans="1:19">
      <c r="A57" t="str">
        <f>M電入力!C58&amp;"+25;"</f>
        <v>+25;</v>
      </c>
      <c r="B57" t="str">
        <f>"Beacon.Put(114,0,1"&amp;TEXT(M電入力!$H58,"00")&amp;");"</f>
        <v>Beacon.Put(114,0,100);</v>
      </c>
      <c r="C57" t="str">
        <f>"Beacon.Put(114,0,2"&amp;TEXT(M電入力!$H59,"00")&amp;");"</f>
        <v>Beacon.Put(114,0,200);</v>
      </c>
      <c r="D57" t="str">
        <f>"Beacon.Put(114,0,3"&amp;TEXT(M電入力!$H60,"00")&amp;");"</f>
        <v>Beacon.Put(114,0,300);</v>
      </c>
      <c r="E57" t="str">
        <f>"Beacon.Put(114,0,4"&amp;TEXT(M電入力!$H61,"00")&amp;");"</f>
        <v>Beacon.Put(114,0,400);</v>
      </c>
      <c r="F57" t="str">
        <f>"Beacon.Put(114,0,5"&amp;TEXT(M電入力!$H62,"00")&amp;");"</f>
        <v>Beacon.Put(114,0,500);</v>
      </c>
      <c r="G57" t="str">
        <f>"Beacon.Put(114,0,6"&amp;TEXT(M電入力!$H63,"00")&amp;");"</f>
        <v>Beacon.Put(114,0,600);</v>
      </c>
      <c r="H57" t="str">
        <f>"Beacon.Put(115,0,1"&amp;TEXT(M電入力!$I58,"00")&amp;");"</f>
        <v>Beacon.Put(115,0,100);</v>
      </c>
      <c r="I57" t="str">
        <f>"Beacon.Put(115,0,2"&amp;TEXT(M電入力!$I59,"00")&amp;");"</f>
        <v>Beacon.Put(115,0,200);</v>
      </c>
      <c r="J57" t="str">
        <f>"Beacon.Put(115,0,3"&amp;TEXT(M電入力!$I60,"00")&amp;");"</f>
        <v>Beacon.Put(115,0,300);</v>
      </c>
      <c r="K57" t="str">
        <f>"Beacon.Put(115,0,4"&amp;TEXT(M電入力!$I61,"00")&amp;");"</f>
        <v>Beacon.Put(115,0,400);</v>
      </c>
      <c r="L57" t="str">
        <f>"Beacon.Put(115,0,5"&amp;TEXT(M電入力!$I62,"00")&amp;");"</f>
        <v>Beacon.Put(115,0,500);</v>
      </c>
      <c r="M57" t="str">
        <f>"Beacon.Put(115,0,6"&amp;TEXT(M電入力!$I63,"00")&amp;");"</f>
        <v>Beacon.Put(115,0,600);</v>
      </c>
      <c r="N57" t="str">
        <f>"Beacon.Put(116,0,1"&amp;M電入力!$AE58&amp;");"</f>
        <v>Beacon.Put(116,0,10000);</v>
      </c>
      <c r="O57" t="str">
        <f>"Beacon.Put(116,0,2"&amp;M電入力!$AE59&amp;");"</f>
        <v>Beacon.Put(116,0,20000);</v>
      </c>
      <c r="P57" t="str">
        <f>"Beacon.Put(116,0,3"&amp;M電入力!$AE60&amp;");"</f>
        <v>Beacon.Put(116,0,30000);</v>
      </c>
      <c r="Q57" t="str">
        <f>"Beacon.Put(116,0,4"&amp;M電入力!$AE61&amp;");"</f>
        <v>Beacon.Put(116,0,40000);</v>
      </c>
      <c r="R57" t="str">
        <f>"Beacon.Put(116,0,5"&amp;M電入力!$AE62&amp;");"</f>
        <v>Beacon.Put(116,0,50000);</v>
      </c>
      <c r="S57" t="str">
        <f>"Beacon.Put(116,0,6"&amp;M電入力!$AE63&amp;");"</f>
        <v>Beacon.Put(116,0,60000);</v>
      </c>
    </row>
    <row r="58" spans="1:19">
      <c r="A58" t="str">
        <f>M電入力!C59&amp;"+25;"</f>
        <v>+25;</v>
      </c>
      <c r="B58" t="str">
        <f>"Beacon.Put(114,0,1"&amp;TEXT(M電入力!$H59,"00")&amp;");"</f>
        <v>Beacon.Put(114,0,100);</v>
      </c>
      <c r="C58" t="str">
        <f>"Beacon.Put(114,0,2"&amp;TEXT(M電入力!$H60,"00")&amp;");"</f>
        <v>Beacon.Put(114,0,200);</v>
      </c>
      <c r="D58" t="str">
        <f>"Beacon.Put(114,0,3"&amp;TEXT(M電入力!$H61,"00")&amp;");"</f>
        <v>Beacon.Put(114,0,300);</v>
      </c>
      <c r="E58" t="str">
        <f>"Beacon.Put(114,0,4"&amp;TEXT(M電入力!$H62,"00")&amp;");"</f>
        <v>Beacon.Put(114,0,400);</v>
      </c>
      <c r="F58" t="str">
        <f>"Beacon.Put(114,0,5"&amp;TEXT(M電入力!$H63,"00")&amp;");"</f>
        <v>Beacon.Put(114,0,500);</v>
      </c>
      <c r="G58" t="str">
        <f>"Beacon.Put(114,0,6"&amp;TEXT(M電入力!$H64,"00")&amp;");"</f>
        <v>Beacon.Put(114,0,600);</v>
      </c>
      <c r="H58" t="str">
        <f>"Beacon.Put(115,0,1"&amp;TEXT(M電入力!$I59,"00")&amp;");"</f>
        <v>Beacon.Put(115,0,100);</v>
      </c>
      <c r="I58" t="str">
        <f>"Beacon.Put(115,0,2"&amp;TEXT(M電入力!$I60,"00")&amp;");"</f>
        <v>Beacon.Put(115,0,200);</v>
      </c>
      <c r="J58" t="str">
        <f>"Beacon.Put(115,0,3"&amp;TEXT(M電入力!$I61,"00")&amp;");"</f>
        <v>Beacon.Put(115,0,300);</v>
      </c>
      <c r="K58" t="str">
        <f>"Beacon.Put(115,0,4"&amp;TEXT(M電入力!$I62,"00")&amp;");"</f>
        <v>Beacon.Put(115,0,400);</v>
      </c>
      <c r="L58" t="str">
        <f>"Beacon.Put(115,0,5"&amp;TEXT(M電入力!$I63,"00")&amp;");"</f>
        <v>Beacon.Put(115,0,500);</v>
      </c>
      <c r="M58" t="str">
        <f>"Beacon.Put(115,0,6"&amp;TEXT(M電入力!$I64,"00")&amp;");"</f>
        <v>Beacon.Put(115,0,600);</v>
      </c>
      <c r="N58" t="str">
        <f>"Beacon.Put(116,0,1"&amp;M電入力!$AE59&amp;");"</f>
        <v>Beacon.Put(116,0,10000);</v>
      </c>
      <c r="O58" t="str">
        <f>"Beacon.Put(116,0,2"&amp;M電入力!$AE60&amp;");"</f>
        <v>Beacon.Put(116,0,20000);</v>
      </c>
      <c r="P58" t="str">
        <f>"Beacon.Put(116,0,3"&amp;M電入力!$AE61&amp;");"</f>
        <v>Beacon.Put(116,0,30000);</v>
      </c>
      <c r="Q58" t="str">
        <f>"Beacon.Put(116,0,4"&amp;M電入力!$AE62&amp;");"</f>
        <v>Beacon.Put(116,0,40000);</v>
      </c>
      <c r="R58" t="str">
        <f>"Beacon.Put(116,0,5"&amp;M電入力!$AE63&amp;");"</f>
        <v>Beacon.Put(116,0,50000);</v>
      </c>
      <c r="S58" t="str">
        <f>"Beacon.Put(116,0,6"&amp;M電入力!$AE64&amp;");"</f>
        <v>Beacon.Put(116,0,60000);</v>
      </c>
    </row>
    <row r="59" spans="1:19">
      <c r="A59" t="str">
        <f>M電入力!C60&amp;"+25;"</f>
        <v>+25;</v>
      </c>
      <c r="B59" t="str">
        <f>"Beacon.Put(114,0,1"&amp;TEXT(M電入力!$H60,"00")&amp;");"</f>
        <v>Beacon.Put(114,0,100);</v>
      </c>
      <c r="C59" t="str">
        <f>"Beacon.Put(114,0,2"&amp;TEXT(M電入力!$H61,"00")&amp;");"</f>
        <v>Beacon.Put(114,0,200);</v>
      </c>
      <c r="D59" t="str">
        <f>"Beacon.Put(114,0,3"&amp;TEXT(M電入力!$H62,"00")&amp;");"</f>
        <v>Beacon.Put(114,0,300);</v>
      </c>
      <c r="E59" t="str">
        <f>"Beacon.Put(114,0,4"&amp;TEXT(M電入力!$H63,"00")&amp;");"</f>
        <v>Beacon.Put(114,0,400);</v>
      </c>
      <c r="F59" t="str">
        <f>"Beacon.Put(114,0,5"&amp;TEXT(M電入力!$H64,"00")&amp;");"</f>
        <v>Beacon.Put(114,0,500);</v>
      </c>
      <c r="G59" t="str">
        <f>"Beacon.Put(114,0,6"&amp;TEXT(M電入力!$H65,"00")&amp;");"</f>
        <v>Beacon.Put(114,0,600);</v>
      </c>
      <c r="H59" t="str">
        <f>"Beacon.Put(115,0,1"&amp;TEXT(M電入力!$I60,"00")&amp;");"</f>
        <v>Beacon.Put(115,0,100);</v>
      </c>
      <c r="I59" t="str">
        <f>"Beacon.Put(115,0,2"&amp;TEXT(M電入力!$I61,"00")&amp;");"</f>
        <v>Beacon.Put(115,0,200);</v>
      </c>
      <c r="J59" t="str">
        <f>"Beacon.Put(115,0,3"&amp;TEXT(M電入力!$I62,"00")&amp;");"</f>
        <v>Beacon.Put(115,0,300);</v>
      </c>
      <c r="K59" t="str">
        <f>"Beacon.Put(115,0,4"&amp;TEXT(M電入力!$I63,"00")&amp;");"</f>
        <v>Beacon.Put(115,0,400);</v>
      </c>
      <c r="L59" t="str">
        <f>"Beacon.Put(115,0,5"&amp;TEXT(M電入力!$I64,"00")&amp;");"</f>
        <v>Beacon.Put(115,0,500);</v>
      </c>
      <c r="M59" t="str">
        <f>"Beacon.Put(115,0,6"&amp;TEXT(M電入力!$I65,"00")&amp;");"</f>
        <v>Beacon.Put(115,0,600);</v>
      </c>
      <c r="N59" t="str">
        <f>"Beacon.Put(116,0,1"&amp;M電入力!$AE60&amp;");"</f>
        <v>Beacon.Put(116,0,10000);</v>
      </c>
      <c r="O59" t="str">
        <f>"Beacon.Put(116,0,2"&amp;M電入力!$AE61&amp;");"</f>
        <v>Beacon.Put(116,0,20000);</v>
      </c>
      <c r="P59" t="str">
        <f>"Beacon.Put(116,0,3"&amp;M電入力!$AE62&amp;");"</f>
        <v>Beacon.Put(116,0,30000);</v>
      </c>
      <c r="Q59" t="str">
        <f>"Beacon.Put(116,0,4"&amp;M電入力!$AE63&amp;");"</f>
        <v>Beacon.Put(116,0,40000);</v>
      </c>
      <c r="R59" t="str">
        <f>"Beacon.Put(116,0,5"&amp;M電入力!$AE64&amp;");"</f>
        <v>Beacon.Put(116,0,50000);</v>
      </c>
      <c r="S59" t="str">
        <f>"Beacon.Put(116,0,6"&amp;M電入力!$AE65&amp;");"</f>
        <v>Beacon.Put(116,0,60000);</v>
      </c>
    </row>
    <row r="60" spans="1:19">
      <c r="A60" t="str">
        <f>M電入力!C61&amp;"+25;"</f>
        <v>+25;</v>
      </c>
      <c r="B60" t="str">
        <f>"Beacon.Put(114,0,1"&amp;TEXT(M電入力!$H61,"00")&amp;");"</f>
        <v>Beacon.Put(114,0,100);</v>
      </c>
      <c r="C60" t="str">
        <f>"Beacon.Put(114,0,2"&amp;TEXT(M電入力!$H62,"00")&amp;");"</f>
        <v>Beacon.Put(114,0,200);</v>
      </c>
      <c r="D60" t="str">
        <f>"Beacon.Put(114,0,3"&amp;TEXT(M電入力!$H63,"00")&amp;");"</f>
        <v>Beacon.Put(114,0,300);</v>
      </c>
      <c r="E60" t="str">
        <f>"Beacon.Put(114,0,4"&amp;TEXT(M電入力!$H64,"00")&amp;");"</f>
        <v>Beacon.Put(114,0,400);</v>
      </c>
      <c r="F60" t="str">
        <f>"Beacon.Put(114,0,5"&amp;TEXT(M電入力!$H65,"00")&amp;");"</f>
        <v>Beacon.Put(114,0,500);</v>
      </c>
      <c r="G60" t="str">
        <f>"Beacon.Put(114,0,6"&amp;TEXT(M電入力!$H66,"00")&amp;");"</f>
        <v>Beacon.Put(114,0,600);</v>
      </c>
      <c r="H60" t="str">
        <f>"Beacon.Put(115,0,1"&amp;TEXT(M電入力!$I61,"00")&amp;");"</f>
        <v>Beacon.Put(115,0,100);</v>
      </c>
      <c r="I60" t="str">
        <f>"Beacon.Put(115,0,2"&amp;TEXT(M電入力!$I62,"00")&amp;");"</f>
        <v>Beacon.Put(115,0,200);</v>
      </c>
      <c r="J60" t="str">
        <f>"Beacon.Put(115,0,3"&amp;TEXT(M電入力!$I63,"00")&amp;");"</f>
        <v>Beacon.Put(115,0,300);</v>
      </c>
      <c r="K60" t="str">
        <f>"Beacon.Put(115,0,4"&amp;TEXT(M電入力!$I64,"00")&amp;");"</f>
        <v>Beacon.Put(115,0,400);</v>
      </c>
      <c r="L60" t="str">
        <f>"Beacon.Put(115,0,5"&amp;TEXT(M電入力!$I65,"00")&amp;");"</f>
        <v>Beacon.Put(115,0,500);</v>
      </c>
      <c r="M60" t="str">
        <f>"Beacon.Put(115,0,6"&amp;TEXT(M電入力!$I66,"00")&amp;");"</f>
        <v>Beacon.Put(115,0,600);</v>
      </c>
      <c r="N60" t="str">
        <f>"Beacon.Put(116,0,1"&amp;M電入力!$AE61&amp;");"</f>
        <v>Beacon.Put(116,0,10000);</v>
      </c>
      <c r="O60" t="str">
        <f>"Beacon.Put(116,0,2"&amp;M電入力!$AE62&amp;");"</f>
        <v>Beacon.Put(116,0,20000);</v>
      </c>
      <c r="P60" t="str">
        <f>"Beacon.Put(116,0,3"&amp;M電入力!$AE63&amp;");"</f>
        <v>Beacon.Put(116,0,30000);</v>
      </c>
      <c r="Q60" t="str">
        <f>"Beacon.Put(116,0,4"&amp;M電入力!$AE64&amp;");"</f>
        <v>Beacon.Put(116,0,40000);</v>
      </c>
      <c r="R60" t="str">
        <f>"Beacon.Put(116,0,5"&amp;M電入力!$AE65&amp;");"</f>
        <v>Beacon.Put(116,0,50000);</v>
      </c>
      <c r="S60" t="str">
        <f>"Beacon.Put(116,0,6"&amp;M電入力!$AE66&amp;");"</f>
        <v>Beacon.Put(116,0,60000);</v>
      </c>
    </row>
    <row r="61" spans="1:19">
      <c r="A61" t="str">
        <f>M電入力!C62&amp;"+25;"</f>
        <v>+25;</v>
      </c>
      <c r="B61" t="str">
        <f>"Beacon.Put(114,0,1"&amp;TEXT(M電入力!$H62,"00")&amp;");"</f>
        <v>Beacon.Put(114,0,100);</v>
      </c>
      <c r="C61" t="str">
        <f>"Beacon.Put(114,0,2"&amp;TEXT(M電入力!$H63,"00")&amp;");"</f>
        <v>Beacon.Put(114,0,200);</v>
      </c>
      <c r="D61" t="str">
        <f>"Beacon.Put(114,0,3"&amp;TEXT(M電入力!$H64,"00")&amp;");"</f>
        <v>Beacon.Put(114,0,300);</v>
      </c>
      <c r="E61" t="str">
        <f>"Beacon.Put(114,0,4"&amp;TEXT(M電入力!$H65,"00")&amp;");"</f>
        <v>Beacon.Put(114,0,400);</v>
      </c>
      <c r="F61" t="str">
        <f>"Beacon.Put(114,0,5"&amp;TEXT(M電入力!$H66,"00")&amp;");"</f>
        <v>Beacon.Put(114,0,500);</v>
      </c>
      <c r="G61" t="str">
        <f>"Beacon.Put(114,0,6"&amp;TEXT(M電入力!$H67,"00")&amp;");"</f>
        <v>Beacon.Put(114,0,600);</v>
      </c>
      <c r="H61" t="str">
        <f>"Beacon.Put(115,0,1"&amp;TEXT(M電入力!$I62,"00")&amp;");"</f>
        <v>Beacon.Put(115,0,100);</v>
      </c>
      <c r="I61" t="str">
        <f>"Beacon.Put(115,0,2"&amp;TEXT(M電入力!$I63,"00")&amp;");"</f>
        <v>Beacon.Put(115,0,200);</v>
      </c>
      <c r="J61" t="str">
        <f>"Beacon.Put(115,0,3"&amp;TEXT(M電入力!$I64,"00")&amp;");"</f>
        <v>Beacon.Put(115,0,300);</v>
      </c>
      <c r="K61" t="str">
        <f>"Beacon.Put(115,0,4"&amp;TEXT(M電入力!$I65,"00")&amp;");"</f>
        <v>Beacon.Put(115,0,400);</v>
      </c>
      <c r="L61" t="str">
        <f>"Beacon.Put(115,0,5"&amp;TEXT(M電入力!$I66,"00")&amp;");"</f>
        <v>Beacon.Put(115,0,500);</v>
      </c>
      <c r="M61" t="str">
        <f>"Beacon.Put(115,0,6"&amp;TEXT(M電入力!$I67,"00")&amp;");"</f>
        <v>Beacon.Put(115,0,600);</v>
      </c>
      <c r="N61" t="str">
        <f>"Beacon.Put(116,0,1"&amp;M電入力!$AE62&amp;");"</f>
        <v>Beacon.Put(116,0,10000);</v>
      </c>
      <c r="O61" t="str">
        <f>"Beacon.Put(116,0,2"&amp;M電入力!$AE63&amp;");"</f>
        <v>Beacon.Put(116,0,20000);</v>
      </c>
      <c r="P61" t="str">
        <f>"Beacon.Put(116,0,3"&amp;M電入力!$AE64&amp;");"</f>
        <v>Beacon.Put(116,0,30000);</v>
      </c>
      <c r="Q61" t="str">
        <f>"Beacon.Put(116,0,4"&amp;M電入力!$AE65&amp;");"</f>
        <v>Beacon.Put(116,0,40000);</v>
      </c>
      <c r="R61" t="str">
        <f>"Beacon.Put(116,0,5"&amp;M電入力!$AE66&amp;");"</f>
        <v>Beacon.Put(116,0,50000);</v>
      </c>
      <c r="S61" t="str">
        <f>"Beacon.Put(116,0,6"&amp;M電入力!$AE67&amp;");"</f>
        <v>Beacon.Put(116,0,60000);</v>
      </c>
    </row>
    <row r="62" spans="1:19">
      <c r="A62" t="str">
        <f>M電入力!C63&amp;"+25;"</f>
        <v>+25;</v>
      </c>
      <c r="B62" t="str">
        <f>"Beacon.Put(114,0,1"&amp;TEXT(M電入力!$H63,"00")&amp;");"</f>
        <v>Beacon.Put(114,0,100);</v>
      </c>
      <c r="C62" t="str">
        <f>"Beacon.Put(114,0,2"&amp;TEXT(M電入力!$H64,"00")&amp;");"</f>
        <v>Beacon.Put(114,0,200);</v>
      </c>
      <c r="D62" t="str">
        <f>"Beacon.Put(114,0,3"&amp;TEXT(M電入力!$H65,"00")&amp;");"</f>
        <v>Beacon.Put(114,0,300);</v>
      </c>
      <c r="E62" t="str">
        <f>"Beacon.Put(114,0,4"&amp;TEXT(M電入力!$H66,"00")&amp;");"</f>
        <v>Beacon.Put(114,0,400);</v>
      </c>
      <c r="F62" t="str">
        <f>"Beacon.Put(114,0,5"&amp;TEXT(M電入力!$H67,"00")&amp;");"</f>
        <v>Beacon.Put(114,0,500);</v>
      </c>
      <c r="G62" t="str">
        <f>"Beacon.Put(114,0,6"&amp;TEXT(M電入力!$H68,"00")&amp;");"</f>
        <v>Beacon.Put(114,0,600);</v>
      </c>
      <c r="H62" t="str">
        <f>"Beacon.Put(115,0,1"&amp;TEXT(M電入力!$I63,"00")&amp;");"</f>
        <v>Beacon.Put(115,0,100);</v>
      </c>
      <c r="I62" t="str">
        <f>"Beacon.Put(115,0,2"&amp;TEXT(M電入力!$I64,"00")&amp;");"</f>
        <v>Beacon.Put(115,0,200);</v>
      </c>
      <c r="J62" t="str">
        <f>"Beacon.Put(115,0,3"&amp;TEXT(M電入力!$I65,"00")&amp;");"</f>
        <v>Beacon.Put(115,0,300);</v>
      </c>
      <c r="K62" t="str">
        <f>"Beacon.Put(115,0,4"&amp;TEXT(M電入力!$I66,"00")&amp;");"</f>
        <v>Beacon.Put(115,0,400);</v>
      </c>
      <c r="L62" t="str">
        <f>"Beacon.Put(115,0,5"&amp;TEXT(M電入力!$I67,"00")&amp;");"</f>
        <v>Beacon.Put(115,0,500);</v>
      </c>
      <c r="M62" t="str">
        <f>"Beacon.Put(115,0,6"&amp;TEXT(M電入力!$I68,"00")&amp;");"</f>
        <v>Beacon.Put(115,0,600);</v>
      </c>
      <c r="N62" t="str">
        <f>"Beacon.Put(116,0,1"&amp;M電入力!$AE63&amp;");"</f>
        <v>Beacon.Put(116,0,10000);</v>
      </c>
      <c r="O62" t="str">
        <f>"Beacon.Put(116,0,2"&amp;M電入力!$AE64&amp;");"</f>
        <v>Beacon.Put(116,0,20000);</v>
      </c>
      <c r="P62" t="str">
        <f>"Beacon.Put(116,0,3"&amp;M電入力!$AE65&amp;");"</f>
        <v>Beacon.Put(116,0,30000);</v>
      </c>
      <c r="Q62" t="str">
        <f>"Beacon.Put(116,0,4"&amp;M電入力!$AE66&amp;");"</f>
        <v>Beacon.Put(116,0,40000);</v>
      </c>
      <c r="R62" t="str">
        <f>"Beacon.Put(116,0,5"&amp;M電入力!$AE67&amp;");"</f>
        <v>Beacon.Put(116,0,50000);</v>
      </c>
      <c r="S62" t="str">
        <f>"Beacon.Put(116,0,6"&amp;M電入力!$AE68&amp;");"</f>
        <v>Beacon.Put(116,0,60000);</v>
      </c>
    </row>
    <row r="63" spans="1:19">
      <c r="A63" t="str">
        <f>M電入力!C64&amp;"+25;"</f>
        <v>+25;</v>
      </c>
      <c r="B63" t="str">
        <f>"Beacon.Put(114,0,1"&amp;TEXT(M電入力!$H64,"00")&amp;");"</f>
        <v>Beacon.Put(114,0,100);</v>
      </c>
      <c r="C63" t="str">
        <f>"Beacon.Put(114,0,2"&amp;TEXT(M電入力!$H65,"00")&amp;");"</f>
        <v>Beacon.Put(114,0,200);</v>
      </c>
      <c r="D63" t="str">
        <f>"Beacon.Put(114,0,3"&amp;TEXT(M電入力!$H66,"00")&amp;");"</f>
        <v>Beacon.Put(114,0,300);</v>
      </c>
      <c r="E63" t="str">
        <f>"Beacon.Put(114,0,4"&amp;TEXT(M電入力!$H67,"00")&amp;");"</f>
        <v>Beacon.Put(114,0,400);</v>
      </c>
      <c r="F63" t="str">
        <f>"Beacon.Put(114,0,5"&amp;TEXT(M電入力!$H68,"00")&amp;");"</f>
        <v>Beacon.Put(114,0,500);</v>
      </c>
      <c r="G63" t="str">
        <f>"Beacon.Put(114,0,6"&amp;TEXT(M電入力!$H69,"00")&amp;");"</f>
        <v>Beacon.Put(114,0,600);</v>
      </c>
      <c r="H63" t="str">
        <f>"Beacon.Put(115,0,1"&amp;TEXT(M電入力!$I64,"00")&amp;");"</f>
        <v>Beacon.Put(115,0,100);</v>
      </c>
      <c r="I63" t="str">
        <f>"Beacon.Put(115,0,2"&amp;TEXT(M電入力!$I65,"00")&amp;");"</f>
        <v>Beacon.Put(115,0,200);</v>
      </c>
      <c r="J63" t="str">
        <f>"Beacon.Put(115,0,3"&amp;TEXT(M電入力!$I66,"00")&amp;");"</f>
        <v>Beacon.Put(115,0,300);</v>
      </c>
      <c r="K63" t="str">
        <f>"Beacon.Put(115,0,4"&amp;TEXT(M電入力!$I67,"00")&amp;");"</f>
        <v>Beacon.Put(115,0,400);</v>
      </c>
      <c r="L63" t="str">
        <f>"Beacon.Put(115,0,5"&amp;TEXT(M電入力!$I68,"00")&amp;");"</f>
        <v>Beacon.Put(115,0,500);</v>
      </c>
      <c r="M63" t="str">
        <f>"Beacon.Put(115,0,6"&amp;TEXT(M電入力!$I69,"00")&amp;");"</f>
        <v>Beacon.Put(115,0,600);</v>
      </c>
      <c r="N63" t="str">
        <f>"Beacon.Put(116,0,1"&amp;M電入力!$AE64&amp;");"</f>
        <v>Beacon.Put(116,0,10000);</v>
      </c>
      <c r="O63" t="str">
        <f>"Beacon.Put(116,0,2"&amp;M電入力!$AE65&amp;");"</f>
        <v>Beacon.Put(116,0,20000);</v>
      </c>
      <c r="P63" t="str">
        <f>"Beacon.Put(116,0,3"&amp;M電入力!$AE66&amp;");"</f>
        <v>Beacon.Put(116,0,30000);</v>
      </c>
      <c r="Q63" t="str">
        <f>"Beacon.Put(116,0,4"&amp;M電入力!$AE67&amp;");"</f>
        <v>Beacon.Put(116,0,40000);</v>
      </c>
      <c r="R63" t="str">
        <f>"Beacon.Put(116,0,5"&amp;M電入力!$AE68&amp;");"</f>
        <v>Beacon.Put(116,0,50000);</v>
      </c>
      <c r="S63" t="str">
        <f>"Beacon.Put(116,0,6"&amp;M電入力!$AE69&amp;");"</f>
        <v>Beacon.Put(116,0,60000);</v>
      </c>
    </row>
    <row r="64" spans="1:19">
      <c r="A64" t="str">
        <f>M電入力!C65&amp;"+25;"</f>
        <v>+25;</v>
      </c>
      <c r="B64" t="str">
        <f>"Beacon.Put(114,0,1"&amp;TEXT(M電入力!$H65,"00")&amp;");"</f>
        <v>Beacon.Put(114,0,100);</v>
      </c>
      <c r="C64" t="str">
        <f>"Beacon.Put(114,0,2"&amp;TEXT(M電入力!$H66,"00")&amp;");"</f>
        <v>Beacon.Put(114,0,200);</v>
      </c>
      <c r="D64" t="str">
        <f>"Beacon.Put(114,0,3"&amp;TEXT(M電入力!$H67,"00")&amp;");"</f>
        <v>Beacon.Put(114,0,300);</v>
      </c>
      <c r="E64" t="str">
        <f>"Beacon.Put(114,0,4"&amp;TEXT(M電入力!$H68,"00")&amp;");"</f>
        <v>Beacon.Put(114,0,400);</v>
      </c>
      <c r="F64" t="str">
        <f>"Beacon.Put(114,0,5"&amp;TEXT(M電入力!$H69,"00")&amp;");"</f>
        <v>Beacon.Put(114,0,500);</v>
      </c>
      <c r="G64" t="str">
        <f>"Beacon.Put(114,0,6"&amp;TEXT(M電入力!$H70,"00")&amp;");"</f>
        <v>Beacon.Put(114,0,600);</v>
      </c>
      <c r="H64" t="str">
        <f>"Beacon.Put(115,0,1"&amp;TEXT(M電入力!$I65,"00")&amp;");"</f>
        <v>Beacon.Put(115,0,100);</v>
      </c>
      <c r="I64" t="str">
        <f>"Beacon.Put(115,0,2"&amp;TEXT(M電入力!$I66,"00")&amp;");"</f>
        <v>Beacon.Put(115,0,200);</v>
      </c>
      <c r="J64" t="str">
        <f>"Beacon.Put(115,0,3"&amp;TEXT(M電入力!$I67,"00")&amp;");"</f>
        <v>Beacon.Put(115,0,300);</v>
      </c>
      <c r="K64" t="str">
        <f>"Beacon.Put(115,0,4"&amp;TEXT(M電入力!$I68,"00")&amp;");"</f>
        <v>Beacon.Put(115,0,400);</v>
      </c>
      <c r="L64" t="str">
        <f>"Beacon.Put(115,0,5"&amp;TEXT(M電入力!$I69,"00")&amp;");"</f>
        <v>Beacon.Put(115,0,500);</v>
      </c>
      <c r="M64" t="str">
        <f>"Beacon.Put(115,0,6"&amp;TEXT(M電入力!$I70,"00")&amp;");"</f>
        <v>Beacon.Put(115,0,600);</v>
      </c>
      <c r="N64" t="str">
        <f>"Beacon.Put(116,0,1"&amp;M電入力!$AE65&amp;");"</f>
        <v>Beacon.Put(116,0,10000);</v>
      </c>
      <c r="O64" t="str">
        <f>"Beacon.Put(116,0,2"&amp;M電入力!$AE66&amp;");"</f>
        <v>Beacon.Put(116,0,20000);</v>
      </c>
      <c r="P64" t="str">
        <f>"Beacon.Put(116,0,3"&amp;M電入力!$AE67&amp;");"</f>
        <v>Beacon.Put(116,0,30000);</v>
      </c>
      <c r="Q64" t="str">
        <f>"Beacon.Put(116,0,4"&amp;M電入力!$AE68&amp;");"</f>
        <v>Beacon.Put(116,0,40000);</v>
      </c>
      <c r="R64" t="str">
        <f>"Beacon.Put(116,0,5"&amp;M電入力!$AE69&amp;");"</f>
        <v>Beacon.Put(116,0,50000);</v>
      </c>
      <c r="S64" t="str">
        <f>"Beacon.Put(116,0,6"&amp;M電入力!$AE70&amp;");"</f>
        <v>Beacon.Put(116,0,60000);</v>
      </c>
    </row>
    <row r="65" spans="1:19">
      <c r="A65" t="str">
        <f>M電入力!C66&amp;"+25;"</f>
        <v>+25;</v>
      </c>
      <c r="B65" t="str">
        <f>"Beacon.Put(114,0,1"&amp;TEXT(M電入力!$H66,"00")&amp;");"</f>
        <v>Beacon.Put(114,0,100);</v>
      </c>
      <c r="C65" t="str">
        <f>"Beacon.Put(114,0,2"&amp;TEXT(M電入力!$H67,"00")&amp;");"</f>
        <v>Beacon.Put(114,0,200);</v>
      </c>
      <c r="D65" t="str">
        <f>"Beacon.Put(114,0,3"&amp;TEXT(M電入力!$H68,"00")&amp;");"</f>
        <v>Beacon.Put(114,0,300);</v>
      </c>
      <c r="E65" t="str">
        <f>"Beacon.Put(114,0,4"&amp;TEXT(M電入力!$H69,"00")&amp;");"</f>
        <v>Beacon.Put(114,0,400);</v>
      </c>
      <c r="F65" t="str">
        <f>"Beacon.Put(114,0,5"&amp;TEXT(M電入力!$H70,"00")&amp;");"</f>
        <v>Beacon.Put(114,0,500);</v>
      </c>
      <c r="G65" t="str">
        <f>"Beacon.Put(114,0,6"&amp;TEXT(M電入力!$H71,"00")&amp;");"</f>
        <v>Beacon.Put(114,0,600);</v>
      </c>
      <c r="H65" t="str">
        <f>"Beacon.Put(115,0,1"&amp;TEXT(M電入力!$I66,"00")&amp;");"</f>
        <v>Beacon.Put(115,0,100);</v>
      </c>
      <c r="I65" t="str">
        <f>"Beacon.Put(115,0,2"&amp;TEXT(M電入力!$I67,"00")&amp;");"</f>
        <v>Beacon.Put(115,0,200);</v>
      </c>
      <c r="J65" t="str">
        <f>"Beacon.Put(115,0,3"&amp;TEXT(M電入力!$I68,"00")&amp;");"</f>
        <v>Beacon.Put(115,0,300);</v>
      </c>
      <c r="K65" t="str">
        <f>"Beacon.Put(115,0,4"&amp;TEXT(M電入力!$I69,"00")&amp;");"</f>
        <v>Beacon.Put(115,0,400);</v>
      </c>
      <c r="L65" t="str">
        <f>"Beacon.Put(115,0,5"&amp;TEXT(M電入力!$I70,"00")&amp;");"</f>
        <v>Beacon.Put(115,0,500);</v>
      </c>
      <c r="M65" t="str">
        <f>"Beacon.Put(115,0,6"&amp;TEXT(M電入力!$I71,"00")&amp;");"</f>
        <v>Beacon.Put(115,0,600);</v>
      </c>
      <c r="N65" t="str">
        <f>"Beacon.Put(116,0,1"&amp;M電入力!$AE66&amp;");"</f>
        <v>Beacon.Put(116,0,10000);</v>
      </c>
      <c r="O65" t="str">
        <f>"Beacon.Put(116,0,2"&amp;M電入力!$AE67&amp;");"</f>
        <v>Beacon.Put(116,0,20000);</v>
      </c>
      <c r="P65" t="str">
        <f>"Beacon.Put(116,0,3"&amp;M電入力!$AE68&amp;");"</f>
        <v>Beacon.Put(116,0,30000);</v>
      </c>
      <c r="Q65" t="str">
        <f>"Beacon.Put(116,0,4"&amp;M電入力!$AE69&amp;");"</f>
        <v>Beacon.Put(116,0,40000);</v>
      </c>
      <c r="R65" t="str">
        <f>"Beacon.Put(116,0,5"&amp;M電入力!$AE70&amp;");"</f>
        <v>Beacon.Put(116,0,50000);</v>
      </c>
      <c r="S65" t="str">
        <f>"Beacon.Put(116,0,6"&amp;M電入力!$AE71&amp;");"</f>
        <v>Beacon.Put(116,0,60000);</v>
      </c>
    </row>
    <row r="66" spans="1:19">
      <c r="A66" t="str">
        <f>M電入力!C67&amp;"+25;"</f>
        <v>+25;</v>
      </c>
      <c r="B66" t="str">
        <f>"Beacon.Put(114,0,1"&amp;TEXT(M電入力!$H67,"00")&amp;");"</f>
        <v>Beacon.Put(114,0,100);</v>
      </c>
      <c r="C66" t="str">
        <f>"Beacon.Put(114,0,2"&amp;TEXT(M電入力!$H68,"00")&amp;");"</f>
        <v>Beacon.Put(114,0,200);</v>
      </c>
      <c r="D66" t="str">
        <f>"Beacon.Put(114,0,3"&amp;TEXT(M電入力!$H69,"00")&amp;");"</f>
        <v>Beacon.Put(114,0,300);</v>
      </c>
      <c r="E66" t="str">
        <f>"Beacon.Put(114,0,4"&amp;TEXT(M電入力!$H70,"00")&amp;");"</f>
        <v>Beacon.Put(114,0,400);</v>
      </c>
      <c r="F66" t="str">
        <f>"Beacon.Put(114,0,5"&amp;TEXT(M電入力!$H71,"00")&amp;");"</f>
        <v>Beacon.Put(114,0,500);</v>
      </c>
      <c r="G66" t="str">
        <f>"Beacon.Put(114,0,6"&amp;TEXT(M電入力!$H72,"00")&amp;");"</f>
        <v>Beacon.Put(114,0,600);</v>
      </c>
      <c r="H66" t="str">
        <f>"Beacon.Put(115,0,1"&amp;TEXT(M電入力!$I67,"00")&amp;");"</f>
        <v>Beacon.Put(115,0,100);</v>
      </c>
      <c r="I66" t="str">
        <f>"Beacon.Put(115,0,2"&amp;TEXT(M電入力!$I68,"00")&amp;");"</f>
        <v>Beacon.Put(115,0,200);</v>
      </c>
      <c r="J66" t="str">
        <f>"Beacon.Put(115,0,3"&amp;TEXT(M電入力!$I69,"00")&amp;");"</f>
        <v>Beacon.Put(115,0,300);</v>
      </c>
      <c r="K66" t="str">
        <f>"Beacon.Put(115,0,4"&amp;TEXT(M電入力!$I70,"00")&amp;");"</f>
        <v>Beacon.Put(115,0,400);</v>
      </c>
      <c r="L66" t="str">
        <f>"Beacon.Put(115,0,5"&amp;TEXT(M電入力!$I71,"00")&amp;");"</f>
        <v>Beacon.Put(115,0,500);</v>
      </c>
      <c r="M66" t="str">
        <f>"Beacon.Put(115,0,6"&amp;TEXT(M電入力!$I72,"00")&amp;");"</f>
        <v>Beacon.Put(115,0,600);</v>
      </c>
      <c r="N66" t="str">
        <f>"Beacon.Put(116,0,1"&amp;M電入力!$AE67&amp;");"</f>
        <v>Beacon.Put(116,0,10000);</v>
      </c>
      <c r="O66" t="str">
        <f>"Beacon.Put(116,0,2"&amp;M電入力!$AE68&amp;");"</f>
        <v>Beacon.Put(116,0,20000);</v>
      </c>
      <c r="P66" t="str">
        <f>"Beacon.Put(116,0,3"&amp;M電入力!$AE69&amp;");"</f>
        <v>Beacon.Put(116,0,30000);</v>
      </c>
      <c r="Q66" t="str">
        <f>"Beacon.Put(116,0,4"&amp;M電入力!$AE70&amp;");"</f>
        <v>Beacon.Put(116,0,40000);</v>
      </c>
      <c r="R66" t="str">
        <f>"Beacon.Put(116,0,5"&amp;M電入力!$AE71&amp;");"</f>
        <v>Beacon.Put(116,0,50000);</v>
      </c>
      <c r="S66" t="str">
        <f>"Beacon.Put(116,0,6"&amp;M電入力!$AE72&amp;");"</f>
        <v>Beacon.Put(116,0,60000);</v>
      </c>
    </row>
    <row r="67" spans="1:19">
      <c r="A67" t="str">
        <f>M電入力!C68&amp;"+25;"</f>
        <v>+25;</v>
      </c>
      <c r="B67" t="str">
        <f>"Beacon.Put(114,0,1"&amp;TEXT(M電入力!$H68,"00")&amp;");"</f>
        <v>Beacon.Put(114,0,100);</v>
      </c>
      <c r="C67" t="str">
        <f>"Beacon.Put(114,0,2"&amp;TEXT(M電入力!$H69,"00")&amp;");"</f>
        <v>Beacon.Put(114,0,200);</v>
      </c>
      <c r="D67" t="str">
        <f>"Beacon.Put(114,0,3"&amp;TEXT(M電入力!$H70,"00")&amp;");"</f>
        <v>Beacon.Put(114,0,300);</v>
      </c>
      <c r="E67" t="str">
        <f>"Beacon.Put(114,0,4"&amp;TEXT(M電入力!$H71,"00")&amp;");"</f>
        <v>Beacon.Put(114,0,400);</v>
      </c>
      <c r="F67" t="str">
        <f>"Beacon.Put(114,0,5"&amp;TEXT(M電入力!$H72,"00")&amp;");"</f>
        <v>Beacon.Put(114,0,500);</v>
      </c>
      <c r="G67" t="str">
        <f>"Beacon.Put(114,0,6"&amp;TEXT(M電入力!$H73,"00")&amp;");"</f>
        <v>Beacon.Put(114,0,600);</v>
      </c>
      <c r="H67" t="str">
        <f>"Beacon.Put(115,0,1"&amp;TEXT(M電入力!$I68,"00")&amp;");"</f>
        <v>Beacon.Put(115,0,100);</v>
      </c>
      <c r="I67" t="str">
        <f>"Beacon.Put(115,0,2"&amp;TEXT(M電入力!$I69,"00")&amp;");"</f>
        <v>Beacon.Put(115,0,200);</v>
      </c>
      <c r="J67" t="str">
        <f>"Beacon.Put(115,0,3"&amp;TEXT(M電入力!$I70,"00")&amp;");"</f>
        <v>Beacon.Put(115,0,300);</v>
      </c>
      <c r="K67" t="str">
        <f>"Beacon.Put(115,0,4"&amp;TEXT(M電入力!$I71,"00")&amp;");"</f>
        <v>Beacon.Put(115,0,400);</v>
      </c>
      <c r="L67" t="str">
        <f>"Beacon.Put(115,0,5"&amp;TEXT(M電入力!$I72,"00")&amp;");"</f>
        <v>Beacon.Put(115,0,500);</v>
      </c>
      <c r="M67" t="str">
        <f>"Beacon.Put(115,0,6"&amp;TEXT(M電入力!$I73,"00")&amp;");"</f>
        <v>Beacon.Put(115,0,600);</v>
      </c>
      <c r="N67" t="str">
        <f>"Beacon.Put(116,0,1"&amp;M電入力!$AE68&amp;");"</f>
        <v>Beacon.Put(116,0,10000);</v>
      </c>
      <c r="O67" t="str">
        <f>"Beacon.Put(116,0,2"&amp;M電入力!$AE69&amp;");"</f>
        <v>Beacon.Put(116,0,20000);</v>
      </c>
      <c r="P67" t="str">
        <f>"Beacon.Put(116,0,3"&amp;M電入力!$AE70&amp;");"</f>
        <v>Beacon.Put(116,0,30000);</v>
      </c>
      <c r="Q67" t="str">
        <f>"Beacon.Put(116,0,4"&amp;M電入力!$AE71&amp;");"</f>
        <v>Beacon.Put(116,0,40000);</v>
      </c>
      <c r="R67" t="str">
        <f>"Beacon.Put(116,0,5"&amp;M電入力!$AE72&amp;");"</f>
        <v>Beacon.Put(116,0,50000);</v>
      </c>
      <c r="S67" t="str">
        <f>"Beacon.Put(116,0,6"&amp;M電入力!$AE73&amp;");"</f>
        <v>Beacon.Put(116,0,60000);</v>
      </c>
    </row>
    <row r="68" spans="1:19">
      <c r="A68" t="str">
        <f>M電入力!C69&amp;"+25;"</f>
        <v>+25;</v>
      </c>
      <c r="B68" t="str">
        <f>"Beacon.Put(114,0,1"&amp;TEXT(M電入力!$H69,"00")&amp;");"</f>
        <v>Beacon.Put(114,0,100);</v>
      </c>
      <c r="C68" t="str">
        <f>"Beacon.Put(114,0,2"&amp;TEXT(M電入力!$H70,"00")&amp;");"</f>
        <v>Beacon.Put(114,0,200);</v>
      </c>
      <c r="D68" t="str">
        <f>"Beacon.Put(114,0,3"&amp;TEXT(M電入力!$H71,"00")&amp;");"</f>
        <v>Beacon.Put(114,0,300);</v>
      </c>
      <c r="E68" t="str">
        <f>"Beacon.Put(114,0,4"&amp;TEXT(M電入力!$H72,"00")&amp;");"</f>
        <v>Beacon.Put(114,0,400);</v>
      </c>
      <c r="F68" t="str">
        <f>"Beacon.Put(114,0,5"&amp;TEXT(M電入力!$H73,"00")&amp;");"</f>
        <v>Beacon.Put(114,0,500);</v>
      </c>
      <c r="G68" t="str">
        <f>"Beacon.Put(114,0,6"&amp;TEXT(M電入力!$H74,"00")&amp;");"</f>
        <v>Beacon.Put(114,0,600);</v>
      </c>
      <c r="H68" t="str">
        <f>"Beacon.Put(115,0,1"&amp;TEXT(M電入力!$I69,"00")&amp;");"</f>
        <v>Beacon.Put(115,0,100);</v>
      </c>
      <c r="I68" t="str">
        <f>"Beacon.Put(115,0,2"&amp;TEXT(M電入力!$I70,"00")&amp;");"</f>
        <v>Beacon.Put(115,0,200);</v>
      </c>
      <c r="J68" t="str">
        <f>"Beacon.Put(115,0,3"&amp;TEXT(M電入力!$I71,"00")&amp;");"</f>
        <v>Beacon.Put(115,0,300);</v>
      </c>
      <c r="K68" t="str">
        <f>"Beacon.Put(115,0,4"&amp;TEXT(M電入力!$I72,"00")&amp;");"</f>
        <v>Beacon.Put(115,0,400);</v>
      </c>
      <c r="L68" t="str">
        <f>"Beacon.Put(115,0,5"&amp;TEXT(M電入力!$I73,"00")&amp;");"</f>
        <v>Beacon.Put(115,0,500);</v>
      </c>
      <c r="M68" t="str">
        <f>"Beacon.Put(115,0,6"&amp;TEXT(M電入力!$I74,"00")&amp;");"</f>
        <v>Beacon.Put(115,0,600);</v>
      </c>
      <c r="N68" t="str">
        <f>"Beacon.Put(116,0,1"&amp;M電入力!$AE69&amp;");"</f>
        <v>Beacon.Put(116,0,10000);</v>
      </c>
      <c r="O68" t="str">
        <f>"Beacon.Put(116,0,2"&amp;M電入力!$AE70&amp;");"</f>
        <v>Beacon.Put(116,0,20000);</v>
      </c>
      <c r="P68" t="str">
        <f>"Beacon.Put(116,0,3"&amp;M電入力!$AE71&amp;");"</f>
        <v>Beacon.Put(116,0,30000);</v>
      </c>
      <c r="Q68" t="str">
        <f>"Beacon.Put(116,0,4"&amp;M電入力!$AE72&amp;");"</f>
        <v>Beacon.Put(116,0,40000);</v>
      </c>
      <c r="R68" t="str">
        <f>"Beacon.Put(116,0,5"&amp;M電入力!$AE73&amp;");"</f>
        <v>Beacon.Put(116,0,50000);</v>
      </c>
      <c r="S68" t="str">
        <f>"Beacon.Put(116,0,6"&amp;M電入力!$AE74&amp;");"</f>
        <v>Beacon.Put(116,0,60000);</v>
      </c>
    </row>
    <row r="69" spans="1:19">
      <c r="A69" t="str">
        <f>M電入力!C70&amp;"+25;"</f>
        <v>+25;</v>
      </c>
      <c r="B69" t="str">
        <f>"Beacon.Put(114,0,1"&amp;TEXT(M電入力!$H70,"00")&amp;");"</f>
        <v>Beacon.Put(114,0,100);</v>
      </c>
      <c r="C69" t="str">
        <f>"Beacon.Put(114,0,2"&amp;TEXT(M電入力!$H71,"00")&amp;");"</f>
        <v>Beacon.Put(114,0,200);</v>
      </c>
      <c r="D69" t="str">
        <f>"Beacon.Put(114,0,3"&amp;TEXT(M電入力!$H72,"00")&amp;");"</f>
        <v>Beacon.Put(114,0,300);</v>
      </c>
      <c r="E69" t="str">
        <f>"Beacon.Put(114,0,4"&amp;TEXT(M電入力!$H73,"00")&amp;");"</f>
        <v>Beacon.Put(114,0,400);</v>
      </c>
      <c r="F69" t="str">
        <f>"Beacon.Put(114,0,5"&amp;TEXT(M電入力!$H74,"00")&amp;");"</f>
        <v>Beacon.Put(114,0,500);</v>
      </c>
      <c r="G69" t="str">
        <f>"Beacon.Put(114,0,6"&amp;TEXT(M電入力!$H75,"00")&amp;");"</f>
        <v>Beacon.Put(114,0,600);</v>
      </c>
      <c r="H69" t="str">
        <f>"Beacon.Put(115,0,1"&amp;TEXT(M電入力!$I70,"00")&amp;");"</f>
        <v>Beacon.Put(115,0,100);</v>
      </c>
      <c r="I69" t="str">
        <f>"Beacon.Put(115,0,2"&amp;TEXT(M電入力!$I71,"00")&amp;");"</f>
        <v>Beacon.Put(115,0,200);</v>
      </c>
      <c r="J69" t="str">
        <f>"Beacon.Put(115,0,3"&amp;TEXT(M電入力!$I72,"00")&amp;");"</f>
        <v>Beacon.Put(115,0,300);</v>
      </c>
      <c r="K69" t="str">
        <f>"Beacon.Put(115,0,4"&amp;TEXT(M電入力!$I73,"00")&amp;");"</f>
        <v>Beacon.Put(115,0,400);</v>
      </c>
      <c r="L69" t="str">
        <f>"Beacon.Put(115,0,5"&amp;TEXT(M電入力!$I74,"00")&amp;");"</f>
        <v>Beacon.Put(115,0,500);</v>
      </c>
      <c r="M69" t="str">
        <f>"Beacon.Put(115,0,6"&amp;TEXT(M電入力!$I75,"00")&amp;");"</f>
        <v>Beacon.Put(115,0,600);</v>
      </c>
      <c r="N69" t="str">
        <f>"Beacon.Put(116,0,1"&amp;M電入力!$AE70&amp;");"</f>
        <v>Beacon.Put(116,0,10000);</v>
      </c>
      <c r="O69" t="str">
        <f>"Beacon.Put(116,0,2"&amp;M電入力!$AE71&amp;");"</f>
        <v>Beacon.Put(116,0,20000);</v>
      </c>
      <c r="P69" t="str">
        <f>"Beacon.Put(116,0,3"&amp;M電入力!$AE72&amp;");"</f>
        <v>Beacon.Put(116,0,30000);</v>
      </c>
      <c r="Q69" t="str">
        <f>"Beacon.Put(116,0,4"&amp;M電入力!$AE73&amp;");"</f>
        <v>Beacon.Put(116,0,40000);</v>
      </c>
      <c r="R69" t="str">
        <f>"Beacon.Put(116,0,5"&amp;M電入力!$AE74&amp;");"</f>
        <v>Beacon.Put(116,0,50000);</v>
      </c>
      <c r="S69" t="str">
        <f>"Beacon.Put(116,0,6"&amp;M電入力!$AE75&amp;");"</f>
        <v>Beacon.Put(116,0,60000);</v>
      </c>
    </row>
    <row r="70" spans="1:19">
      <c r="A70" t="str">
        <f>M電入力!C71&amp;"+25;"</f>
        <v>+25;</v>
      </c>
      <c r="B70" t="str">
        <f>"Beacon.Put(114,0,1"&amp;TEXT(M電入力!$H71,"00")&amp;");"</f>
        <v>Beacon.Put(114,0,100);</v>
      </c>
      <c r="C70" t="str">
        <f>"Beacon.Put(114,0,2"&amp;TEXT(M電入力!$H72,"00")&amp;");"</f>
        <v>Beacon.Put(114,0,200);</v>
      </c>
      <c r="D70" t="str">
        <f>"Beacon.Put(114,0,3"&amp;TEXT(M電入力!$H73,"00")&amp;");"</f>
        <v>Beacon.Put(114,0,300);</v>
      </c>
      <c r="E70" t="str">
        <f>"Beacon.Put(114,0,4"&amp;TEXT(M電入力!$H74,"00")&amp;");"</f>
        <v>Beacon.Put(114,0,400);</v>
      </c>
      <c r="F70" t="str">
        <f>"Beacon.Put(114,0,5"&amp;TEXT(M電入力!$H75,"00")&amp;");"</f>
        <v>Beacon.Put(114,0,500);</v>
      </c>
      <c r="G70" t="str">
        <f>"Beacon.Put(114,0,6"&amp;TEXT(M電入力!$H76,"00")&amp;");"</f>
        <v>Beacon.Put(114,0,600);</v>
      </c>
      <c r="H70" t="str">
        <f>"Beacon.Put(115,0,1"&amp;TEXT(M電入力!$I71,"00")&amp;");"</f>
        <v>Beacon.Put(115,0,100);</v>
      </c>
      <c r="I70" t="str">
        <f>"Beacon.Put(115,0,2"&amp;TEXT(M電入力!$I72,"00")&amp;");"</f>
        <v>Beacon.Put(115,0,200);</v>
      </c>
      <c r="J70" t="str">
        <f>"Beacon.Put(115,0,3"&amp;TEXT(M電入力!$I73,"00")&amp;");"</f>
        <v>Beacon.Put(115,0,300);</v>
      </c>
      <c r="K70" t="str">
        <f>"Beacon.Put(115,0,4"&amp;TEXT(M電入力!$I74,"00")&amp;");"</f>
        <v>Beacon.Put(115,0,400);</v>
      </c>
      <c r="L70" t="str">
        <f>"Beacon.Put(115,0,5"&amp;TEXT(M電入力!$I75,"00")&amp;");"</f>
        <v>Beacon.Put(115,0,500);</v>
      </c>
      <c r="M70" t="str">
        <f>"Beacon.Put(115,0,6"&amp;TEXT(M電入力!$I76,"00")&amp;");"</f>
        <v>Beacon.Put(115,0,600);</v>
      </c>
      <c r="N70" t="str">
        <f>"Beacon.Put(116,0,1"&amp;M電入力!$AE71&amp;");"</f>
        <v>Beacon.Put(116,0,10000);</v>
      </c>
      <c r="O70" t="str">
        <f>"Beacon.Put(116,0,2"&amp;M電入力!$AE72&amp;");"</f>
        <v>Beacon.Put(116,0,20000);</v>
      </c>
      <c r="P70" t="str">
        <f>"Beacon.Put(116,0,3"&amp;M電入力!$AE73&amp;");"</f>
        <v>Beacon.Put(116,0,30000);</v>
      </c>
      <c r="Q70" t="str">
        <f>"Beacon.Put(116,0,4"&amp;M電入力!$AE74&amp;");"</f>
        <v>Beacon.Put(116,0,40000);</v>
      </c>
      <c r="R70" t="str">
        <f>"Beacon.Put(116,0,5"&amp;M電入力!$AE75&amp;");"</f>
        <v>Beacon.Put(116,0,50000);</v>
      </c>
      <c r="S70" t="str">
        <f>"Beacon.Put(116,0,6"&amp;M電入力!$AE76&amp;");"</f>
        <v>Beacon.Put(116,0,60000);</v>
      </c>
    </row>
    <row r="71" spans="1:19">
      <c r="A71" t="str">
        <f>M電入力!C72&amp;"+25;"</f>
        <v>+25;</v>
      </c>
      <c r="B71" t="str">
        <f>"Beacon.Put(114,0,1"&amp;TEXT(M電入力!$H72,"00")&amp;");"</f>
        <v>Beacon.Put(114,0,100);</v>
      </c>
      <c r="C71" t="str">
        <f>"Beacon.Put(114,0,2"&amp;TEXT(M電入力!$H73,"00")&amp;");"</f>
        <v>Beacon.Put(114,0,200);</v>
      </c>
      <c r="D71" t="str">
        <f>"Beacon.Put(114,0,3"&amp;TEXT(M電入力!$H74,"00")&amp;");"</f>
        <v>Beacon.Put(114,0,300);</v>
      </c>
      <c r="E71" t="str">
        <f>"Beacon.Put(114,0,4"&amp;TEXT(M電入力!$H75,"00")&amp;");"</f>
        <v>Beacon.Put(114,0,400);</v>
      </c>
      <c r="F71" t="str">
        <f>"Beacon.Put(114,0,5"&amp;TEXT(M電入力!$H76,"00")&amp;");"</f>
        <v>Beacon.Put(114,0,500);</v>
      </c>
      <c r="G71" t="str">
        <f>"Beacon.Put(114,0,6"&amp;TEXT(M電入力!$H77,"00")&amp;");"</f>
        <v>Beacon.Put(114,0,600);</v>
      </c>
      <c r="H71" t="str">
        <f>"Beacon.Put(115,0,1"&amp;TEXT(M電入力!$I72,"00")&amp;");"</f>
        <v>Beacon.Put(115,0,100);</v>
      </c>
      <c r="I71" t="str">
        <f>"Beacon.Put(115,0,2"&amp;TEXT(M電入力!$I73,"00")&amp;");"</f>
        <v>Beacon.Put(115,0,200);</v>
      </c>
      <c r="J71" t="str">
        <f>"Beacon.Put(115,0,3"&amp;TEXT(M電入力!$I74,"00")&amp;");"</f>
        <v>Beacon.Put(115,0,300);</v>
      </c>
      <c r="K71" t="str">
        <f>"Beacon.Put(115,0,4"&amp;TEXT(M電入力!$I75,"00")&amp;");"</f>
        <v>Beacon.Put(115,0,400);</v>
      </c>
      <c r="L71" t="str">
        <f>"Beacon.Put(115,0,5"&amp;TEXT(M電入力!$I76,"00")&amp;");"</f>
        <v>Beacon.Put(115,0,500);</v>
      </c>
      <c r="M71" t="str">
        <f>"Beacon.Put(115,0,6"&amp;TEXT(M電入力!$I77,"00")&amp;");"</f>
        <v>Beacon.Put(115,0,600);</v>
      </c>
      <c r="N71" t="str">
        <f>"Beacon.Put(116,0,1"&amp;M電入力!$AE72&amp;");"</f>
        <v>Beacon.Put(116,0,10000);</v>
      </c>
      <c r="O71" t="str">
        <f>"Beacon.Put(116,0,2"&amp;M電入力!$AE73&amp;");"</f>
        <v>Beacon.Put(116,0,20000);</v>
      </c>
      <c r="P71" t="str">
        <f>"Beacon.Put(116,0,3"&amp;M電入力!$AE74&amp;");"</f>
        <v>Beacon.Put(116,0,30000);</v>
      </c>
      <c r="Q71" t="str">
        <f>"Beacon.Put(116,0,4"&amp;M電入力!$AE75&amp;");"</f>
        <v>Beacon.Put(116,0,40000);</v>
      </c>
      <c r="R71" t="str">
        <f>"Beacon.Put(116,0,5"&amp;M電入力!$AE76&amp;");"</f>
        <v>Beacon.Put(116,0,50000);</v>
      </c>
      <c r="S71" t="str">
        <f>"Beacon.Put(116,0,6"&amp;M電入力!$AE77&amp;");"</f>
        <v>Beacon.Put(116,0,60000);</v>
      </c>
    </row>
    <row r="72" spans="1:19">
      <c r="A72" t="str">
        <f>M電入力!C73&amp;"+25;"</f>
        <v>+25;</v>
      </c>
      <c r="B72" t="str">
        <f>"Beacon.Put(114,0,1"&amp;TEXT(M電入力!$H73,"00")&amp;");"</f>
        <v>Beacon.Put(114,0,100);</v>
      </c>
      <c r="C72" t="str">
        <f>"Beacon.Put(114,0,2"&amp;TEXT(M電入力!$H74,"00")&amp;");"</f>
        <v>Beacon.Put(114,0,200);</v>
      </c>
      <c r="D72" t="str">
        <f>"Beacon.Put(114,0,3"&amp;TEXT(M電入力!$H75,"00")&amp;");"</f>
        <v>Beacon.Put(114,0,300);</v>
      </c>
      <c r="E72" t="str">
        <f>"Beacon.Put(114,0,4"&amp;TEXT(M電入力!$H76,"00")&amp;");"</f>
        <v>Beacon.Put(114,0,400);</v>
      </c>
      <c r="F72" t="str">
        <f>"Beacon.Put(114,0,5"&amp;TEXT(M電入力!$H77,"00")&amp;");"</f>
        <v>Beacon.Put(114,0,500);</v>
      </c>
      <c r="G72" t="str">
        <f>"Beacon.Put(114,0,6"&amp;TEXT(M電入力!$H78,"00")&amp;");"</f>
        <v>Beacon.Put(114,0,600);</v>
      </c>
      <c r="H72" t="str">
        <f>"Beacon.Put(115,0,1"&amp;TEXT(M電入力!$I73,"00")&amp;");"</f>
        <v>Beacon.Put(115,0,100);</v>
      </c>
      <c r="I72" t="str">
        <f>"Beacon.Put(115,0,2"&amp;TEXT(M電入力!$I74,"00")&amp;");"</f>
        <v>Beacon.Put(115,0,200);</v>
      </c>
      <c r="J72" t="str">
        <f>"Beacon.Put(115,0,3"&amp;TEXT(M電入力!$I75,"00")&amp;");"</f>
        <v>Beacon.Put(115,0,300);</v>
      </c>
      <c r="K72" t="str">
        <f>"Beacon.Put(115,0,4"&amp;TEXT(M電入力!$I76,"00")&amp;");"</f>
        <v>Beacon.Put(115,0,400);</v>
      </c>
      <c r="L72" t="str">
        <f>"Beacon.Put(115,0,5"&amp;TEXT(M電入力!$I77,"00")&amp;");"</f>
        <v>Beacon.Put(115,0,500);</v>
      </c>
      <c r="M72" t="str">
        <f>"Beacon.Put(115,0,6"&amp;TEXT(M電入力!$I78,"00")&amp;");"</f>
        <v>Beacon.Put(115,0,600);</v>
      </c>
      <c r="N72" t="str">
        <f>"Beacon.Put(116,0,1"&amp;M電入力!$AE73&amp;");"</f>
        <v>Beacon.Put(116,0,10000);</v>
      </c>
      <c r="O72" t="str">
        <f>"Beacon.Put(116,0,2"&amp;M電入力!$AE74&amp;");"</f>
        <v>Beacon.Put(116,0,20000);</v>
      </c>
      <c r="P72" t="str">
        <f>"Beacon.Put(116,0,3"&amp;M電入力!$AE75&amp;");"</f>
        <v>Beacon.Put(116,0,30000);</v>
      </c>
      <c r="Q72" t="str">
        <f>"Beacon.Put(116,0,4"&amp;M電入力!$AE76&amp;");"</f>
        <v>Beacon.Put(116,0,40000);</v>
      </c>
      <c r="R72" t="str">
        <f>"Beacon.Put(116,0,5"&amp;M電入力!$AE77&amp;");"</f>
        <v>Beacon.Put(116,0,50000);</v>
      </c>
      <c r="S72" t="str">
        <f>"Beacon.Put(116,0,6"&amp;M電入力!$AE78&amp;");"</f>
        <v>Beacon.Put(116,0,60000);</v>
      </c>
    </row>
    <row r="73" spans="1:19">
      <c r="A73" t="str">
        <f>M電入力!C74&amp;"+25;"</f>
        <v>+25;</v>
      </c>
      <c r="B73" t="str">
        <f>"Beacon.Put(114,0,1"&amp;TEXT(M電入力!$H74,"00")&amp;");"</f>
        <v>Beacon.Put(114,0,100);</v>
      </c>
      <c r="C73" t="str">
        <f>"Beacon.Put(114,0,2"&amp;TEXT(M電入力!$H75,"00")&amp;");"</f>
        <v>Beacon.Put(114,0,200);</v>
      </c>
      <c r="D73" t="str">
        <f>"Beacon.Put(114,0,3"&amp;TEXT(M電入力!$H76,"00")&amp;");"</f>
        <v>Beacon.Put(114,0,300);</v>
      </c>
      <c r="E73" t="str">
        <f>"Beacon.Put(114,0,4"&amp;TEXT(M電入力!$H77,"00")&amp;");"</f>
        <v>Beacon.Put(114,0,400);</v>
      </c>
      <c r="F73" t="str">
        <f>"Beacon.Put(114,0,5"&amp;TEXT(M電入力!$H78,"00")&amp;");"</f>
        <v>Beacon.Put(114,0,500);</v>
      </c>
      <c r="G73" t="str">
        <f>"Beacon.Put(114,0,6"&amp;TEXT(M電入力!$H79,"00")&amp;");"</f>
        <v>Beacon.Put(114,0,600);</v>
      </c>
      <c r="H73" t="str">
        <f>"Beacon.Put(115,0,1"&amp;TEXT(M電入力!$I74,"00")&amp;");"</f>
        <v>Beacon.Put(115,0,100);</v>
      </c>
      <c r="I73" t="str">
        <f>"Beacon.Put(115,0,2"&amp;TEXT(M電入力!$I75,"00")&amp;");"</f>
        <v>Beacon.Put(115,0,200);</v>
      </c>
      <c r="J73" t="str">
        <f>"Beacon.Put(115,0,3"&amp;TEXT(M電入力!$I76,"00")&amp;");"</f>
        <v>Beacon.Put(115,0,300);</v>
      </c>
      <c r="K73" t="str">
        <f>"Beacon.Put(115,0,4"&amp;TEXT(M電入力!$I77,"00")&amp;");"</f>
        <v>Beacon.Put(115,0,400);</v>
      </c>
      <c r="L73" t="str">
        <f>"Beacon.Put(115,0,5"&amp;TEXT(M電入力!$I78,"00")&amp;");"</f>
        <v>Beacon.Put(115,0,500);</v>
      </c>
      <c r="M73" t="str">
        <f>"Beacon.Put(115,0,6"&amp;TEXT(M電入力!$I79,"00")&amp;");"</f>
        <v>Beacon.Put(115,0,600);</v>
      </c>
      <c r="N73" t="str">
        <f>"Beacon.Put(116,0,1"&amp;M電入力!$AE74&amp;");"</f>
        <v>Beacon.Put(116,0,10000);</v>
      </c>
      <c r="O73" t="str">
        <f>"Beacon.Put(116,0,2"&amp;M電入力!$AE75&amp;");"</f>
        <v>Beacon.Put(116,0,20000);</v>
      </c>
      <c r="P73" t="str">
        <f>"Beacon.Put(116,0,3"&amp;M電入力!$AE76&amp;");"</f>
        <v>Beacon.Put(116,0,30000);</v>
      </c>
      <c r="Q73" t="str">
        <f>"Beacon.Put(116,0,4"&amp;M電入力!$AE77&amp;");"</f>
        <v>Beacon.Put(116,0,40000);</v>
      </c>
      <c r="R73" t="str">
        <f>"Beacon.Put(116,0,5"&amp;M電入力!$AE78&amp;");"</f>
        <v>Beacon.Put(116,0,50000);</v>
      </c>
      <c r="S73" t="str">
        <f>"Beacon.Put(116,0,6"&amp;M電入力!$AE79&amp;");"</f>
        <v>Beacon.Put(116,0,60000);</v>
      </c>
    </row>
    <row r="74" spans="1:19">
      <c r="A74" t="str">
        <f>M電入力!C75&amp;"+25;"</f>
        <v>+25;</v>
      </c>
      <c r="B74" t="str">
        <f>"Beacon.Put(114,0,1"&amp;TEXT(M電入力!$H75,"00")&amp;");"</f>
        <v>Beacon.Put(114,0,100);</v>
      </c>
      <c r="C74" t="str">
        <f>"Beacon.Put(114,0,2"&amp;TEXT(M電入力!$H76,"00")&amp;");"</f>
        <v>Beacon.Put(114,0,200);</v>
      </c>
      <c r="D74" t="str">
        <f>"Beacon.Put(114,0,3"&amp;TEXT(M電入力!$H77,"00")&amp;");"</f>
        <v>Beacon.Put(114,0,300);</v>
      </c>
      <c r="E74" t="str">
        <f>"Beacon.Put(114,0,4"&amp;TEXT(M電入力!$H78,"00")&amp;");"</f>
        <v>Beacon.Put(114,0,400);</v>
      </c>
      <c r="F74" t="str">
        <f>"Beacon.Put(114,0,5"&amp;TEXT(M電入力!$H79,"00")&amp;");"</f>
        <v>Beacon.Put(114,0,500);</v>
      </c>
      <c r="G74" t="str">
        <f>"Beacon.Put(114,0,6"&amp;TEXT(M電入力!$H80,"00")&amp;");"</f>
        <v>Beacon.Put(114,0,600);</v>
      </c>
      <c r="H74" t="str">
        <f>"Beacon.Put(115,0,1"&amp;TEXT(M電入力!$I75,"00")&amp;");"</f>
        <v>Beacon.Put(115,0,100);</v>
      </c>
      <c r="I74" t="str">
        <f>"Beacon.Put(115,0,2"&amp;TEXT(M電入力!$I76,"00")&amp;");"</f>
        <v>Beacon.Put(115,0,200);</v>
      </c>
      <c r="J74" t="str">
        <f>"Beacon.Put(115,0,3"&amp;TEXT(M電入力!$I77,"00")&amp;");"</f>
        <v>Beacon.Put(115,0,300);</v>
      </c>
      <c r="K74" t="str">
        <f>"Beacon.Put(115,0,4"&amp;TEXT(M電入力!$I78,"00")&amp;");"</f>
        <v>Beacon.Put(115,0,400);</v>
      </c>
      <c r="L74" t="str">
        <f>"Beacon.Put(115,0,5"&amp;TEXT(M電入力!$I79,"00")&amp;");"</f>
        <v>Beacon.Put(115,0,500);</v>
      </c>
      <c r="M74" t="str">
        <f>"Beacon.Put(115,0,6"&amp;TEXT(M電入力!$I80,"00")&amp;");"</f>
        <v>Beacon.Put(115,0,600);</v>
      </c>
      <c r="N74" t="str">
        <f>"Beacon.Put(116,0,1"&amp;M電入力!$AE75&amp;");"</f>
        <v>Beacon.Put(116,0,10000);</v>
      </c>
      <c r="O74" t="str">
        <f>"Beacon.Put(116,0,2"&amp;M電入力!$AE76&amp;");"</f>
        <v>Beacon.Put(116,0,20000);</v>
      </c>
      <c r="P74" t="str">
        <f>"Beacon.Put(116,0,3"&amp;M電入力!$AE77&amp;");"</f>
        <v>Beacon.Put(116,0,30000);</v>
      </c>
      <c r="Q74" t="str">
        <f>"Beacon.Put(116,0,4"&amp;M電入力!$AE78&amp;");"</f>
        <v>Beacon.Put(116,0,40000);</v>
      </c>
      <c r="R74" t="str">
        <f>"Beacon.Put(116,0,5"&amp;M電入力!$AE79&amp;");"</f>
        <v>Beacon.Put(116,0,50000);</v>
      </c>
      <c r="S74" t="str">
        <f>"Beacon.Put(116,0,6"&amp;M電入力!$AE80&amp;");"</f>
        <v>Beacon.Put(116,0,60000);</v>
      </c>
    </row>
    <row r="75" spans="1:19">
      <c r="A75" t="str">
        <f>M電入力!C76&amp;"+25;"</f>
        <v>+25;</v>
      </c>
      <c r="B75" t="str">
        <f>"Beacon.Put(114,0,1"&amp;TEXT(M電入力!$H76,"00")&amp;");"</f>
        <v>Beacon.Put(114,0,100);</v>
      </c>
      <c r="C75" t="str">
        <f>"Beacon.Put(114,0,2"&amp;TEXT(M電入力!$H77,"00")&amp;");"</f>
        <v>Beacon.Put(114,0,200);</v>
      </c>
      <c r="D75" t="str">
        <f>"Beacon.Put(114,0,3"&amp;TEXT(M電入力!$H78,"00")&amp;");"</f>
        <v>Beacon.Put(114,0,300);</v>
      </c>
      <c r="E75" t="str">
        <f>"Beacon.Put(114,0,4"&amp;TEXT(M電入力!$H79,"00")&amp;");"</f>
        <v>Beacon.Put(114,0,400);</v>
      </c>
      <c r="F75" t="str">
        <f>"Beacon.Put(114,0,5"&amp;TEXT(M電入力!$H80,"00")&amp;");"</f>
        <v>Beacon.Put(114,0,500);</v>
      </c>
      <c r="G75" t="str">
        <f>"Beacon.Put(114,0,6"&amp;TEXT(M電入力!$H81,"00")&amp;");"</f>
        <v>Beacon.Put(114,0,600);</v>
      </c>
      <c r="H75" t="str">
        <f>"Beacon.Put(115,0,1"&amp;TEXT(M電入力!$I76,"00")&amp;");"</f>
        <v>Beacon.Put(115,0,100);</v>
      </c>
      <c r="I75" t="str">
        <f>"Beacon.Put(115,0,2"&amp;TEXT(M電入力!$I77,"00")&amp;");"</f>
        <v>Beacon.Put(115,0,200);</v>
      </c>
      <c r="J75" t="str">
        <f>"Beacon.Put(115,0,3"&amp;TEXT(M電入力!$I78,"00")&amp;");"</f>
        <v>Beacon.Put(115,0,300);</v>
      </c>
      <c r="K75" t="str">
        <f>"Beacon.Put(115,0,4"&amp;TEXT(M電入力!$I79,"00")&amp;");"</f>
        <v>Beacon.Put(115,0,400);</v>
      </c>
      <c r="L75" t="str">
        <f>"Beacon.Put(115,0,5"&amp;TEXT(M電入力!$I80,"00")&amp;");"</f>
        <v>Beacon.Put(115,0,500);</v>
      </c>
      <c r="M75" t="str">
        <f>"Beacon.Put(115,0,6"&amp;TEXT(M電入力!$I81,"00")&amp;");"</f>
        <v>Beacon.Put(115,0,600);</v>
      </c>
      <c r="N75" t="str">
        <f>"Beacon.Put(116,0,1"&amp;M電入力!$AE76&amp;");"</f>
        <v>Beacon.Put(116,0,10000);</v>
      </c>
      <c r="O75" t="str">
        <f>"Beacon.Put(116,0,2"&amp;M電入力!$AE77&amp;");"</f>
        <v>Beacon.Put(116,0,20000);</v>
      </c>
      <c r="P75" t="str">
        <f>"Beacon.Put(116,0,3"&amp;M電入力!$AE78&amp;");"</f>
        <v>Beacon.Put(116,0,30000);</v>
      </c>
      <c r="Q75" t="str">
        <f>"Beacon.Put(116,0,4"&amp;M電入力!$AE79&amp;");"</f>
        <v>Beacon.Put(116,0,40000);</v>
      </c>
      <c r="R75" t="str">
        <f>"Beacon.Put(116,0,5"&amp;M電入力!$AE80&amp;");"</f>
        <v>Beacon.Put(116,0,50000);</v>
      </c>
      <c r="S75" t="str">
        <f>"Beacon.Put(116,0,6"&amp;M電入力!$AE81&amp;");"</f>
        <v>Beacon.Put(116,0,60000);</v>
      </c>
    </row>
    <row r="76" spans="1:19">
      <c r="A76" t="str">
        <f>M電入力!C77&amp;"+25;"</f>
        <v>+25;</v>
      </c>
      <c r="B76" t="str">
        <f>"Beacon.Put(114,0,1"&amp;TEXT(M電入力!$H77,"00")&amp;");"</f>
        <v>Beacon.Put(114,0,100);</v>
      </c>
      <c r="C76" t="str">
        <f>"Beacon.Put(114,0,2"&amp;TEXT(M電入力!$H78,"00")&amp;");"</f>
        <v>Beacon.Put(114,0,200);</v>
      </c>
      <c r="D76" t="str">
        <f>"Beacon.Put(114,0,3"&amp;TEXT(M電入力!$H79,"00")&amp;");"</f>
        <v>Beacon.Put(114,0,300);</v>
      </c>
      <c r="E76" t="str">
        <f>"Beacon.Put(114,0,4"&amp;TEXT(M電入力!$H80,"00")&amp;");"</f>
        <v>Beacon.Put(114,0,400);</v>
      </c>
      <c r="F76" t="str">
        <f>"Beacon.Put(114,0,5"&amp;TEXT(M電入力!$H81,"00")&amp;");"</f>
        <v>Beacon.Put(114,0,500);</v>
      </c>
      <c r="G76" t="str">
        <f>"Beacon.Put(114,0,6"&amp;TEXT(M電入力!$H82,"00")&amp;");"</f>
        <v>Beacon.Put(114,0,600);</v>
      </c>
      <c r="H76" t="str">
        <f>"Beacon.Put(115,0,1"&amp;TEXT(M電入力!$I77,"00")&amp;");"</f>
        <v>Beacon.Put(115,0,100);</v>
      </c>
      <c r="I76" t="str">
        <f>"Beacon.Put(115,0,2"&amp;TEXT(M電入力!$I78,"00")&amp;");"</f>
        <v>Beacon.Put(115,0,200);</v>
      </c>
      <c r="J76" t="str">
        <f>"Beacon.Put(115,0,3"&amp;TEXT(M電入力!$I79,"00")&amp;");"</f>
        <v>Beacon.Put(115,0,300);</v>
      </c>
      <c r="K76" t="str">
        <f>"Beacon.Put(115,0,4"&amp;TEXT(M電入力!$I80,"00")&amp;");"</f>
        <v>Beacon.Put(115,0,400);</v>
      </c>
      <c r="L76" t="str">
        <f>"Beacon.Put(115,0,5"&amp;TEXT(M電入力!$I81,"00")&amp;");"</f>
        <v>Beacon.Put(115,0,500);</v>
      </c>
      <c r="M76" t="str">
        <f>"Beacon.Put(115,0,6"&amp;TEXT(M電入力!$I82,"00")&amp;");"</f>
        <v>Beacon.Put(115,0,600);</v>
      </c>
      <c r="N76" t="str">
        <f>"Beacon.Put(116,0,1"&amp;M電入力!$AE77&amp;");"</f>
        <v>Beacon.Put(116,0,10000);</v>
      </c>
      <c r="O76" t="str">
        <f>"Beacon.Put(116,0,2"&amp;M電入力!$AE78&amp;");"</f>
        <v>Beacon.Put(116,0,20000);</v>
      </c>
      <c r="P76" t="str">
        <f>"Beacon.Put(116,0,3"&amp;M電入力!$AE79&amp;");"</f>
        <v>Beacon.Put(116,0,30000);</v>
      </c>
      <c r="Q76" t="str">
        <f>"Beacon.Put(116,0,4"&amp;M電入力!$AE80&amp;");"</f>
        <v>Beacon.Put(116,0,40000);</v>
      </c>
      <c r="R76" t="str">
        <f>"Beacon.Put(116,0,5"&amp;M電入力!$AE81&amp;");"</f>
        <v>Beacon.Put(116,0,50000);</v>
      </c>
      <c r="S76" t="str">
        <f>"Beacon.Put(116,0,6"&amp;M電入力!$AE82&amp;");"</f>
        <v>Beacon.Put(116,0,60000);</v>
      </c>
    </row>
    <row r="77" spans="1:19">
      <c r="A77" t="str">
        <f>M電入力!C78&amp;"+25;"</f>
        <v>+25;</v>
      </c>
      <c r="B77" t="str">
        <f>"Beacon.Put(114,0,1"&amp;TEXT(M電入力!$H78,"00")&amp;");"</f>
        <v>Beacon.Put(114,0,100);</v>
      </c>
      <c r="C77" t="str">
        <f>"Beacon.Put(114,0,2"&amp;TEXT(M電入力!$H79,"00")&amp;");"</f>
        <v>Beacon.Put(114,0,200);</v>
      </c>
      <c r="D77" t="str">
        <f>"Beacon.Put(114,0,3"&amp;TEXT(M電入力!$H80,"00")&amp;");"</f>
        <v>Beacon.Put(114,0,300);</v>
      </c>
      <c r="E77" t="str">
        <f>"Beacon.Put(114,0,4"&amp;TEXT(M電入力!$H81,"00")&amp;");"</f>
        <v>Beacon.Put(114,0,400);</v>
      </c>
      <c r="F77" t="str">
        <f>"Beacon.Put(114,0,5"&amp;TEXT(M電入力!$H82,"00")&amp;");"</f>
        <v>Beacon.Put(114,0,500);</v>
      </c>
      <c r="G77" t="str">
        <f>"Beacon.Put(114,0,6"&amp;TEXT(M電入力!$H83,"00")&amp;");"</f>
        <v>Beacon.Put(114,0,600);</v>
      </c>
      <c r="H77" t="str">
        <f>"Beacon.Put(115,0,1"&amp;TEXT(M電入力!$I78,"00")&amp;");"</f>
        <v>Beacon.Put(115,0,100);</v>
      </c>
      <c r="I77" t="str">
        <f>"Beacon.Put(115,0,2"&amp;TEXT(M電入力!$I79,"00")&amp;");"</f>
        <v>Beacon.Put(115,0,200);</v>
      </c>
      <c r="J77" t="str">
        <f>"Beacon.Put(115,0,3"&amp;TEXT(M電入力!$I80,"00")&amp;");"</f>
        <v>Beacon.Put(115,0,300);</v>
      </c>
      <c r="K77" t="str">
        <f>"Beacon.Put(115,0,4"&amp;TEXT(M電入力!$I81,"00")&amp;");"</f>
        <v>Beacon.Put(115,0,400);</v>
      </c>
      <c r="L77" t="str">
        <f>"Beacon.Put(115,0,5"&amp;TEXT(M電入力!$I82,"00")&amp;");"</f>
        <v>Beacon.Put(115,0,500);</v>
      </c>
      <c r="M77" t="str">
        <f>"Beacon.Put(115,0,6"&amp;TEXT(M電入力!$I83,"00")&amp;");"</f>
        <v>Beacon.Put(115,0,600);</v>
      </c>
      <c r="N77" t="str">
        <f>"Beacon.Put(116,0,1"&amp;M電入力!$AE78&amp;");"</f>
        <v>Beacon.Put(116,0,10000);</v>
      </c>
      <c r="O77" t="str">
        <f>"Beacon.Put(116,0,2"&amp;M電入力!$AE79&amp;");"</f>
        <v>Beacon.Put(116,0,20000);</v>
      </c>
      <c r="P77" t="str">
        <f>"Beacon.Put(116,0,3"&amp;M電入力!$AE80&amp;");"</f>
        <v>Beacon.Put(116,0,30000);</v>
      </c>
      <c r="Q77" t="str">
        <f>"Beacon.Put(116,0,4"&amp;M電入力!$AE81&amp;");"</f>
        <v>Beacon.Put(116,0,40000);</v>
      </c>
      <c r="R77" t="str">
        <f>"Beacon.Put(116,0,5"&amp;M電入力!$AE82&amp;");"</f>
        <v>Beacon.Put(116,0,50000);</v>
      </c>
      <c r="S77" t="str">
        <f>"Beacon.Put(116,0,6"&amp;M電入力!$AE83&amp;");"</f>
        <v>Beacon.Put(116,0,60000);</v>
      </c>
    </row>
    <row r="78" spans="1:19">
      <c r="A78" t="str">
        <f>M電入力!C79&amp;"+25;"</f>
        <v>+25;</v>
      </c>
      <c r="B78" t="str">
        <f>"Beacon.Put(114,0,1"&amp;TEXT(M電入力!$H79,"00")&amp;");"</f>
        <v>Beacon.Put(114,0,100);</v>
      </c>
      <c r="C78" t="str">
        <f>"Beacon.Put(114,0,2"&amp;TEXT(M電入力!$H80,"00")&amp;");"</f>
        <v>Beacon.Put(114,0,200);</v>
      </c>
      <c r="D78" t="str">
        <f>"Beacon.Put(114,0,3"&amp;TEXT(M電入力!$H81,"00")&amp;");"</f>
        <v>Beacon.Put(114,0,300);</v>
      </c>
      <c r="E78" t="str">
        <f>"Beacon.Put(114,0,4"&amp;TEXT(M電入力!$H82,"00")&amp;");"</f>
        <v>Beacon.Put(114,0,400);</v>
      </c>
      <c r="F78" t="str">
        <f>"Beacon.Put(114,0,5"&amp;TEXT(M電入力!$H83,"00")&amp;");"</f>
        <v>Beacon.Put(114,0,500);</v>
      </c>
      <c r="G78" t="str">
        <f>"Beacon.Put(114,0,6"&amp;TEXT(M電入力!$H84,"00")&amp;");"</f>
        <v>Beacon.Put(114,0,600);</v>
      </c>
      <c r="H78" t="str">
        <f>"Beacon.Put(115,0,1"&amp;TEXT(M電入力!$I79,"00")&amp;");"</f>
        <v>Beacon.Put(115,0,100);</v>
      </c>
      <c r="I78" t="str">
        <f>"Beacon.Put(115,0,2"&amp;TEXT(M電入力!$I80,"00")&amp;");"</f>
        <v>Beacon.Put(115,0,200);</v>
      </c>
      <c r="J78" t="str">
        <f>"Beacon.Put(115,0,3"&amp;TEXT(M電入力!$I81,"00")&amp;");"</f>
        <v>Beacon.Put(115,0,300);</v>
      </c>
      <c r="K78" t="str">
        <f>"Beacon.Put(115,0,4"&amp;TEXT(M電入力!$I82,"00")&amp;");"</f>
        <v>Beacon.Put(115,0,400);</v>
      </c>
      <c r="L78" t="str">
        <f>"Beacon.Put(115,0,5"&amp;TEXT(M電入力!$I83,"00")&amp;");"</f>
        <v>Beacon.Put(115,0,500);</v>
      </c>
      <c r="M78" t="str">
        <f>"Beacon.Put(115,0,6"&amp;TEXT(M電入力!$I84,"00")&amp;");"</f>
        <v>Beacon.Put(115,0,600);</v>
      </c>
      <c r="N78" t="str">
        <f>"Beacon.Put(116,0,1"&amp;M電入力!$AE79&amp;");"</f>
        <v>Beacon.Put(116,0,10000);</v>
      </c>
      <c r="O78" t="str">
        <f>"Beacon.Put(116,0,2"&amp;M電入力!$AE80&amp;");"</f>
        <v>Beacon.Put(116,0,20000);</v>
      </c>
      <c r="P78" t="str">
        <f>"Beacon.Put(116,0,3"&amp;M電入力!$AE81&amp;");"</f>
        <v>Beacon.Put(116,0,30000);</v>
      </c>
      <c r="Q78" t="str">
        <f>"Beacon.Put(116,0,4"&amp;M電入力!$AE82&amp;");"</f>
        <v>Beacon.Put(116,0,40000);</v>
      </c>
      <c r="R78" t="str">
        <f>"Beacon.Put(116,0,5"&amp;M電入力!$AE83&amp;");"</f>
        <v>Beacon.Put(116,0,50000);</v>
      </c>
      <c r="S78" t="str">
        <f>"Beacon.Put(116,0,6"&amp;M電入力!$AE84&amp;");"</f>
        <v>Beacon.Put(116,0,60000);</v>
      </c>
    </row>
    <row r="79" spans="1:19">
      <c r="A79" t="str">
        <f>M電入力!C80&amp;"+25;"</f>
        <v>+25;</v>
      </c>
      <c r="B79" t="str">
        <f>"Beacon.Put(114,0,1"&amp;TEXT(M電入力!$H80,"00")&amp;");"</f>
        <v>Beacon.Put(114,0,100);</v>
      </c>
      <c r="C79" t="str">
        <f>"Beacon.Put(114,0,2"&amp;TEXT(M電入力!$H81,"00")&amp;");"</f>
        <v>Beacon.Put(114,0,200);</v>
      </c>
      <c r="D79" t="str">
        <f>"Beacon.Put(114,0,3"&amp;TEXT(M電入力!$H82,"00")&amp;");"</f>
        <v>Beacon.Put(114,0,300);</v>
      </c>
      <c r="E79" t="str">
        <f>"Beacon.Put(114,0,4"&amp;TEXT(M電入力!$H83,"00")&amp;");"</f>
        <v>Beacon.Put(114,0,400);</v>
      </c>
      <c r="F79" t="str">
        <f>"Beacon.Put(114,0,5"&amp;TEXT(M電入力!$H84,"00")&amp;");"</f>
        <v>Beacon.Put(114,0,500);</v>
      </c>
      <c r="G79" t="str">
        <f>"Beacon.Put(114,0,6"&amp;TEXT(M電入力!$H85,"00")&amp;");"</f>
        <v>Beacon.Put(114,0,600);</v>
      </c>
      <c r="H79" t="str">
        <f>"Beacon.Put(115,0,1"&amp;TEXT(M電入力!$I80,"00")&amp;");"</f>
        <v>Beacon.Put(115,0,100);</v>
      </c>
      <c r="I79" t="str">
        <f>"Beacon.Put(115,0,2"&amp;TEXT(M電入力!$I81,"00")&amp;");"</f>
        <v>Beacon.Put(115,0,200);</v>
      </c>
      <c r="J79" t="str">
        <f>"Beacon.Put(115,0,3"&amp;TEXT(M電入力!$I82,"00")&amp;");"</f>
        <v>Beacon.Put(115,0,300);</v>
      </c>
      <c r="K79" t="str">
        <f>"Beacon.Put(115,0,4"&amp;TEXT(M電入力!$I83,"00")&amp;");"</f>
        <v>Beacon.Put(115,0,400);</v>
      </c>
      <c r="L79" t="str">
        <f>"Beacon.Put(115,0,5"&amp;TEXT(M電入力!$I84,"00")&amp;");"</f>
        <v>Beacon.Put(115,0,500);</v>
      </c>
      <c r="M79" t="str">
        <f>"Beacon.Put(115,0,6"&amp;TEXT(M電入力!$I85,"00")&amp;");"</f>
        <v>Beacon.Put(115,0,600);</v>
      </c>
      <c r="N79" t="str">
        <f>"Beacon.Put(116,0,1"&amp;M電入力!$AE80&amp;");"</f>
        <v>Beacon.Put(116,0,10000);</v>
      </c>
      <c r="O79" t="str">
        <f>"Beacon.Put(116,0,2"&amp;M電入力!$AE81&amp;");"</f>
        <v>Beacon.Put(116,0,20000);</v>
      </c>
      <c r="P79" t="str">
        <f>"Beacon.Put(116,0,3"&amp;M電入力!$AE82&amp;");"</f>
        <v>Beacon.Put(116,0,30000);</v>
      </c>
      <c r="Q79" t="str">
        <f>"Beacon.Put(116,0,4"&amp;M電入力!$AE83&amp;");"</f>
        <v>Beacon.Put(116,0,40000);</v>
      </c>
      <c r="R79" t="str">
        <f>"Beacon.Put(116,0,5"&amp;M電入力!$AE84&amp;");"</f>
        <v>Beacon.Put(116,0,50000);</v>
      </c>
      <c r="S79" t="str">
        <f>"Beacon.Put(116,0,6"&amp;M電入力!$AE85&amp;");"</f>
        <v>Beacon.Put(116,0,60000);</v>
      </c>
    </row>
    <row r="80" spans="1:19">
      <c r="A80" t="str">
        <f>M電入力!C81&amp;"+25;"</f>
        <v>+25;</v>
      </c>
      <c r="B80" t="str">
        <f>"Beacon.Put(114,0,1"&amp;TEXT(M電入力!$H81,"00")&amp;");"</f>
        <v>Beacon.Put(114,0,100);</v>
      </c>
      <c r="C80" t="str">
        <f>"Beacon.Put(114,0,2"&amp;TEXT(M電入力!$H82,"00")&amp;");"</f>
        <v>Beacon.Put(114,0,200);</v>
      </c>
      <c r="D80" t="str">
        <f>"Beacon.Put(114,0,3"&amp;TEXT(M電入力!$H83,"00")&amp;");"</f>
        <v>Beacon.Put(114,0,300);</v>
      </c>
      <c r="E80" t="str">
        <f>"Beacon.Put(114,0,4"&amp;TEXT(M電入力!$H84,"00")&amp;");"</f>
        <v>Beacon.Put(114,0,400);</v>
      </c>
      <c r="F80" t="str">
        <f>"Beacon.Put(114,0,5"&amp;TEXT(M電入力!$H85,"00")&amp;");"</f>
        <v>Beacon.Put(114,0,500);</v>
      </c>
      <c r="G80" t="str">
        <f>"Beacon.Put(114,0,6"&amp;TEXT(M電入力!$H86,"00")&amp;");"</f>
        <v>Beacon.Put(114,0,600);</v>
      </c>
      <c r="H80" t="str">
        <f>"Beacon.Put(115,0,1"&amp;TEXT(M電入力!$I81,"00")&amp;");"</f>
        <v>Beacon.Put(115,0,100);</v>
      </c>
      <c r="I80" t="str">
        <f>"Beacon.Put(115,0,2"&amp;TEXT(M電入力!$I82,"00")&amp;");"</f>
        <v>Beacon.Put(115,0,200);</v>
      </c>
      <c r="J80" t="str">
        <f>"Beacon.Put(115,0,3"&amp;TEXT(M電入力!$I83,"00")&amp;");"</f>
        <v>Beacon.Put(115,0,300);</v>
      </c>
      <c r="K80" t="str">
        <f>"Beacon.Put(115,0,4"&amp;TEXT(M電入力!$I84,"00")&amp;");"</f>
        <v>Beacon.Put(115,0,400);</v>
      </c>
      <c r="L80" t="str">
        <f>"Beacon.Put(115,0,5"&amp;TEXT(M電入力!$I85,"00")&amp;");"</f>
        <v>Beacon.Put(115,0,500);</v>
      </c>
      <c r="M80" t="str">
        <f>"Beacon.Put(115,0,6"&amp;TEXT(M電入力!$I86,"00")&amp;");"</f>
        <v>Beacon.Put(115,0,600);</v>
      </c>
      <c r="N80" t="str">
        <f>"Beacon.Put(116,0,1"&amp;M電入力!$AE81&amp;");"</f>
        <v>Beacon.Put(116,0,10000);</v>
      </c>
      <c r="O80" t="str">
        <f>"Beacon.Put(116,0,2"&amp;M電入力!$AE82&amp;");"</f>
        <v>Beacon.Put(116,0,20000);</v>
      </c>
      <c r="P80" t="str">
        <f>"Beacon.Put(116,0,3"&amp;M電入力!$AE83&amp;");"</f>
        <v>Beacon.Put(116,0,30000);</v>
      </c>
      <c r="Q80" t="str">
        <f>"Beacon.Put(116,0,4"&amp;M電入力!$AE84&amp;");"</f>
        <v>Beacon.Put(116,0,40000);</v>
      </c>
      <c r="R80" t="str">
        <f>"Beacon.Put(116,0,5"&amp;M電入力!$AE85&amp;");"</f>
        <v>Beacon.Put(116,0,50000);</v>
      </c>
      <c r="S80" t="str">
        <f>"Beacon.Put(116,0,6"&amp;M電入力!$AE86&amp;");"</f>
        <v>Beacon.Put(116,0,60000);</v>
      </c>
    </row>
    <row r="81" spans="1:19">
      <c r="A81" t="str">
        <f>M電入力!C82&amp;"+25;"</f>
        <v>+25;</v>
      </c>
      <c r="B81" t="str">
        <f>"Beacon.Put(114,0,1"&amp;TEXT(M電入力!$H82,"00")&amp;");"</f>
        <v>Beacon.Put(114,0,100);</v>
      </c>
      <c r="C81" t="str">
        <f>"Beacon.Put(114,0,2"&amp;TEXT(M電入力!$H83,"00")&amp;");"</f>
        <v>Beacon.Put(114,0,200);</v>
      </c>
      <c r="D81" t="str">
        <f>"Beacon.Put(114,0,3"&amp;TEXT(M電入力!$H84,"00")&amp;");"</f>
        <v>Beacon.Put(114,0,300);</v>
      </c>
      <c r="E81" t="str">
        <f>"Beacon.Put(114,0,4"&amp;TEXT(M電入力!$H85,"00")&amp;");"</f>
        <v>Beacon.Put(114,0,400);</v>
      </c>
      <c r="F81" t="str">
        <f>"Beacon.Put(114,0,5"&amp;TEXT(M電入力!$H86,"00")&amp;");"</f>
        <v>Beacon.Put(114,0,500);</v>
      </c>
      <c r="G81" t="str">
        <f>"Beacon.Put(114,0,6"&amp;TEXT(M電入力!$H87,"00")&amp;");"</f>
        <v>Beacon.Put(114,0,600);</v>
      </c>
      <c r="H81" t="str">
        <f>"Beacon.Put(115,0,1"&amp;TEXT(M電入力!$I82,"00")&amp;");"</f>
        <v>Beacon.Put(115,0,100);</v>
      </c>
      <c r="I81" t="str">
        <f>"Beacon.Put(115,0,2"&amp;TEXT(M電入力!$I83,"00")&amp;");"</f>
        <v>Beacon.Put(115,0,200);</v>
      </c>
      <c r="J81" t="str">
        <f>"Beacon.Put(115,0,3"&amp;TEXT(M電入力!$I84,"00")&amp;");"</f>
        <v>Beacon.Put(115,0,300);</v>
      </c>
      <c r="K81" t="str">
        <f>"Beacon.Put(115,0,4"&amp;TEXT(M電入力!$I85,"00")&amp;");"</f>
        <v>Beacon.Put(115,0,400);</v>
      </c>
      <c r="L81" t="str">
        <f>"Beacon.Put(115,0,5"&amp;TEXT(M電入力!$I86,"00")&amp;");"</f>
        <v>Beacon.Put(115,0,500);</v>
      </c>
      <c r="M81" t="str">
        <f>"Beacon.Put(115,0,6"&amp;TEXT(M電入力!$I87,"00")&amp;");"</f>
        <v>Beacon.Put(115,0,600);</v>
      </c>
      <c r="N81" t="str">
        <f>"Beacon.Put(116,0,1"&amp;M電入力!$AE82&amp;");"</f>
        <v>Beacon.Put(116,0,10000);</v>
      </c>
      <c r="O81" t="str">
        <f>"Beacon.Put(116,0,2"&amp;M電入力!$AE83&amp;");"</f>
        <v>Beacon.Put(116,0,20000);</v>
      </c>
      <c r="P81" t="str">
        <f>"Beacon.Put(116,0,3"&amp;M電入力!$AE84&amp;");"</f>
        <v>Beacon.Put(116,0,30000);</v>
      </c>
      <c r="Q81" t="str">
        <f>"Beacon.Put(116,0,4"&amp;M電入力!$AE85&amp;");"</f>
        <v>Beacon.Put(116,0,40000);</v>
      </c>
      <c r="R81" t="str">
        <f>"Beacon.Put(116,0,5"&amp;M電入力!$AE86&amp;");"</f>
        <v>Beacon.Put(116,0,50000);</v>
      </c>
      <c r="S81" t="str">
        <f>"Beacon.Put(116,0,6"&amp;M電入力!$AE87&amp;");"</f>
        <v>Beacon.Put(116,0,60000);</v>
      </c>
    </row>
    <row r="82" spans="1:19">
      <c r="A82" t="str">
        <f>M電入力!C83&amp;"+25;"</f>
        <v>+25;</v>
      </c>
      <c r="B82" t="str">
        <f>"Beacon.Put(114,0,1"&amp;TEXT(M電入力!$H83,"00")&amp;");"</f>
        <v>Beacon.Put(114,0,100);</v>
      </c>
      <c r="C82" t="str">
        <f>"Beacon.Put(114,0,2"&amp;TEXT(M電入力!$H84,"00")&amp;");"</f>
        <v>Beacon.Put(114,0,200);</v>
      </c>
      <c r="D82" t="str">
        <f>"Beacon.Put(114,0,3"&amp;TEXT(M電入力!$H85,"00")&amp;");"</f>
        <v>Beacon.Put(114,0,300);</v>
      </c>
      <c r="E82" t="str">
        <f>"Beacon.Put(114,0,4"&amp;TEXT(M電入力!$H86,"00")&amp;");"</f>
        <v>Beacon.Put(114,0,400);</v>
      </c>
      <c r="F82" t="str">
        <f>"Beacon.Put(114,0,5"&amp;TEXT(M電入力!$H87,"00")&amp;");"</f>
        <v>Beacon.Put(114,0,500);</v>
      </c>
      <c r="G82" t="str">
        <f>"Beacon.Put(114,0,6"&amp;TEXT(M電入力!$H88,"00")&amp;");"</f>
        <v>Beacon.Put(114,0,600);</v>
      </c>
      <c r="H82" t="str">
        <f>"Beacon.Put(115,0,1"&amp;TEXT(M電入力!$I83,"00")&amp;");"</f>
        <v>Beacon.Put(115,0,100);</v>
      </c>
      <c r="I82" t="str">
        <f>"Beacon.Put(115,0,2"&amp;TEXT(M電入力!$I84,"00")&amp;");"</f>
        <v>Beacon.Put(115,0,200);</v>
      </c>
      <c r="J82" t="str">
        <f>"Beacon.Put(115,0,3"&amp;TEXT(M電入力!$I85,"00")&amp;");"</f>
        <v>Beacon.Put(115,0,300);</v>
      </c>
      <c r="K82" t="str">
        <f>"Beacon.Put(115,0,4"&amp;TEXT(M電入力!$I86,"00")&amp;");"</f>
        <v>Beacon.Put(115,0,400);</v>
      </c>
      <c r="L82" t="str">
        <f>"Beacon.Put(115,0,5"&amp;TEXT(M電入力!$I87,"00")&amp;");"</f>
        <v>Beacon.Put(115,0,500);</v>
      </c>
      <c r="M82" t="str">
        <f>"Beacon.Put(115,0,6"&amp;TEXT(M電入力!$I88,"00")&amp;");"</f>
        <v>Beacon.Put(115,0,600);</v>
      </c>
      <c r="N82" t="str">
        <f>"Beacon.Put(116,0,1"&amp;M電入力!$AE83&amp;");"</f>
        <v>Beacon.Put(116,0,10000);</v>
      </c>
      <c r="O82" t="str">
        <f>"Beacon.Put(116,0,2"&amp;M電入力!$AE84&amp;");"</f>
        <v>Beacon.Put(116,0,20000);</v>
      </c>
      <c r="P82" t="str">
        <f>"Beacon.Put(116,0,3"&amp;M電入力!$AE85&amp;");"</f>
        <v>Beacon.Put(116,0,30000);</v>
      </c>
      <c r="Q82" t="str">
        <f>"Beacon.Put(116,0,4"&amp;M電入力!$AE86&amp;");"</f>
        <v>Beacon.Put(116,0,40000);</v>
      </c>
      <c r="R82" t="str">
        <f>"Beacon.Put(116,0,5"&amp;M電入力!$AE87&amp;");"</f>
        <v>Beacon.Put(116,0,50000);</v>
      </c>
      <c r="S82" t="str">
        <f>"Beacon.Put(116,0,6"&amp;M電入力!$AE88&amp;");"</f>
        <v>Beacon.Put(116,0,60000);</v>
      </c>
    </row>
    <row r="83" spans="1:19">
      <c r="A83" t="str">
        <f>M電入力!C84&amp;"+25;"</f>
        <v>+25;</v>
      </c>
      <c r="B83" t="str">
        <f>"Beacon.Put(114,0,1"&amp;TEXT(M電入力!$H84,"00")&amp;");"</f>
        <v>Beacon.Put(114,0,100);</v>
      </c>
      <c r="C83" t="str">
        <f>"Beacon.Put(114,0,2"&amp;TEXT(M電入力!$H85,"00")&amp;");"</f>
        <v>Beacon.Put(114,0,200);</v>
      </c>
      <c r="D83" t="str">
        <f>"Beacon.Put(114,0,3"&amp;TEXT(M電入力!$H86,"00")&amp;");"</f>
        <v>Beacon.Put(114,0,300);</v>
      </c>
      <c r="E83" t="str">
        <f>"Beacon.Put(114,0,4"&amp;TEXT(M電入力!$H87,"00")&amp;");"</f>
        <v>Beacon.Put(114,0,400);</v>
      </c>
      <c r="F83" t="str">
        <f>"Beacon.Put(114,0,5"&amp;TEXT(M電入力!$H88,"00")&amp;");"</f>
        <v>Beacon.Put(114,0,500);</v>
      </c>
      <c r="G83" t="str">
        <f>"Beacon.Put(114,0,6"&amp;TEXT(M電入力!$H89,"00")&amp;");"</f>
        <v>Beacon.Put(114,0,600);</v>
      </c>
      <c r="H83" t="str">
        <f>"Beacon.Put(115,0,1"&amp;TEXT(M電入力!$I84,"00")&amp;");"</f>
        <v>Beacon.Put(115,0,100);</v>
      </c>
      <c r="I83" t="str">
        <f>"Beacon.Put(115,0,2"&amp;TEXT(M電入力!$I85,"00")&amp;");"</f>
        <v>Beacon.Put(115,0,200);</v>
      </c>
      <c r="J83" t="str">
        <f>"Beacon.Put(115,0,3"&amp;TEXT(M電入力!$I86,"00")&amp;");"</f>
        <v>Beacon.Put(115,0,300);</v>
      </c>
      <c r="K83" t="str">
        <f>"Beacon.Put(115,0,4"&amp;TEXT(M電入力!$I87,"00")&amp;");"</f>
        <v>Beacon.Put(115,0,400);</v>
      </c>
      <c r="L83" t="str">
        <f>"Beacon.Put(115,0,5"&amp;TEXT(M電入力!$I88,"00")&amp;");"</f>
        <v>Beacon.Put(115,0,500);</v>
      </c>
      <c r="M83" t="str">
        <f>"Beacon.Put(115,0,6"&amp;TEXT(M電入力!$I89,"00")&amp;");"</f>
        <v>Beacon.Put(115,0,600);</v>
      </c>
      <c r="N83" t="str">
        <f>"Beacon.Put(116,0,1"&amp;M電入力!$AE84&amp;");"</f>
        <v>Beacon.Put(116,0,10000);</v>
      </c>
      <c r="O83" t="str">
        <f>"Beacon.Put(116,0,2"&amp;M電入力!$AE85&amp;");"</f>
        <v>Beacon.Put(116,0,20000);</v>
      </c>
      <c r="P83" t="str">
        <f>"Beacon.Put(116,0,3"&amp;M電入力!$AE86&amp;");"</f>
        <v>Beacon.Put(116,0,30000);</v>
      </c>
      <c r="Q83" t="str">
        <f>"Beacon.Put(116,0,4"&amp;M電入力!$AE87&amp;");"</f>
        <v>Beacon.Put(116,0,40000);</v>
      </c>
      <c r="R83" t="str">
        <f>"Beacon.Put(116,0,5"&amp;M電入力!$AE88&amp;");"</f>
        <v>Beacon.Put(116,0,50000);</v>
      </c>
      <c r="S83" t="str">
        <f>"Beacon.Put(116,0,6"&amp;M電入力!$AE89&amp;");"</f>
        <v>Beacon.Put(116,0,60000);</v>
      </c>
    </row>
    <row r="84" spans="1:19">
      <c r="A84" t="str">
        <f>M電入力!C85&amp;"+25;"</f>
        <v>+25;</v>
      </c>
      <c r="B84" t="str">
        <f>"Beacon.Put(114,0,1"&amp;TEXT(M電入力!$H85,"00")&amp;");"</f>
        <v>Beacon.Put(114,0,100);</v>
      </c>
      <c r="C84" t="str">
        <f>"Beacon.Put(114,0,2"&amp;TEXT(M電入力!$H86,"00")&amp;");"</f>
        <v>Beacon.Put(114,0,200);</v>
      </c>
      <c r="D84" t="str">
        <f>"Beacon.Put(114,0,3"&amp;TEXT(M電入力!$H87,"00")&amp;");"</f>
        <v>Beacon.Put(114,0,300);</v>
      </c>
      <c r="E84" t="str">
        <f>"Beacon.Put(114,0,4"&amp;TEXT(M電入力!$H88,"00")&amp;");"</f>
        <v>Beacon.Put(114,0,400);</v>
      </c>
      <c r="F84" t="str">
        <f>"Beacon.Put(114,0,5"&amp;TEXT(M電入力!$H89,"00")&amp;");"</f>
        <v>Beacon.Put(114,0,500);</v>
      </c>
      <c r="G84" t="str">
        <f>"Beacon.Put(114,0,6"&amp;TEXT(M電入力!$H90,"00")&amp;");"</f>
        <v>Beacon.Put(114,0,600);</v>
      </c>
      <c r="H84" t="str">
        <f>"Beacon.Put(115,0,1"&amp;TEXT(M電入力!$I85,"00")&amp;");"</f>
        <v>Beacon.Put(115,0,100);</v>
      </c>
      <c r="I84" t="str">
        <f>"Beacon.Put(115,0,2"&amp;TEXT(M電入力!$I86,"00")&amp;");"</f>
        <v>Beacon.Put(115,0,200);</v>
      </c>
      <c r="J84" t="str">
        <f>"Beacon.Put(115,0,3"&amp;TEXT(M電入力!$I87,"00")&amp;");"</f>
        <v>Beacon.Put(115,0,300);</v>
      </c>
      <c r="K84" t="str">
        <f>"Beacon.Put(115,0,4"&amp;TEXT(M電入力!$I88,"00")&amp;");"</f>
        <v>Beacon.Put(115,0,400);</v>
      </c>
      <c r="L84" t="str">
        <f>"Beacon.Put(115,0,5"&amp;TEXT(M電入力!$I89,"00")&amp;");"</f>
        <v>Beacon.Put(115,0,500);</v>
      </c>
      <c r="M84" t="str">
        <f>"Beacon.Put(115,0,6"&amp;TEXT(M電入力!$I90,"00")&amp;");"</f>
        <v>Beacon.Put(115,0,600);</v>
      </c>
      <c r="N84" t="str">
        <f>"Beacon.Put(116,0,1"&amp;M電入力!$AE85&amp;");"</f>
        <v>Beacon.Put(116,0,10000);</v>
      </c>
      <c r="O84" t="str">
        <f>"Beacon.Put(116,0,2"&amp;M電入力!$AE86&amp;");"</f>
        <v>Beacon.Put(116,0,20000);</v>
      </c>
      <c r="P84" t="str">
        <f>"Beacon.Put(116,0,3"&amp;M電入力!$AE87&amp;");"</f>
        <v>Beacon.Put(116,0,30000);</v>
      </c>
      <c r="Q84" t="str">
        <f>"Beacon.Put(116,0,4"&amp;M電入力!$AE88&amp;");"</f>
        <v>Beacon.Put(116,0,40000);</v>
      </c>
      <c r="R84" t="str">
        <f>"Beacon.Put(116,0,5"&amp;M電入力!$AE89&amp;");"</f>
        <v>Beacon.Put(116,0,50000);</v>
      </c>
      <c r="S84" t="str">
        <f>"Beacon.Put(116,0,6"&amp;M電入力!$AE90&amp;");"</f>
        <v>Beacon.Put(116,0,60000);</v>
      </c>
    </row>
    <row r="85" spans="1:19">
      <c r="A85" t="str">
        <f>M電入力!C86&amp;"+25;"</f>
        <v>+25;</v>
      </c>
      <c r="B85" t="str">
        <f>"Beacon.Put(114,0,1"&amp;TEXT(M電入力!$H86,"00")&amp;");"</f>
        <v>Beacon.Put(114,0,100);</v>
      </c>
      <c r="C85" t="str">
        <f>"Beacon.Put(114,0,2"&amp;TEXT(M電入力!$H87,"00")&amp;");"</f>
        <v>Beacon.Put(114,0,200);</v>
      </c>
      <c r="D85" t="str">
        <f>"Beacon.Put(114,0,3"&amp;TEXT(M電入力!$H88,"00")&amp;");"</f>
        <v>Beacon.Put(114,0,300);</v>
      </c>
      <c r="E85" t="str">
        <f>"Beacon.Put(114,0,4"&amp;TEXT(M電入力!$H89,"00")&amp;");"</f>
        <v>Beacon.Put(114,0,400);</v>
      </c>
      <c r="F85" t="str">
        <f>"Beacon.Put(114,0,5"&amp;TEXT(M電入力!$H90,"00")&amp;");"</f>
        <v>Beacon.Put(114,0,500);</v>
      </c>
      <c r="G85" t="str">
        <f>"Beacon.Put(114,0,6"&amp;TEXT(M電入力!$H91,"00")&amp;");"</f>
        <v>Beacon.Put(114,0,600);</v>
      </c>
      <c r="H85" t="str">
        <f>"Beacon.Put(115,0,1"&amp;TEXT(M電入力!$I86,"00")&amp;");"</f>
        <v>Beacon.Put(115,0,100);</v>
      </c>
      <c r="I85" t="str">
        <f>"Beacon.Put(115,0,2"&amp;TEXT(M電入力!$I87,"00")&amp;");"</f>
        <v>Beacon.Put(115,0,200);</v>
      </c>
      <c r="J85" t="str">
        <f>"Beacon.Put(115,0,3"&amp;TEXT(M電入力!$I88,"00")&amp;");"</f>
        <v>Beacon.Put(115,0,300);</v>
      </c>
      <c r="K85" t="str">
        <f>"Beacon.Put(115,0,4"&amp;TEXT(M電入力!$I89,"00")&amp;");"</f>
        <v>Beacon.Put(115,0,400);</v>
      </c>
      <c r="L85" t="str">
        <f>"Beacon.Put(115,0,5"&amp;TEXT(M電入力!$I90,"00")&amp;");"</f>
        <v>Beacon.Put(115,0,500);</v>
      </c>
      <c r="M85" t="str">
        <f>"Beacon.Put(115,0,6"&amp;TEXT(M電入力!$I91,"00")&amp;");"</f>
        <v>Beacon.Put(115,0,600);</v>
      </c>
      <c r="N85" t="str">
        <f>"Beacon.Put(116,0,1"&amp;M電入力!$AE86&amp;");"</f>
        <v>Beacon.Put(116,0,10000);</v>
      </c>
      <c r="O85" t="str">
        <f>"Beacon.Put(116,0,2"&amp;M電入力!$AE87&amp;");"</f>
        <v>Beacon.Put(116,0,20000);</v>
      </c>
      <c r="P85" t="str">
        <f>"Beacon.Put(116,0,3"&amp;M電入力!$AE88&amp;");"</f>
        <v>Beacon.Put(116,0,30000);</v>
      </c>
      <c r="Q85" t="str">
        <f>"Beacon.Put(116,0,4"&amp;M電入力!$AE89&amp;");"</f>
        <v>Beacon.Put(116,0,40000);</v>
      </c>
      <c r="R85" t="str">
        <f>"Beacon.Put(116,0,5"&amp;M電入力!$AE90&amp;");"</f>
        <v>Beacon.Put(116,0,50000);</v>
      </c>
      <c r="S85" t="str">
        <f>"Beacon.Put(116,0,6"&amp;M電入力!$AE91&amp;");"</f>
        <v>Beacon.Put(116,0,60000);</v>
      </c>
    </row>
    <row r="86" spans="1:19">
      <c r="A86" t="str">
        <f>M電入力!C87&amp;"+25;"</f>
        <v>+25;</v>
      </c>
      <c r="B86" t="str">
        <f>"Beacon.Put(114,0,1"&amp;TEXT(M電入力!$H87,"00")&amp;");"</f>
        <v>Beacon.Put(114,0,100);</v>
      </c>
      <c r="C86" t="str">
        <f>"Beacon.Put(114,0,2"&amp;TEXT(M電入力!$H88,"00")&amp;");"</f>
        <v>Beacon.Put(114,0,200);</v>
      </c>
      <c r="D86" t="str">
        <f>"Beacon.Put(114,0,3"&amp;TEXT(M電入力!$H89,"00")&amp;");"</f>
        <v>Beacon.Put(114,0,300);</v>
      </c>
      <c r="E86" t="str">
        <f>"Beacon.Put(114,0,4"&amp;TEXT(M電入力!$H90,"00")&amp;");"</f>
        <v>Beacon.Put(114,0,400);</v>
      </c>
      <c r="F86" t="str">
        <f>"Beacon.Put(114,0,5"&amp;TEXT(M電入力!$H91,"00")&amp;");"</f>
        <v>Beacon.Put(114,0,500);</v>
      </c>
      <c r="G86" t="str">
        <f>"Beacon.Put(114,0,6"&amp;TEXT(M電入力!$H92,"00")&amp;");"</f>
        <v>Beacon.Put(114,0,600);</v>
      </c>
      <c r="H86" t="str">
        <f>"Beacon.Put(115,0,1"&amp;TEXT(M電入力!$I87,"00")&amp;");"</f>
        <v>Beacon.Put(115,0,100);</v>
      </c>
      <c r="I86" t="str">
        <f>"Beacon.Put(115,0,2"&amp;TEXT(M電入力!$I88,"00")&amp;");"</f>
        <v>Beacon.Put(115,0,200);</v>
      </c>
      <c r="J86" t="str">
        <f>"Beacon.Put(115,0,3"&amp;TEXT(M電入力!$I89,"00")&amp;");"</f>
        <v>Beacon.Put(115,0,300);</v>
      </c>
      <c r="K86" t="str">
        <f>"Beacon.Put(115,0,4"&amp;TEXT(M電入力!$I90,"00")&amp;");"</f>
        <v>Beacon.Put(115,0,400);</v>
      </c>
      <c r="L86" t="str">
        <f>"Beacon.Put(115,0,5"&amp;TEXT(M電入力!$I91,"00")&amp;");"</f>
        <v>Beacon.Put(115,0,500);</v>
      </c>
      <c r="M86" t="str">
        <f>"Beacon.Put(115,0,6"&amp;TEXT(M電入力!$I92,"00")&amp;");"</f>
        <v>Beacon.Put(115,0,600);</v>
      </c>
      <c r="N86" t="str">
        <f>"Beacon.Put(116,0,1"&amp;M電入力!$AE87&amp;");"</f>
        <v>Beacon.Put(116,0,10000);</v>
      </c>
      <c r="O86" t="str">
        <f>"Beacon.Put(116,0,2"&amp;M電入力!$AE88&amp;");"</f>
        <v>Beacon.Put(116,0,20000);</v>
      </c>
      <c r="P86" t="str">
        <f>"Beacon.Put(116,0,3"&amp;M電入力!$AE89&amp;");"</f>
        <v>Beacon.Put(116,0,30000);</v>
      </c>
      <c r="Q86" t="str">
        <f>"Beacon.Put(116,0,4"&amp;M電入力!$AE90&amp;");"</f>
        <v>Beacon.Put(116,0,40000);</v>
      </c>
      <c r="R86" t="str">
        <f>"Beacon.Put(116,0,5"&amp;M電入力!$AE91&amp;");"</f>
        <v>Beacon.Put(116,0,50000);</v>
      </c>
      <c r="S86" t="str">
        <f>"Beacon.Put(116,0,6"&amp;M電入力!$AE92&amp;");"</f>
        <v>Beacon.Put(116,0,60000);</v>
      </c>
    </row>
    <row r="87" spans="1:19">
      <c r="A87" t="str">
        <f>M電入力!C88&amp;"+25;"</f>
        <v>+25;</v>
      </c>
      <c r="B87" t="str">
        <f>"Beacon.Put(114,0,1"&amp;TEXT(M電入力!$H88,"00")&amp;");"</f>
        <v>Beacon.Put(114,0,100);</v>
      </c>
      <c r="C87" t="str">
        <f>"Beacon.Put(114,0,2"&amp;TEXT(M電入力!$H89,"00")&amp;");"</f>
        <v>Beacon.Put(114,0,200);</v>
      </c>
      <c r="D87" t="str">
        <f>"Beacon.Put(114,0,3"&amp;TEXT(M電入力!$H90,"00")&amp;");"</f>
        <v>Beacon.Put(114,0,300);</v>
      </c>
      <c r="E87" t="str">
        <f>"Beacon.Put(114,0,4"&amp;TEXT(M電入力!$H91,"00")&amp;");"</f>
        <v>Beacon.Put(114,0,400);</v>
      </c>
      <c r="F87" t="str">
        <f>"Beacon.Put(114,0,5"&amp;TEXT(M電入力!$H92,"00")&amp;");"</f>
        <v>Beacon.Put(114,0,500);</v>
      </c>
      <c r="G87" t="str">
        <f>"Beacon.Put(114,0,6"&amp;TEXT(M電入力!$H93,"00")&amp;");"</f>
        <v>Beacon.Put(114,0,600);</v>
      </c>
      <c r="H87" t="str">
        <f>"Beacon.Put(115,0,1"&amp;TEXT(M電入力!$I88,"00")&amp;");"</f>
        <v>Beacon.Put(115,0,100);</v>
      </c>
      <c r="I87" t="str">
        <f>"Beacon.Put(115,0,2"&amp;TEXT(M電入力!$I89,"00")&amp;");"</f>
        <v>Beacon.Put(115,0,200);</v>
      </c>
      <c r="J87" t="str">
        <f>"Beacon.Put(115,0,3"&amp;TEXT(M電入力!$I90,"00")&amp;");"</f>
        <v>Beacon.Put(115,0,300);</v>
      </c>
      <c r="K87" t="str">
        <f>"Beacon.Put(115,0,4"&amp;TEXT(M電入力!$I91,"00")&amp;");"</f>
        <v>Beacon.Put(115,0,400);</v>
      </c>
      <c r="L87" t="str">
        <f>"Beacon.Put(115,0,5"&amp;TEXT(M電入力!$I92,"00")&amp;");"</f>
        <v>Beacon.Put(115,0,500);</v>
      </c>
      <c r="M87" t="str">
        <f>"Beacon.Put(115,0,6"&amp;TEXT(M電入力!$I93,"00")&amp;");"</f>
        <v>Beacon.Put(115,0,600);</v>
      </c>
      <c r="N87" t="str">
        <f>"Beacon.Put(116,0,1"&amp;M電入力!$AE88&amp;");"</f>
        <v>Beacon.Put(116,0,10000);</v>
      </c>
      <c r="O87" t="str">
        <f>"Beacon.Put(116,0,2"&amp;M電入力!$AE89&amp;");"</f>
        <v>Beacon.Put(116,0,20000);</v>
      </c>
      <c r="P87" t="str">
        <f>"Beacon.Put(116,0,3"&amp;M電入力!$AE90&amp;");"</f>
        <v>Beacon.Put(116,0,30000);</v>
      </c>
      <c r="Q87" t="str">
        <f>"Beacon.Put(116,0,4"&amp;M電入力!$AE91&amp;");"</f>
        <v>Beacon.Put(116,0,40000);</v>
      </c>
      <c r="R87" t="str">
        <f>"Beacon.Put(116,0,5"&amp;M電入力!$AE92&amp;");"</f>
        <v>Beacon.Put(116,0,50000);</v>
      </c>
      <c r="S87" t="str">
        <f>"Beacon.Put(116,0,6"&amp;M電入力!$AE93&amp;");"</f>
        <v>Beacon.Put(116,0,60000);</v>
      </c>
    </row>
    <row r="88" spans="1:19">
      <c r="A88" t="str">
        <f>M電入力!C89&amp;"+25;"</f>
        <v>+25;</v>
      </c>
      <c r="B88" t="str">
        <f>"Beacon.Put(114,0,1"&amp;TEXT(M電入力!$H89,"00")&amp;");"</f>
        <v>Beacon.Put(114,0,100);</v>
      </c>
      <c r="C88" t="str">
        <f>"Beacon.Put(114,0,2"&amp;TEXT(M電入力!$H90,"00")&amp;");"</f>
        <v>Beacon.Put(114,0,200);</v>
      </c>
      <c r="D88" t="str">
        <f>"Beacon.Put(114,0,3"&amp;TEXT(M電入力!$H91,"00")&amp;");"</f>
        <v>Beacon.Put(114,0,300);</v>
      </c>
      <c r="E88" t="str">
        <f>"Beacon.Put(114,0,4"&amp;TEXT(M電入力!$H92,"00")&amp;");"</f>
        <v>Beacon.Put(114,0,400);</v>
      </c>
      <c r="F88" t="str">
        <f>"Beacon.Put(114,0,5"&amp;TEXT(M電入力!$H93,"00")&amp;");"</f>
        <v>Beacon.Put(114,0,500);</v>
      </c>
      <c r="G88" t="str">
        <f>"Beacon.Put(114,0,6"&amp;TEXT(M電入力!$H94,"00")&amp;");"</f>
        <v>Beacon.Put(114,0,600);</v>
      </c>
      <c r="H88" t="str">
        <f>"Beacon.Put(115,0,1"&amp;TEXT(M電入力!$I89,"00")&amp;");"</f>
        <v>Beacon.Put(115,0,100);</v>
      </c>
      <c r="I88" t="str">
        <f>"Beacon.Put(115,0,2"&amp;TEXT(M電入力!$I90,"00")&amp;");"</f>
        <v>Beacon.Put(115,0,200);</v>
      </c>
      <c r="J88" t="str">
        <f>"Beacon.Put(115,0,3"&amp;TEXT(M電入力!$I91,"00")&amp;");"</f>
        <v>Beacon.Put(115,0,300);</v>
      </c>
      <c r="K88" t="str">
        <f>"Beacon.Put(115,0,4"&amp;TEXT(M電入力!$I92,"00")&amp;");"</f>
        <v>Beacon.Put(115,0,400);</v>
      </c>
      <c r="L88" t="str">
        <f>"Beacon.Put(115,0,5"&amp;TEXT(M電入力!$I93,"00")&amp;");"</f>
        <v>Beacon.Put(115,0,500);</v>
      </c>
      <c r="M88" t="str">
        <f>"Beacon.Put(115,0,6"&amp;TEXT(M電入力!$I94,"00")&amp;");"</f>
        <v>Beacon.Put(115,0,600);</v>
      </c>
      <c r="N88" t="str">
        <f>"Beacon.Put(116,0,1"&amp;M電入力!$AE89&amp;");"</f>
        <v>Beacon.Put(116,0,10000);</v>
      </c>
      <c r="O88" t="str">
        <f>"Beacon.Put(116,0,2"&amp;M電入力!$AE90&amp;");"</f>
        <v>Beacon.Put(116,0,20000);</v>
      </c>
      <c r="P88" t="str">
        <f>"Beacon.Put(116,0,3"&amp;M電入力!$AE91&amp;");"</f>
        <v>Beacon.Put(116,0,30000);</v>
      </c>
      <c r="Q88" t="str">
        <f>"Beacon.Put(116,0,4"&amp;M電入力!$AE92&amp;");"</f>
        <v>Beacon.Put(116,0,40000);</v>
      </c>
      <c r="R88" t="str">
        <f>"Beacon.Put(116,0,5"&amp;M電入力!$AE93&amp;");"</f>
        <v>Beacon.Put(116,0,50000);</v>
      </c>
      <c r="S88" t="str">
        <f>"Beacon.Put(116,0,6"&amp;M電入力!$AE94&amp;");"</f>
        <v>Beacon.Put(116,0,60000);</v>
      </c>
    </row>
    <row r="89" spans="1:19">
      <c r="A89" t="str">
        <f>M電入力!C90&amp;"+25;"</f>
        <v>+25;</v>
      </c>
      <c r="B89" t="str">
        <f>"Beacon.Put(114,0,1"&amp;TEXT(M電入力!$H90,"00")&amp;");"</f>
        <v>Beacon.Put(114,0,100);</v>
      </c>
      <c r="C89" t="str">
        <f>"Beacon.Put(114,0,2"&amp;TEXT(M電入力!$H91,"00")&amp;");"</f>
        <v>Beacon.Put(114,0,200);</v>
      </c>
      <c r="D89" t="str">
        <f>"Beacon.Put(114,0,3"&amp;TEXT(M電入力!$H92,"00")&amp;");"</f>
        <v>Beacon.Put(114,0,300);</v>
      </c>
      <c r="E89" t="str">
        <f>"Beacon.Put(114,0,4"&amp;TEXT(M電入力!$H93,"00")&amp;");"</f>
        <v>Beacon.Put(114,0,400);</v>
      </c>
      <c r="F89" t="str">
        <f>"Beacon.Put(114,0,5"&amp;TEXT(M電入力!$H94,"00")&amp;");"</f>
        <v>Beacon.Put(114,0,500);</v>
      </c>
      <c r="G89" t="str">
        <f>"Beacon.Put(114,0,6"&amp;TEXT(M電入力!$H95,"00")&amp;");"</f>
        <v>Beacon.Put(114,0,600);</v>
      </c>
      <c r="H89" t="str">
        <f>"Beacon.Put(115,0,1"&amp;TEXT(M電入力!$I90,"00")&amp;");"</f>
        <v>Beacon.Put(115,0,100);</v>
      </c>
      <c r="I89" t="str">
        <f>"Beacon.Put(115,0,2"&amp;TEXT(M電入力!$I91,"00")&amp;");"</f>
        <v>Beacon.Put(115,0,200);</v>
      </c>
      <c r="J89" t="str">
        <f>"Beacon.Put(115,0,3"&amp;TEXT(M電入力!$I92,"00")&amp;");"</f>
        <v>Beacon.Put(115,0,300);</v>
      </c>
      <c r="K89" t="str">
        <f>"Beacon.Put(115,0,4"&amp;TEXT(M電入力!$I93,"00")&amp;");"</f>
        <v>Beacon.Put(115,0,400);</v>
      </c>
      <c r="L89" t="str">
        <f>"Beacon.Put(115,0,5"&amp;TEXT(M電入力!$I94,"00")&amp;");"</f>
        <v>Beacon.Put(115,0,500);</v>
      </c>
      <c r="M89" t="str">
        <f>"Beacon.Put(115,0,6"&amp;TEXT(M電入力!$I95,"00")&amp;");"</f>
        <v>Beacon.Put(115,0,600);</v>
      </c>
      <c r="N89" t="str">
        <f>"Beacon.Put(116,0,1"&amp;M電入力!$AE90&amp;");"</f>
        <v>Beacon.Put(116,0,10000);</v>
      </c>
      <c r="O89" t="str">
        <f>"Beacon.Put(116,0,2"&amp;M電入力!$AE91&amp;");"</f>
        <v>Beacon.Put(116,0,20000);</v>
      </c>
      <c r="P89" t="str">
        <f>"Beacon.Put(116,0,3"&amp;M電入力!$AE92&amp;");"</f>
        <v>Beacon.Put(116,0,30000);</v>
      </c>
      <c r="Q89" t="str">
        <f>"Beacon.Put(116,0,4"&amp;M電入力!$AE93&amp;");"</f>
        <v>Beacon.Put(116,0,40000);</v>
      </c>
      <c r="R89" t="str">
        <f>"Beacon.Put(116,0,5"&amp;M電入力!$AE94&amp;");"</f>
        <v>Beacon.Put(116,0,50000);</v>
      </c>
      <c r="S89" t="str">
        <f>"Beacon.Put(116,0,6"&amp;M電入力!$AE95&amp;");"</f>
        <v>Beacon.Put(116,0,60000);</v>
      </c>
    </row>
    <row r="90" spans="1:19">
      <c r="A90" t="str">
        <f>M電入力!C91&amp;"+25;"</f>
        <v>+25;</v>
      </c>
      <c r="B90" t="str">
        <f>"Beacon.Put(114,0,1"&amp;TEXT(M電入力!$H91,"00")&amp;");"</f>
        <v>Beacon.Put(114,0,100);</v>
      </c>
      <c r="C90" t="str">
        <f>"Beacon.Put(114,0,2"&amp;TEXT(M電入力!$H92,"00")&amp;");"</f>
        <v>Beacon.Put(114,0,200);</v>
      </c>
      <c r="D90" t="str">
        <f>"Beacon.Put(114,0,3"&amp;TEXT(M電入力!$H93,"00")&amp;");"</f>
        <v>Beacon.Put(114,0,300);</v>
      </c>
      <c r="E90" t="str">
        <f>"Beacon.Put(114,0,4"&amp;TEXT(M電入力!$H94,"00")&amp;");"</f>
        <v>Beacon.Put(114,0,400);</v>
      </c>
      <c r="F90" t="str">
        <f>"Beacon.Put(114,0,5"&amp;TEXT(M電入力!$H95,"00")&amp;");"</f>
        <v>Beacon.Put(114,0,500);</v>
      </c>
      <c r="G90" t="str">
        <f>"Beacon.Put(114,0,6"&amp;TEXT(M電入力!$H96,"00")&amp;");"</f>
        <v>Beacon.Put(114,0,600);</v>
      </c>
      <c r="H90" t="str">
        <f>"Beacon.Put(115,0,1"&amp;TEXT(M電入力!$I91,"00")&amp;");"</f>
        <v>Beacon.Put(115,0,100);</v>
      </c>
      <c r="I90" t="str">
        <f>"Beacon.Put(115,0,2"&amp;TEXT(M電入力!$I92,"00")&amp;");"</f>
        <v>Beacon.Put(115,0,200);</v>
      </c>
      <c r="J90" t="str">
        <f>"Beacon.Put(115,0,3"&amp;TEXT(M電入力!$I93,"00")&amp;");"</f>
        <v>Beacon.Put(115,0,300);</v>
      </c>
      <c r="K90" t="str">
        <f>"Beacon.Put(115,0,4"&amp;TEXT(M電入力!$I94,"00")&amp;");"</f>
        <v>Beacon.Put(115,0,400);</v>
      </c>
      <c r="L90" t="str">
        <f>"Beacon.Put(115,0,5"&amp;TEXT(M電入力!$I95,"00")&amp;");"</f>
        <v>Beacon.Put(115,0,500);</v>
      </c>
      <c r="M90" t="str">
        <f>"Beacon.Put(115,0,6"&amp;TEXT(M電入力!$I96,"00")&amp;");"</f>
        <v>Beacon.Put(115,0,600);</v>
      </c>
      <c r="N90" t="str">
        <f>"Beacon.Put(116,0,1"&amp;M電入力!$AE91&amp;");"</f>
        <v>Beacon.Put(116,0,10000);</v>
      </c>
      <c r="O90" t="str">
        <f>"Beacon.Put(116,0,2"&amp;M電入力!$AE92&amp;");"</f>
        <v>Beacon.Put(116,0,20000);</v>
      </c>
      <c r="P90" t="str">
        <f>"Beacon.Put(116,0,3"&amp;M電入力!$AE93&amp;");"</f>
        <v>Beacon.Put(116,0,30000);</v>
      </c>
      <c r="Q90" t="str">
        <f>"Beacon.Put(116,0,4"&amp;M電入力!$AE94&amp;");"</f>
        <v>Beacon.Put(116,0,40000);</v>
      </c>
      <c r="R90" t="str">
        <f>"Beacon.Put(116,0,5"&amp;M電入力!$AE95&amp;");"</f>
        <v>Beacon.Put(116,0,50000);</v>
      </c>
      <c r="S90" t="str">
        <f>"Beacon.Put(116,0,6"&amp;M電入力!$AE96&amp;");"</f>
        <v>Beacon.Put(116,0,60000);</v>
      </c>
    </row>
    <row r="91" spans="1:19">
      <c r="A91" t="str">
        <f>M電入力!C92&amp;"+25;"</f>
        <v>+25;</v>
      </c>
      <c r="B91" t="str">
        <f>"Beacon.Put(114,0,1"&amp;TEXT(M電入力!$H92,"00")&amp;");"</f>
        <v>Beacon.Put(114,0,100);</v>
      </c>
      <c r="C91" t="str">
        <f>"Beacon.Put(114,0,2"&amp;TEXT(M電入力!$H93,"00")&amp;");"</f>
        <v>Beacon.Put(114,0,200);</v>
      </c>
      <c r="D91" t="str">
        <f>"Beacon.Put(114,0,3"&amp;TEXT(M電入力!$H94,"00")&amp;");"</f>
        <v>Beacon.Put(114,0,300);</v>
      </c>
      <c r="E91" t="str">
        <f>"Beacon.Put(114,0,4"&amp;TEXT(M電入力!$H95,"00")&amp;");"</f>
        <v>Beacon.Put(114,0,400);</v>
      </c>
      <c r="F91" t="str">
        <f>"Beacon.Put(114,0,5"&amp;TEXT(M電入力!$H96,"00")&amp;");"</f>
        <v>Beacon.Put(114,0,500);</v>
      </c>
      <c r="G91" t="str">
        <f>"Beacon.Put(114,0,6"&amp;TEXT(M電入力!$H97,"00")&amp;");"</f>
        <v>Beacon.Put(114,0,600);</v>
      </c>
      <c r="H91" t="str">
        <f>"Beacon.Put(115,0,1"&amp;TEXT(M電入力!$I92,"00")&amp;");"</f>
        <v>Beacon.Put(115,0,100);</v>
      </c>
      <c r="I91" t="str">
        <f>"Beacon.Put(115,0,2"&amp;TEXT(M電入力!$I93,"00")&amp;");"</f>
        <v>Beacon.Put(115,0,200);</v>
      </c>
      <c r="J91" t="str">
        <f>"Beacon.Put(115,0,3"&amp;TEXT(M電入力!$I94,"00")&amp;");"</f>
        <v>Beacon.Put(115,0,300);</v>
      </c>
      <c r="K91" t="str">
        <f>"Beacon.Put(115,0,4"&amp;TEXT(M電入力!$I95,"00")&amp;");"</f>
        <v>Beacon.Put(115,0,400);</v>
      </c>
      <c r="L91" t="str">
        <f>"Beacon.Put(115,0,5"&amp;TEXT(M電入力!$I96,"00")&amp;");"</f>
        <v>Beacon.Put(115,0,500);</v>
      </c>
      <c r="M91" t="str">
        <f>"Beacon.Put(115,0,6"&amp;TEXT(M電入力!$I97,"00")&amp;");"</f>
        <v>Beacon.Put(115,0,600);</v>
      </c>
      <c r="N91" t="str">
        <f>"Beacon.Put(116,0,1"&amp;M電入力!$AE92&amp;");"</f>
        <v>Beacon.Put(116,0,10000);</v>
      </c>
      <c r="O91" t="str">
        <f>"Beacon.Put(116,0,2"&amp;M電入力!$AE93&amp;");"</f>
        <v>Beacon.Put(116,0,20000);</v>
      </c>
      <c r="P91" t="str">
        <f>"Beacon.Put(116,0,3"&amp;M電入力!$AE94&amp;");"</f>
        <v>Beacon.Put(116,0,30000);</v>
      </c>
      <c r="Q91" t="str">
        <f>"Beacon.Put(116,0,4"&amp;M電入力!$AE95&amp;");"</f>
        <v>Beacon.Put(116,0,40000);</v>
      </c>
      <c r="R91" t="str">
        <f>"Beacon.Put(116,0,5"&amp;M電入力!$AE96&amp;");"</f>
        <v>Beacon.Put(116,0,50000);</v>
      </c>
      <c r="S91" t="str">
        <f>"Beacon.Put(116,0,6"&amp;M電入力!$AE97&amp;");"</f>
        <v>Beacon.Put(116,0,60000);</v>
      </c>
    </row>
    <row r="92" spans="1:19">
      <c r="A92" t="str">
        <f>M電入力!C93&amp;"+25;"</f>
        <v>+25;</v>
      </c>
      <c r="B92" t="str">
        <f>"Beacon.Put(114,0,1"&amp;TEXT(M電入力!$H93,"00")&amp;");"</f>
        <v>Beacon.Put(114,0,100);</v>
      </c>
      <c r="C92" t="str">
        <f>"Beacon.Put(114,0,2"&amp;TEXT(M電入力!$H94,"00")&amp;");"</f>
        <v>Beacon.Put(114,0,200);</v>
      </c>
      <c r="D92" t="str">
        <f>"Beacon.Put(114,0,3"&amp;TEXT(M電入力!$H95,"00")&amp;");"</f>
        <v>Beacon.Put(114,0,300);</v>
      </c>
      <c r="E92" t="str">
        <f>"Beacon.Put(114,0,4"&amp;TEXT(M電入力!$H96,"00")&amp;");"</f>
        <v>Beacon.Put(114,0,400);</v>
      </c>
      <c r="F92" t="str">
        <f>"Beacon.Put(114,0,5"&amp;TEXT(M電入力!$H97,"00")&amp;");"</f>
        <v>Beacon.Put(114,0,500);</v>
      </c>
      <c r="G92" t="str">
        <f>"Beacon.Put(114,0,6"&amp;TEXT(M電入力!$H98,"00")&amp;");"</f>
        <v>Beacon.Put(114,0,600);</v>
      </c>
      <c r="H92" t="str">
        <f>"Beacon.Put(115,0,1"&amp;TEXT(M電入力!$I93,"00")&amp;");"</f>
        <v>Beacon.Put(115,0,100);</v>
      </c>
      <c r="I92" t="str">
        <f>"Beacon.Put(115,0,2"&amp;TEXT(M電入力!$I94,"00")&amp;");"</f>
        <v>Beacon.Put(115,0,200);</v>
      </c>
      <c r="J92" t="str">
        <f>"Beacon.Put(115,0,3"&amp;TEXT(M電入力!$I95,"00")&amp;");"</f>
        <v>Beacon.Put(115,0,300);</v>
      </c>
      <c r="K92" t="str">
        <f>"Beacon.Put(115,0,4"&amp;TEXT(M電入力!$I96,"00")&amp;");"</f>
        <v>Beacon.Put(115,0,400);</v>
      </c>
      <c r="L92" t="str">
        <f>"Beacon.Put(115,0,5"&amp;TEXT(M電入力!$I97,"00")&amp;");"</f>
        <v>Beacon.Put(115,0,500);</v>
      </c>
      <c r="M92" t="str">
        <f>"Beacon.Put(115,0,6"&amp;TEXT(M電入力!$I98,"00")&amp;");"</f>
        <v>Beacon.Put(115,0,600);</v>
      </c>
      <c r="N92" t="str">
        <f>"Beacon.Put(116,0,1"&amp;M電入力!$AE93&amp;");"</f>
        <v>Beacon.Put(116,0,10000);</v>
      </c>
      <c r="O92" t="str">
        <f>"Beacon.Put(116,0,2"&amp;M電入力!$AE94&amp;");"</f>
        <v>Beacon.Put(116,0,20000);</v>
      </c>
      <c r="P92" t="str">
        <f>"Beacon.Put(116,0,3"&amp;M電入力!$AE95&amp;");"</f>
        <v>Beacon.Put(116,0,30000);</v>
      </c>
      <c r="Q92" t="str">
        <f>"Beacon.Put(116,0,4"&amp;M電入力!$AE96&amp;");"</f>
        <v>Beacon.Put(116,0,40000);</v>
      </c>
      <c r="R92" t="str">
        <f>"Beacon.Put(116,0,5"&amp;M電入力!$AE97&amp;");"</f>
        <v>Beacon.Put(116,0,50000);</v>
      </c>
      <c r="S92" t="str">
        <f>"Beacon.Put(116,0,6"&amp;M電入力!$AE98&amp;");"</f>
        <v>Beacon.Put(116,0,60000);</v>
      </c>
    </row>
    <row r="93" spans="1:19">
      <c r="A93" t="str">
        <f>M電入力!C94&amp;"+25;"</f>
        <v>+25;</v>
      </c>
      <c r="B93" t="str">
        <f>"Beacon.Put(114,0,1"&amp;TEXT(M電入力!$H94,"00")&amp;");"</f>
        <v>Beacon.Put(114,0,100);</v>
      </c>
      <c r="C93" t="str">
        <f>"Beacon.Put(114,0,2"&amp;TEXT(M電入力!$H95,"00")&amp;");"</f>
        <v>Beacon.Put(114,0,200);</v>
      </c>
      <c r="D93" t="str">
        <f>"Beacon.Put(114,0,3"&amp;TEXT(M電入力!$H96,"00")&amp;");"</f>
        <v>Beacon.Put(114,0,300);</v>
      </c>
      <c r="E93" t="str">
        <f>"Beacon.Put(114,0,4"&amp;TEXT(M電入力!$H97,"00")&amp;");"</f>
        <v>Beacon.Put(114,0,400);</v>
      </c>
      <c r="F93" t="str">
        <f>"Beacon.Put(114,0,5"&amp;TEXT(M電入力!$H98,"00")&amp;");"</f>
        <v>Beacon.Put(114,0,500);</v>
      </c>
      <c r="G93" t="str">
        <f>"Beacon.Put(114,0,6"&amp;TEXT(M電入力!$H99,"00")&amp;");"</f>
        <v>Beacon.Put(114,0,600);</v>
      </c>
      <c r="H93" t="str">
        <f>"Beacon.Put(115,0,1"&amp;TEXT(M電入力!$I94,"00")&amp;");"</f>
        <v>Beacon.Put(115,0,100);</v>
      </c>
      <c r="I93" t="str">
        <f>"Beacon.Put(115,0,2"&amp;TEXT(M電入力!$I95,"00")&amp;");"</f>
        <v>Beacon.Put(115,0,200);</v>
      </c>
      <c r="J93" t="str">
        <f>"Beacon.Put(115,0,3"&amp;TEXT(M電入力!$I96,"00")&amp;");"</f>
        <v>Beacon.Put(115,0,300);</v>
      </c>
      <c r="K93" t="str">
        <f>"Beacon.Put(115,0,4"&amp;TEXT(M電入力!$I97,"00")&amp;");"</f>
        <v>Beacon.Put(115,0,400);</v>
      </c>
      <c r="L93" t="str">
        <f>"Beacon.Put(115,0,5"&amp;TEXT(M電入力!$I98,"00")&amp;");"</f>
        <v>Beacon.Put(115,0,500);</v>
      </c>
      <c r="M93" t="str">
        <f>"Beacon.Put(115,0,6"&amp;TEXT(M電入力!$I99,"00")&amp;");"</f>
        <v>Beacon.Put(115,0,600);</v>
      </c>
      <c r="N93" t="str">
        <f>"Beacon.Put(116,0,1"&amp;M電入力!$AE94&amp;");"</f>
        <v>Beacon.Put(116,0,10000);</v>
      </c>
      <c r="O93" t="str">
        <f>"Beacon.Put(116,0,2"&amp;M電入力!$AE95&amp;");"</f>
        <v>Beacon.Put(116,0,20000);</v>
      </c>
      <c r="P93" t="str">
        <f>"Beacon.Put(116,0,3"&amp;M電入力!$AE96&amp;");"</f>
        <v>Beacon.Put(116,0,30000);</v>
      </c>
      <c r="Q93" t="str">
        <f>"Beacon.Put(116,0,4"&amp;M電入力!$AE97&amp;");"</f>
        <v>Beacon.Put(116,0,40000);</v>
      </c>
      <c r="R93" t="str">
        <f>"Beacon.Put(116,0,5"&amp;M電入力!$AE98&amp;");"</f>
        <v>Beacon.Put(116,0,50000);</v>
      </c>
      <c r="S93" t="str">
        <f>"Beacon.Put(116,0,6"&amp;M電入力!$AE99&amp;");"</f>
        <v>Beacon.Put(116,0,60000);</v>
      </c>
    </row>
    <row r="94" spans="1:19">
      <c r="A94" t="str">
        <f>M電入力!C95&amp;"+25;"</f>
        <v>+25;</v>
      </c>
      <c r="B94" t="str">
        <f>"Beacon.Put(114,0,1"&amp;TEXT(M電入力!$H95,"00")&amp;");"</f>
        <v>Beacon.Put(114,0,100);</v>
      </c>
      <c r="C94" t="str">
        <f>"Beacon.Put(114,0,2"&amp;TEXT(M電入力!$H96,"00")&amp;");"</f>
        <v>Beacon.Put(114,0,200);</v>
      </c>
      <c r="D94" t="str">
        <f>"Beacon.Put(114,0,3"&amp;TEXT(M電入力!$H97,"00")&amp;");"</f>
        <v>Beacon.Put(114,0,300);</v>
      </c>
      <c r="E94" t="str">
        <f>"Beacon.Put(114,0,4"&amp;TEXT(M電入力!$H98,"00")&amp;");"</f>
        <v>Beacon.Put(114,0,400);</v>
      </c>
      <c r="F94" t="str">
        <f>"Beacon.Put(114,0,5"&amp;TEXT(M電入力!$H99,"00")&amp;");"</f>
        <v>Beacon.Put(114,0,500);</v>
      </c>
      <c r="G94" t="str">
        <f>"Beacon.Put(114,0,6"&amp;TEXT(M電入力!$H100,"00")&amp;");"</f>
        <v>Beacon.Put(114,0,600);</v>
      </c>
      <c r="H94" t="str">
        <f>"Beacon.Put(115,0,1"&amp;TEXT(M電入力!$I95,"00")&amp;");"</f>
        <v>Beacon.Put(115,0,100);</v>
      </c>
      <c r="I94" t="str">
        <f>"Beacon.Put(115,0,2"&amp;TEXT(M電入力!$I96,"00")&amp;");"</f>
        <v>Beacon.Put(115,0,200);</v>
      </c>
      <c r="J94" t="str">
        <f>"Beacon.Put(115,0,3"&amp;TEXT(M電入力!$I97,"00")&amp;");"</f>
        <v>Beacon.Put(115,0,300);</v>
      </c>
      <c r="K94" t="str">
        <f>"Beacon.Put(115,0,4"&amp;TEXT(M電入力!$I98,"00")&amp;");"</f>
        <v>Beacon.Put(115,0,400);</v>
      </c>
      <c r="L94" t="str">
        <f>"Beacon.Put(115,0,5"&amp;TEXT(M電入力!$I99,"00")&amp;");"</f>
        <v>Beacon.Put(115,0,500);</v>
      </c>
      <c r="M94" t="str">
        <f>"Beacon.Put(115,0,6"&amp;TEXT(M電入力!$I100,"00")&amp;");"</f>
        <v>Beacon.Put(115,0,600);</v>
      </c>
      <c r="N94" t="str">
        <f>"Beacon.Put(116,0,1"&amp;M電入力!$AE95&amp;");"</f>
        <v>Beacon.Put(116,0,10000);</v>
      </c>
      <c r="O94" t="str">
        <f>"Beacon.Put(116,0,2"&amp;M電入力!$AE96&amp;");"</f>
        <v>Beacon.Put(116,0,20000);</v>
      </c>
      <c r="P94" t="str">
        <f>"Beacon.Put(116,0,3"&amp;M電入力!$AE97&amp;");"</f>
        <v>Beacon.Put(116,0,30000);</v>
      </c>
      <c r="Q94" t="str">
        <f>"Beacon.Put(116,0,4"&amp;M電入力!$AE98&amp;");"</f>
        <v>Beacon.Put(116,0,40000);</v>
      </c>
      <c r="R94" t="str">
        <f>"Beacon.Put(116,0,5"&amp;M電入力!$AE99&amp;");"</f>
        <v>Beacon.Put(116,0,50000);</v>
      </c>
      <c r="S94" t="str">
        <f>"Beacon.Put(116,0,6"&amp;M電入力!$AE100&amp;");"</f>
        <v>Beacon.Put(116,0,60000);</v>
      </c>
    </row>
    <row r="95" spans="1:19">
      <c r="A95" t="str">
        <f>M電入力!C96&amp;"+25;"</f>
        <v>+25;</v>
      </c>
      <c r="B95" t="str">
        <f>"Beacon.Put(114,0,1"&amp;TEXT(M電入力!$H96,"00")&amp;");"</f>
        <v>Beacon.Put(114,0,100);</v>
      </c>
      <c r="C95" t="str">
        <f>"Beacon.Put(114,0,2"&amp;TEXT(M電入力!$H97,"00")&amp;");"</f>
        <v>Beacon.Put(114,0,200);</v>
      </c>
      <c r="D95" t="str">
        <f>"Beacon.Put(114,0,3"&amp;TEXT(M電入力!$H98,"00")&amp;");"</f>
        <v>Beacon.Put(114,0,300);</v>
      </c>
      <c r="E95" t="str">
        <f>"Beacon.Put(114,0,4"&amp;TEXT(M電入力!$H99,"00")&amp;");"</f>
        <v>Beacon.Put(114,0,400);</v>
      </c>
      <c r="F95" t="str">
        <f>"Beacon.Put(114,0,5"&amp;TEXT(M電入力!$H100,"00")&amp;");"</f>
        <v>Beacon.Put(114,0,500);</v>
      </c>
      <c r="G95" t="str">
        <f>"Beacon.Put(114,0,6"&amp;TEXT(M電入力!$H101,"00")&amp;");"</f>
        <v>Beacon.Put(114,0,600);</v>
      </c>
      <c r="H95" t="str">
        <f>"Beacon.Put(115,0,1"&amp;TEXT(M電入力!$I96,"00")&amp;");"</f>
        <v>Beacon.Put(115,0,100);</v>
      </c>
      <c r="I95" t="str">
        <f>"Beacon.Put(115,0,2"&amp;TEXT(M電入力!$I97,"00")&amp;");"</f>
        <v>Beacon.Put(115,0,200);</v>
      </c>
      <c r="J95" t="str">
        <f>"Beacon.Put(115,0,3"&amp;TEXT(M電入力!$I98,"00")&amp;");"</f>
        <v>Beacon.Put(115,0,300);</v>
      </c>
      <c r="K95" t="str">
        <f>"Beacon.Put(115,0,4"&amp;TEXT(M電入力!$I99,"00")&amp;");"</f>
        <v>Beacon.Put(115,0,400);</v>
      </c>
      <c r="L95" t="str">
        <f>"Beacon.Put(115,0,5"&amp;TEXT(M電入力!$I100,"00")&amp;");"</f>
        <v>Beacon.Put(115,0,500);</v>
      </c>
      <c r="M95" t="str">
        <f>"Beacon.Put(115,0,6"&amp;TEXT(M電入力!$I101,"00")&amp;");"</f>
        <v>Beacon.Put(115,0,600);</v>
      </c>
      <c r="N95" t="str">
        <f>"Beacon.Put(116,0,1"&amp;M電入力!$AE96&amp;");"</f>
        <v>Beacon.Put(116,0,10000);</v>
      </c>
      <c r="O95" t="str">
        <f>"Beacon.Put(116,0,2"&amp;M電入力!$AE97&amp;");"</f>
        <v>Beacon.Put(116,0,20000);</v>
      </c>
      <c r="P95" t="str">
        <f>"Beacon.Put(116,0,3"&amp;M電入力!$AE98&amp;");"</f>
        <v>Beacon.Put(116,0,30000);</v>
      </c>
      <c r="Q95" t="str">
        <f>"Beacon.Put(116,0,4"&amp;M電入力!$AE99&amp;");"</f>
        <v>Beacon.Put(116,0,40000);</v>
      </c>
      <c r="R95" t="str">
        <f>"Beacon.Put(116,0,5"&amp;M電入力!$AE100&amp;");"</f>
        <v>Beacon.Put(116,0,50000);</v>
      </c>
      <c r="S95" t="str">
        <f>"Beacon.Put(116,0,6"&amp;M電入力!$AE101&amp;");"</f>
        <v>Beacon.Put(116,0,60000);</v>
      </c>
    </row>
    <row r="96" spans="1:19">
      <c r="A96" t="str">
        <f>M電入力!C97&amp;"+25;"</f>
        <v>+25;</v>
      </c>
      <c r="B96" t="str">
        <f>"Beacon.Put(114,0,1"&amp;TEXT(M電入力!$H97,"00")&amp;");"</f>
        <v>Beacon.Put(114,0,100);</v>
      </c>
      <c r="C96" t="str">
        <f>"Beacon.Put(114,0,2"&amp;TEXT(M電入力!$H98,"00")&amp;");"</f>
        <v>Beacon.Put(114,0,200);</v>
      </c>
      <c r="D96" t="str">
        <f>"Beacon.Put(114,0,3"&amp;TEXT(M電入力!$H99,"00")&amp;");"</f>
        <v>Beacon.Put(114,0,300);</v>
      </c>
      <c r="E96" t="str">
        <f>"Beacon.Put(114,0,4"&amp;TEXT(M電入力!$H100,"00")&amp;");"</f>
        <v>Beacon.Put(114,0,400);</v>
      </c>
      <c r="F96" t="str">
        <f>"Beacon.Put(114,0,5"&amp;TEXT(M電入力!$H101,"00")&amp;");"</f>
        <v>Beacon.Put(114,0,500);</v>
      </c>
      <c r="G96" t="str">
        <f>"Beacon.Put(114,0,6"&amp;TEXT(M電入力!$H102,"00")&amp;");"</f>
        <v>Beacon.Put(114,0,600);</v>
      </c>
      <c r="H96" t="str">
        <f>"Beacon.Put(115,0,1"&amp;TEXT(M電入力!$I97,"00")&amp;");"</f>
        <v>Beacon.Put(115,0,100);</v>
      </c>
      <c r="I96" t="str">
        <f>"Beacon.Put(115,0,2"&amp;TEXT(M電入力!$I98,"00")&amp;");"</f>
        <v>Beacon.Put(115,0,200);</v>
      </c>
      <c r="J96" t="str">
        <f>"Beacon.Put(115,0,3"&amp;TEXT(M電入力!$I99,"00")&amp;");"</f>
        <v>Beacon.Put(115,0,300);</v>
      </c>
      <c r="K96" t="str">
        <f>"Beacon.Put(115,0,4"&amp;TEXT(M電入力!$I100,"00")&amp;");"</f>
        <v>Beacon.Put(115,0,400);</v>
      </c>
      <c r="L96" t="str">
        <f>"Beacon.Put(115,0,5"&amp;TEXT(M電入力!$I101,"00")&amp;");"</f>
        <v>Beacon.Put(115,0,500);</v>
      </c>
      <c r="M96" t="str">
        <f>"Beacon.Put(115,0,6"&amp;TEXT(M電入力!$I102,"00")&amp;");"</f>
        <v>Beacon.Put(115,0,600);</v>
      </c>
      <c r="N96" t="str">
        <f>"Beacon.Put(116,0,1"&amp;M電入力!$AE97&amp;");"</f>
        <v>Beacon.Put(116,0,10000);</v>
      </c>
      <c r="O96" t="str">
        <f>"Beacon.Put(116,0,2"&amp;M電入力!$AE98&amp;");"</f>
        <v>Beacon.Put(116,0,20000);</v>
      </c>
      <c r="P96" t="str">
        <f>"Beacon.Put(116,0,3"&amp;M電入力!$AE99&amp;");"</f>
        <v>Beacon.Put(116,0,30000);</v>
      </c>
      <c r="Q96" t="str">
        <f>"Beacon.Put(116,0,4"&amp;M電入力!$AE100&amp;");"</f>
        <v>Beacon.Put(116,0,40000);</v>
      </c>
      <c r="R96" t="str">
        <f>"Beacon.Put(116,0,5"&amp;M電入力!$AE101&amp;");"</f>
        <v>Beacon.Put(116,0,50000);</v>
      </c>
      <c r="S96" t="str">
        <f>"Beacon.Put(116,0,6"&amp;M電入力!$AE102&amp;");"</f>
        <v>Beacon.Put(116,0,60000);</v>
      </c>
    </row>
    <row r="97" spans="1:19">
      <c r="A97" t="str">
        <f>M電入力!C98&amp;"+25;"</f>
        <v>+25;</v>
      </c>
      <c r="B97" t="str">
        <f>"Beacon.Put(114,0,1"&amp;TEXT(M電入力!$H98,"00")&amp;");"</f>
        <v>Beacon.Put(114,0,100);</v>
      </c>
      <c r="C97" t="str">
        <f>"Beacon.Put(114,0,2"&amp;TEXT(M電入力!$H99,"00")&amp;");"</f>
        <v>Beacon.Put(114,0,200);</v>
      </c>
      <c r="D97" t="str">
        <f>"Beacon.Put(114,0,3"&amp;TEXT(M電入力!$H100,"00")&amp;");"</f>
        <v>Beacon.Put(114,0,300);</v>
      </c>
      <c r="E97" t="str">
        <f>"Beacon.Put(114,0,4"&amp;TEXT(M電入力!$H101,"00")&amp;");"</f>
        <v>Beacon.Put(114,0,400);</v>
      </c>
      <c r="F97" t="str">
        <f>"Beacon.Put(114,0,5"&amp;TEXT(M電入力!$H102,"00")&amp;");"</f>
        <v>Beacon.Put(114,0,500);</v>
      </c>
      <c r="G97" t="str">
        <f>"Beacon.Put(114,0,6"&amp;TEXT(M電入力!$H103,"00")&amp;");"</f>
        <v>Beacon.Put(114,0,600);</v>
      </c>
      <c r="H97" t="str">
        <f>"Beacon.Put(115,0,1"&amp;TEXT(M電入力!$I98,"00")&amp;");"</f>
        <v>Beacon.Put(115,0,100);</v>
      </c>
      <c r="I97" t="str">
        <f>"Beacon.Put(115,0,2"&amp;TEXT(M電入力!$I99,"00")&amp;");"</f>
        <v>Beacon.Put(115,0,200);</v>
      </c>
      <c r="J97" t="str">
        <f>"Beacon.Put(115,0,3"&amp;TEXT(M電入力!$I100,"00")&amp;");"</f>
        <v>Beacon.Put(115,0,300);</v>
      </c>
      <c r="K97" t="str">
        <f>"Beacon.Put(115,0,4"&amp;TEXT(M電入力!$I101,"00")&amp;");"</f>
        <v>Beacon.Put(115,0,400);</v>
      </c>
      <c r="L97" t="str">
        <f>"Beacon.Put(115,0,5"&amp;TEXT(M電入力!$I102,"00")&amp;");"</f>
        <v>Beacon.Put(115,0,500);</v>
      </c>
      <c r="M97" t="str">
        <f>"Beacon.Put(115,0,6"&amp;TEXT(M電入力!$I103,"00")&amp;");"</f>
        <v>Beacon.Put(115,0,600);</v>
      </c>
      <c r="N97" t="str">
        <f>"Beacon.Put(116,0,1"&amp;M電入力!$AE98&amp;");"</f>
        <v>Beacon.Put(116,0,10000);</v>
      </c>
      <c r="O97" t="str">
        <f>"Beacon.Put(116,0,2"&amp;M電入力!$AE99&amp;");"</f>
        <v>Beacon.Put(116,0,20000);</v>
      </c>
      <c r="P97" t="str">
        <f>"Beacon.Put(116,0,3"&amp;M電入力!$AE100&amp;");"</f>
        <v>Beacon.Put(116,0,30000);</v>
      </c>
      <c r="Q97" t="str">
        <f>"Beacon.Put(116,0,4"&amp;M電入力!$AE101&amp;");"</f>
        <v>Beacon.Put(116,0,40000);</v>
      </c>
      <c r="R97" t="str">
        <f>"Beacon.Put(116,0,5"&amp;M電入力!$AE102&amp;");"</f>
        <v>Beacon.Put(116,0,50000);</v>
      </c>
      <c r="S97" t="str">
        <f>"Beacon.Put(116,0,6"&amp;M電入力!$AE103&amp;");"</f>
        <v>Beacon.Put(116,0,60000);</v>
      </c>
    </row>
    <row r="98" spans="1:19">
      <c r="A98" t="str">
        <f>M電入力!C99&amp;"+25;"</f>
        <v>+25;</v>
      </c>
      <c r="B98" t="str">
        <f>"Beacon.Put(114,0,1"&amp;TEXT(M電入力!$H99,"00")&amp;");"</f>
        <v>Beacon.Put(114,0,100);</v>
      </c>
      <c r="C98" t="str">
        <f>"Beacon.Put(114,0,2"&amp;TEXT(M電入力!$H100,"00")&amp;");"</f>
        <v>Beacon.Put(114,0,200);</v>
      </c>
      <c r="D98" t="str">
        <f>"Beacon.Put(114,0,3"&amp;TEXT(M電入力!$H101,"00")&amp;");"</f>
        <v>Beacon.Put(114,0,300);</v>
      </c>
      <c r="E98" t="str">
        <f>"Beacon.Put(114,0,4"&amp;TEXT(M電入力!$H102,"00")&amp;");"</f>
        <v>Beacon.Put(114,0,400);</v>
      </c>
      <c r="F98" t="str">
        <f>"Beacon.Put(114,0,5"&amp;TEXT(M電入力!$H103,"00")&amp;");"</f>
        <v>Beacon.Put(114,0,500);</v>
      </c>
      <c r="G98" t="str">
        <f>"Beacon.Put(114,0,6"&amp;TEXT(M電入力!$H104,"00")&amp;");"</f>
        <v>Beacon.Put(114,0,600);</v>
      </c>
      <c r="H98" t="str">
        <f>"Beacon.Put(115,0,1"&amp;TEXT(M電入力!$I99,"00")&amp;");"</f>
        <v>Beacon.Put(115,0,100);</v>
      </c>
      <c r="I98" t="str">
        <f>"Beacon.Put(115,0,2"&amp;TEXT(M電入力!$I100,"00")&amp;");"</f>
        <v>Beacon.Put(115,0,200);</v>
      </c>
      <c r="J98" t="str">
        <f>"Beacon.Put(115,0,3"&amp;TEXT(M電入力!$I101,"00")&amp;");"</f>
        <v>Beacon.Put(115,0,300);</v>
      </c>
      <c r="K98" t="str">
        <f>"Beacon.Put(115,0,4"&amp;TEXT(M電入力!$I102,"00")&amp;");"</f>
        <v>Beacon.Put(115,0,400);</v>
      </c>
      <c r="L98" t="str">
        <f>"Beacon.Put(115,0,5"&amp;TEXT(M電入力!$I103,"00")&amp;");"</f>
        <v>Beacon.Put(115,0,500);</v>
      </c>
      <c r="M98" t="str">
        <f>"Beacon.Put(115,0,6"&amp;TEXT(M電入力!$I104,"00")&amp;");"</f>
        <v>Beacon.Put(115,0,600);</v>
      </c>
      <c r="N98" t="str">
        <f>"Beacon.Put(116,0,1"&amp;M電入力!$AE99&amp;");"</f>
        <v>Beacon.Put(116,0,10000);</v>
      </c>
      <c r="O98" t="str">
        <f>"Beacon.Put(116,0,2"&amp;M電入力!$AE100&amp;");"</f>
        <v>Beacon.Put(116,0,20000);</v>
      </c>
      <c r="P98" t="str">
        <f>"Beacon.Put(116,0,3"&amp;M電入力!$AE101&amp;");"</f>
        <v>Beacon.Put(116,0,30000);</v>
      </c>
      <c r="Q98" t="str">
        <f>"Beacon.Put(116,0,4"&amp;M電入力!$AE102&amp;");"</f>
        <v>Beacon.Put(116,0,40000);</v>
      </c>
      <c r="R98" t="str">
        <f>"Beacon.Put(116,0,5"&amp;M電入力!$AE103&amp;");"</f>
        <v>Beacon.Put(116,0,50000);</v>
      </c>
      <c r="S98" t="str">
        <f>"Beacon.Put(116,0,6"&amp;M電入力!$AE104&amp;");"</f>
        <v>Beacon.Put(116,0,60000);</v>
      </c>
    </row>
    <row r="99" spans="1:19">
      <c r="A99" t="str">
        <f>M電入力!C100&amp;"+25;"</f>
        <v>+25;</v>
      </c>
      <c r="B99" t="str">
        <f>"Beacon.Put(114,0,1"&amp;TEXT(M電入力!$H100,"00")&amp;");"</f>
        <v>Beacon.Put(114,0,100);</v>
      </c>
      <c r="C99" t="str">
        <f>"Beacon.Put(114,0,2"&amp;TEXT(M電入力!$H101,"00")&amp;");"</f>
        <v>Beacon.Put(114,0,200);</v>
      </c>
      <c r="D99" t="str">
        <f>"Beacon.Put(114,0,3"&amp;TEXT(M電入力!$H102,"00")&amp;");"</f>
        <v>Beacon.Put(114,0,300);</v>
      </c>
      <c r="E99" t="str">
        <f>"Beacon.Put(114,0,4"&amp;TEXT(M電入力!$H103,"00")&amp;");"</f>
        <v>Beacon.Put(114,0,400);</v>
      </c>
      <c r="F99" t="str">
        <f>"Beacon.Put(114,0,5"&amp;TEXT(M電入力!$H104,"00")&amp;");"</f>
        <v>Beacon.Put(114,0,500);</v>
      </c>
      <c r="G99" t="str">
        <f>"Beacon.Put(114,0,6"&amp;TEXT(M電入力!$H105,"00")&amp;");"</f>
        <v>Beacon.Put(114,0,600);</v>
      </c>
      <c r="H99" t="str">
        <f>"Beacon.Put(115,0,1"&amp;TEXT(M電入力!$I100,"00")&amp;");"</f>
        <v>Beacon.Put(115,0,100);</v>
      </c>
      <c r="I99" t="str">
        <f>"Beacon.Put(115,0,2"&amp;TEXT(M電入力!$I101,"00")&amp;");"</f>
        <v>Beacon.Put(115,0,200);</v>
      </c>
      <c r="J99" t="str">
        <f>"Beacon.Put(115,0,3"&amp;TEXT(M電入力!$I102,"00")&amp;");"</f>
        <v>Beacon.Put(115,0,300);</v>
      </c>
      <c r="K99" t="str">
        <f>"Beacon.Put(115,0,4"&amp;TEXT(M電入力!$I103,"00")&amp;");"</f>
        <v>Beacon.Put(115,0,400);</v>
      </c>
      <c r="L99" t="str">
        <f>"Beacon.Put(115,0,5"&amp;TEXT(M電入力!$I104,"00")&amp;");"</f>
        <v>Beacon.Put(115,0,500);</v>
      </c>
      <c r="M99" t="str">
        <f>"Beacon.Put(115,0,6"&amp;TEXT(M電入力!$I105,"00")&amp;");"</f>
        <v>Beacon.Put(115,0,600);</v>
      </c>
      <c r="N99" t="str">
        <f>"Beacon.Put(116,0,1"&amp;M電入力!$AE100&amp;");"</f>
        <v>Beacon.Put(116,0,10000);</v>
      </c>
      <c r="O99" t="str">
        <f>"Beacon.Put(116,0,2"&amp;M電入力!$AE101&amp;");"</f>
        <v>Beacon.Put(116,0,20000);</v>
      </c>
      <c r="P99" t="str">
        <f>"Beacon.Put(116,0,3"&amp;M電入力!$AE102&amp;");"</f>
        <v>Beacon.Put(116,0,30000);</v>
      </c>
      <c r="Q99" t="str">
        <f>"Beacon.Put(116,0,4"&amp;M電入力!$AE103&amp;");"</f>
        <v>Beacon.Put(116,0,40000);</v>
      </c>
      <c r="R99" t="str">
        <f>"Beacon.Put(116,0,5"&amp;M電入力!$AE104&amp;");"</f>
        <v>Beacon.Put(116,0,50000);</v>
      </c>
      <c r="S99" t="str">
        <f>"Beacon.Put(116,0,6"&amp;M電入力!$AE105&amp;");"</f>
        <v>Beacon.Put(116,0,60000);</v>
      </c>
    </row>
    <row r="100" spans="1:19">
      <c r="A100" t="str">
        <f>M電入力!C101&amp;"+25;"</f>
        <v>+25;</v>
      </c>
      <c r="B100" t="str">
        <f>"Beacon.Put(114,0,1"&amp;TEXT(M電入力!$H101,"00")&amp;");"</f>
        <v>Beacon.Put(114,0,100);</v>
      </c>
      <c r="C100" t="str">
        <f>"Beacon.Put(114,0,2"&amp;TEXT(M電入力!$H102,"00")&amp;");"</f>
        <v>Beacon.Put(114,0,200);</v>
      </c>
      <c r="D100" t="str">
        <f>"Beacon.Put(114,0,3"&amp;TEXT(M電入力!$H103,"00")&amp;");"</f>
        <v>Beacon.Put(114,0,300);</v>
      </c>
      <c r="E100" t="str">
        <f>"Beacon.Put(114,0,4"&amp;TEXT(M電入力!$H104,"00")&amp;");"</f>
        <v>Beacon.Put(114,0,400);</v>
      </c>
      <c r="F100" t="str">
        <f>"Beacon.Put(114,0,5"&amp;TEXT(M電入力!$H105,"00")&amp;");"</f>
        <v>Beacon.Put(114,0,500);</v>
      </c>
      <c r="G100" t="str">
        <f>"Beacon.Put(114,0,6"&amp;TEXT(M電入力!$H106,"00")&amp;");"</f>
        <v>Beacon.Put(114,0,600);</v>
      </c>
      <c r="H100" t="str">
        <f>"Beacon.Put(115,0,1"&amp;TEXT(M電入力!$I101,"00")&amp;");"</f>
        <v>Beacon.Put(115,0,100);</v>
      </c>
      <c r="I100" t="str">
        <f>"Beacon.Put(115,0,2"&amp;TEXT(M電入力!$I102,"00")&amp;");"</f>
        <v>Beacon.Put(115,0,200);</v>
      </c>
      <c r="J100" t="str">
        <f>"Beacon.Put(115,0,3"&amp;TEXT(M電入力!$I103,"00")&amp;");"</f>
        <v>Beacon.Put(115,0,300);</v>
      </c>
      <c r="K100" t="str">
        <f>"Beacon.Put(115,0,4"&amp;TEXT(M電入力!$I104,"00")&amp;");"</f>
        <v>Beacon.Put(115,0,400);</v>
      </c>
      <c r="L100" t="str">
        <f>"Beacon.Put(115,0,5"&amp;TEXT(M電入力!$I105,"00")&amp;");"</f>
        <v>Beacon.Put(115,0,500);</v>
      </c>
      <c r="M100" t="str">
        <f>"Beacon.Put(115,0,6"&amp;TEXT(M電入力!$I106,"00")&amp;");"</f>
        <v>Beacon.Put(115,0,600);</v>
      </c>
      <c r="N100" t="str">
        <f>"Beacon.Put(116,0,1"&amp;M電入力!$AE101&amp;");"</f>
        <v>Beacon.Put(116,0,10000);</v>
      </c>
      <c r="O100" t="str">
        <f>"Beacon.Put(116,0,2"&amp;M電入力!$AE102&amp;");"</f>
        <v>Beacon.Put(116,0,20000);</v>
      </c>
      <c r="P100" t="str">
        <f>"Beacon.Put(116,0,3"&amp;M電入力!$AE103&amp;");"</f>
        <v>Beacon.Put(116,0,30000);</v>
      </c>
      <c r="Q100" t="str">
        <f>"Beacon.Put(116,0,4"&amp;M電入力!$AE104&amp;");"</f>
        <v>Beacon.Put(116,0,40000);</v>
      </c>
      <c r="R100" t="str">
        <f>"Beacon.Put(116,0,5"&amp;M電入力!$AE105&amp;");"</f>
        <v>Beacon.Put(116,0,50000);</v>
      </c>
      <c r="S100" t="str">
        <f>"Beacon.Put(116,0,6"&amp;M電入力!$AE106&amp;");"</f>
        <v>Beacon.Put(116,0,60000);</v>
      </c>
    </row>
    <row r="101" spans="1:19">
      <c r="A101" t="str">
        <f>M電入力!C102&amp;"+25;"</f>
        <v>+25;</v>
      </c>
      <c r="B101" t="str">
        <f>"Beacon.Put(114,0,1"&amp;TEXT(M電入力!$H102,"00")&amp;");"</f>
        <v>Beacon.Put(114,0,100);</v>
      </c>
      <c r="C101" t="str">
        <f>"Beacon.Put(114,0,2"&amp;TEXT(M電入力!$H103,"00")&amp;");"</f>
        <v>Beacon.Put(114,0,200);</v>
      </c>
      <c r="D101" t="str">
        <f>"Beacon.Put(114,0,3"&amp;TEXT(M電入力!$H104,"00")&amp;");"</f>
        <v>Beacon.Put(114,0,300);</v>
      </c>
      <c r="E101" t="str">
        <f>"Beacon.Put(114,0,4"&amp;TEXT(M電入力!$H105,"00")&amp;");"</f>
        <v>Beacon.Put(114,0,400);</v>
      </c>
      <c r="F101" t="str">
        <f>"Beacon.Put(114,0,5"&amp;TEXT(M電入力!$H106,"00")&amp;");"</f>
        <v>Beacon.Put(114,0,500);</v>
      </c>
      <c r="G101" t="str">
        <f>"Beacon.Put(114,0,6"&amp;TEXT(M電入力!$H107,"00")&amp;");"</f>
        <v>Beacon.Put(114,0,600);</v>
      </c>
      <c r="H101" t="str">
        <f>"Beacon.Put(115,0,1"&amp;TEXT(M電入力!$I102,"00")&amp;");"</f>
        <v>Beacon.Put(115,0,100);</v>
      </c>
      <c r="I101" t="str">
        <f>"Beacon.Put(115,0,2"&amp;TEXT(M電入力!$I103,"00")&amp;");"</f>
        <v>Beacon.Put(115,0,200);</v>
      </c>
      <c r="J101" t="str">
        <f>"Beacon.Put(115,0,3"&amp;TEXT(M電入力!$I104,"00")&amp;");"</f>
        <v>Beacon.Put(115,0,300);</v>
      </c>
      <c r="K101" t="str">
        <f>"Beacon.Put(115,0,4"&amp;TEXT(M電入力!$I105,"00")&amp;");"</f>
        <v>Beacon.Put(115,0,400);</v>
      </c>
      <c r="L101" t="str">
        <f>"Beacon.Put(115,0,5"&amp;TEXT(M電入力!$I106,"00")&amp;");"</f>
        <v>Beacon.Put(115,0,500);</v>
      </c>
      <c r="M101" t="str">
        <f>"Beacon.Put(115,0,6"&amp;TEXT(M電入力!$I107,"00")&amp;");"</f>
        <v>Beacon.Put(115,0,600);</v>
      </c>
      <c r="N101" t="str">
        <f>"Beacon.Put(116,0,1"&amp;M電入力!$AE102&amp;");"</f>
        <v>Beacon.Put(116,0,10000);</v>
      </c>
      <c r="O101" t="str">
        <f>"Beacon.Put(116,0,2"&amp;M電入力!$AE103&amp;");"</f>
        <v>Beacon.Put(116,0,20000);</v>
      </c>
      <c r="P101" t="str">
        <f>"Beacon.Put(116,0,3"&amp;M電入力!$AE104&amp;");"</f>
        <v>Beacon.Put(116,0,30000);</v>
      </c>
      <c r="Q101" t="str">
        <f>"Beacon.Put(116,0,4"&amp;M電入力!$AE105&amp;");"</f>
        <v>Beacon.Put(116,0,40000);</v>
      </c>
      <c r="R101" t="str">
        <f>"Beacon.Put(116,0,5"&amp;M電入力!$AE106&amp;");"</f>
        <v>Beacon.Put(116,0,50000);</v>
      </c>
      <c r="S101" t="str">
        <f>"Beacon.Put(116,0,6"&amp;M電入力!$AE107&amp;");"</f>
        <v>Beacon.Put(116,0,60000);</v>
      </c>
    </row>
    <row r="102" spans="1:19">
      <c r="A102" t="str">
        <f>M電入力!C103&amp;"+25;"</f>
        <v>+25;</v>
      </c>
      <c r="B102" t="str">
        <f>"Beacon.Put(114,0,1"&amp;TEXT(M電入力!$H103,"00")&amp;");"</f>
        <v>Beacon.Put(114,0,100);</v>
      </c>
      <c r="C102" t="str">
        <f>"Beacon.Put(114,0,2"&amp;TEXT(M電入力!$H104,"00")&amp;");"</f>
        <v>Beacon.Put(114,0,200);</v>
      </c>
      <c r="D102" t="str">
        <f>"Beacon.Put(114,0,3"&amp;TEXT(M電入力!$H105,"00")&amp;");"</f>
        <v>Beacon.Put(114,0,300);</v>
      </c>
      <c r="E102" t="str">
        <f>"Beacon.Put(114,0,4"&amp;TEXT(M電入力!$H106,"00")&amp;");"</f>
        <v>Beacon.Put(114,0,400);</v>
      </c>
      <c r="F102" t="str">
        <f>"Beacon.Put(114,0,5"&amp;TEXT(M電入力!$H107,"00")&amp;");"</f>
        <v>Beacon.Put(114,0,500);</v>
      </c>
      <c r="G102" t="str">
        <f>"Beacon.Put(114,0,6"&amp;TEXT(M電入力!$H108,"00")&amp;");"</f>
        <v>Beacon.Put(114,0,600);</v>
      </c>
      <c r="H102" t="str">
        <f>"Beacon.Put(115,0,1"&amp;TEXT(M電入力!$I103,"00")&amp;");"</f>
        <v>Beacon.Put(115,0,100);</v>
      </c>
      <c r="I102" t="str">
        <f>"Beacon.Put(115,0,2"&amp;TEXT(M電入力!$I104,"00")&amp;");"</f>
        <v>Beacon.Put(115,0,200);</v>
      </c>
      <c r="J102" t="str">
        <f>"Beacon.Put(115,0,3"&amp;TEXT(M電入力!$I105,"00")&amp;");"</f>
        <v>Beacon.Put(115,0,300);</v>
      </c>
      <c r="K102" t="str">
        <f>"Beacon.Put(115,0,4"&amp;TEXT(M電入力!$I106,"00")&amp;");"</f>
        <v>Beacon.Put(115,0,400);</v>
      </c>
      <c r="L102" t="str">
        <f>"Beacon.Put(115,0,5"&amp;TEXT(M電入力!$I107,"00")&amp;");"</f>
        <v>Beacon.Put(115,0,500);</v>
      </c>
      <c r="M102" t="str">
        <f>"Beacon.Put(115,0,6"&amp;TEXT(M電入力!$I108,"00")&amp;");"</f>
        <v>Beacon.Put(115,0,600);</v>
      </c>
      <c r="N102" t="str">
        <f>"Beacon.Put(116,0,1"&amp;M電入力!$AE103&amp;");"</f>
        <v>Beacon.Put(116,0,10000);</v>
      </c>
      <c r="O102" t="str">
        <f>"Beacon.Put(116,0,2"&amp;M電入力!$AE104&amp;");"</f>
        <v>Beacon.Put(116,0,20000);</v>
      </c>
      <c r="P102" t="str">
        <f>"Beacon.Put(116,0,3"&amp;M電入力!$AE105&amp;");"</f>
        <v>Beacon.Put(116,0,30000);</v>
      </c>
      <c r="Q102" t="str">
        <f>"Beacon.Put(116,0,4"&amp;M電入力!$AE106&amp;");"</f>
        <v>Beacon.Put(116,0,40000);</v>
      </c>
      <c r="R102" t="str">
        <f>"Beacon.Put(116,0,5"&amp;M電入力!$AE107&amp;");"</f>
        <v>Beacon.Put(116,0,50000);</v>
      </c>
      <c r="S102" t="str">
        <f>"Beacon.Put(116,0,6"&amp;M電入力!$AE108&amp;");"</f>
        <v>Beacon.Put(116,0,60000);</v>
      </c>
    </row>
  </sheetData>
  <pageMargins left="0.7" right="0.7" top="0.75" bottom="0.75" header="0.3" footer="0.3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AAE7A0-50BB-4FA0-B450-73BB63E41B0D}">
  <dimension ref="A1:G102"/>
  <sheetViews>
    <sheetView workbookViewId="0"/>
  </sheetViews>
  <sheetFormatPr defaultRowHeight="14.4"/>
  <cols>
    <col min="1" max="1" width="14.21875" bestFit="1" customWidth="1"/>
    <col min="2" max="7" width="21.109375" bestFit="1" customWidth="1"/>
  </cols>
  <sheetData>
    <row r="1" spans="1:7">
      <c r="A1" t="s">
        <v>37</v>
      </c>
    </row>
    <row r="2" spans="1:7">
      <c r="A2" s="2" t="s">
        <v>74</v>
      </c>
    </row>
    <row r="3" spans="1:7">
      <c r="A3" t="str">
        <f>E電入力!C4&amp;";"</f>
        <v>168950;</v>
      </c>
      <c r="B3" t="str">
        <f ca="1">"Beacon.Put(110,0,1"&amp;TEXT(E電入力!$R4,"000")&amp;");"</f>
        <v>Beacon.Put(110,0,1058);</v>
      </c>
      <c r="C3" t="str">
        <f ca="1">"Beacon.Put(110,0,2"&amp;TEXT(E電入力!$S4,"000")&amp;");"</f>
        <v>Beacon.Put(110,0,2057);</v>
      </c>
      <c r="D3" t="str">
        <f ca="1">"Beacon.Put(110,0,3"&amp;TEXT(E電入力!$T4,"000")&amp;");"</f>
        <v>Beacon.Put(110,0,3056);</v>
      </c>
      <c r="E3" t="str">
        <f ca="1">"Beacon.Put(110,0,4"&amp;TEXT(E電入力!$U4,"000")&amp;");"</f>
        <v>Beacon.Put(110,0,4055);</v>
      </c>
      <c r="F3" t="str">
        <f ca="1">"Beacon.Put(110,0,5"&amp;TEXT(E電入力!$V4,"000")&amp;");"</f>
        <v>Beacon.Put(110,0,5054);</v>
      </c>
      <c r="G3" t="str">
        <f ca="1">"Beacon.Put(110,0,6"&amp;TEXT(E電入力!$W4,"000")&amp;");"</f>
        <v>Beacon.Put(110,0,6053);</v>
      </c>
    </row>
    <row r="4" spans="1:7">
      <c r="A4" t="str">
        <f>E電入力!C5&amp;"+25;"</f>
        <v>172525+25;</v>
      </c>
      <c r="B4" t="str">
        <f ca="1">"Beacon.Put(110,0,1"&amp;TEXT(E電入力!$R5,"000")&amp;");"</f>
        <v>Beacon.Put(110,0,1057);</v>
      </c>
      <c r="C4" t="str">
        <f ca="1">"Beacon.Put(110,0,2"&amp;TEXT(E電入力!$S5,"000")&amp;");"</f>
        <v>Beacon.Put(110,0,2056);</v>
      </c>
      <c r="D4" t="str">
        <f ca="1">"Beacon.Put(110,0,3"&amp;TEXT(E電入力!$T5,"000")&amp;");"</f>
        <v>Beacon.Put(110,0,3055);</v>
      </c>
      <c r="E4" t="str">
        <f ca="1">"Beacon.Put(110,0,4"&amp;TEXT(E電入力!$U5,"000")&amp;");"</f>
        <v>Beacon.Put(110,0,4054);</v>
      </c>
      <c r="F4" t="str">
        <f ca="1">"Beacon.Put(110,0,5"&amp;TEXT(E電入力!$V5,"000")&amp;");"</f>
        <v>Beacon.Put(110,0,5053);</v>
      </c>
      <c r="G4" t="str">
        <f ca="1">"Beacon.Put(110,0,6"&amp;TEXT(E電入力!$W5,"000")&amp;");"</f>
        <v>Beacon.Put(110,0,6052);</v>
      </c>
    </row>
    <row r="5" spans="1:7">
      <c r="A5" t="str">
        <f>E電入力!C6&amp;"+25;"</f>
        <v>175225+25;</v>
      </c>
      <c r="B5" t="str">
        <f ca="1">"Beacon.Put(110,0,1"&amp;TEXT(E電入力!$R6,"000")&amp;");"</f>
        <v>Beacon.Put(110,0,1056);</v>
      </c>
      <c r="C5" t="str">
        <f ca="1">"Beacon.Put(110,0,2"&amp;TEXT(E電入力!$S6,"000")&amp;");"</f>
        <v>Beacon.Put(110,0,2055);</v>
      </c>
      <c r="D5" t="str">
        <f ca="1">"Beacon.Put(110,0,3"&amp;TEXT(E電入力!$T6,"000")&amp;");"</f>
        <v>Beacon.Put(110,0,3054);</v>
      </c>
      <c r="E5" t="str">
        <f ca="1">"Beacon.Put(110,0,4"&amp;TEXT(E電入力!$U6,"000")&amp;");"</f>
        <v>Beacon.Put(110,0,4053);</v>
      </c>
      <c r="F5" t="str">
        <f ca="1">"Beacon.Put(110,0,5"&amp;TEXT(E電入力!$V6,"000")&amp;");"</f>
        <v>Beacon.Put(110,0,5052);</v>
      </c>
      <c r="G5" t="str">
        <f ca="1">"Beacon.Put(110,0,6"&amp;TEXT(E電入力!$W6,"000")&amp;");"</f>
        <v>Beacon.Put(110,0,6051);</v>
      </c>
    </row>
    <row r="6" spans="1:7">
      <c r="A6" t="str">
        <f>E電入力!C7&amp;"+25;"</f>
        <v>179525+25;</v>
      </c>
      <c r="B6" t="str">
        <f ca="1">"Beacon.Put(110,0,1"&amp;TEXT(E電入力!$R7,"000")&amp;");"</f>
        <v>Beacon.Put(110,0,1055);</v>
      </c>
      <c r="C6" t="str">
        <f ca="1">"Beacon.Put(110,0,2"&amp;TEXT(E電入力!$S7,"000")&amp;");"</f>
        <v>Beacon.Put(110,0,2054);</v>
      </c>
      <c r="D6" t="str">
        <f ca="1">"Beacon.Put(110,0,3"&amp;TEXT(E電入力!$T7,"000")&amp;");"</f>
        <v>Beacon.Put(110,0,3053);</v>
      </c>
      <c r="E6" t="str">
        <f ca="1">"Beacon.Put(110,0,4"&amp;TEXT(E電入力!$U7,"000")&amp;");"</f>
        <v>Beacon.Put(110,0,4052);</v>
      </c>
      <c r="F6" t="str">
        <f ca="1">"Beacon.Put(110,0,5"&amp;TEXT(E電入力!$V7,"000")&amp;");"</f>
        <v>Beacon.Put(110,0,5051);</v>
      </c>
      <c r="G6" t="str">
        <f ca="1">"Beacon.Put(110,0,6"&amp;TEXT(E電入力!$W7,"000")&amp;");"</f>
        <v>Beacon.Put(110,0,6050);</v>
      </c>
    </row>
    <row r="7" spans="1:7">
      <c r="A7" t="str">
        <f>E電入力!C8&amp;"+25;"</f>
        <v>181975+25;</v>
      </c>
      <c r="B7" t="str">
        <f ca="1">"Beacon.Put(110,0,1"&amp;TEXT(E電入力!$R8,"000")&amp;");"</f>
        <v>Beacon.Put(110,0,1054);</v>
      </c>
      <c r="C7" t="str">
        <f ca="1">"Beacon.Put(110,0,2"&amp;TEXT(E電入力!$S8,"000")&amp;");"</f>
        <v>Beacon.Put(110,0,2053);</v>
      </c>
      <c r="D7" t="str">
        <f ca="1">"Beacon.Put(110,0,3"&amp;TEXT(E電入力!$T8,"000")&amp;");"</f>
        <v>Beacon.Put(110,0,3052);</v>
      </c>
      <c r="E7" t="str">
        <f ca="1">"Beacon.Put(110,0,4"&amp;TEXT(E電入力!$U8,"000")&amp;");"</f>
        <v>Beacon.Put(110,0,4051);</v>
      </c>
      <c r="F7" t="str">
        <f ca="1">"Beacon.Put(110,0,5"&amp;TEXT(E電入力!$V8,"000")&amp;");"</f>
        <v>Beacon.Put(110,0,5050);</v>
      </c>
      <c r="G7" t="str">
        <f ca="1">"Beacon.Put(110,0,6"&amp;TEXT(E電入力!$W8,"000")&amp;");"</f>
        <v>Beacon.Put(110,0,6049);</v>
      </c>
    </row>
    <row r="8" spans="1:7">
      <c r="A8" t="str">
        <f>E電入力!C9&amp;"+25;"</f>
        <v>185325+25;</v>
      </c>
      <c r="B8" t="str">
        <f ca="1">"Beacon.Put(110,0,1"&amp;TEXT(E電入力!$R9,"000")&amp;");"</f>
        <v>Beacon.Put(110,0,1053);</v>
      </c>
      <c r="C8" t="str">
        <f ca="1">"Beacon.Put(110,0,2"&amp;TEXT(E電入力!$S9,"000")&amp;");"</f>
        <v>Beacon.Put(110,0,2052);</v>
      </c>
      <c r="D8" t="str">
        <f ca="1">"Beacon.Put(110,0,3"&amp;TEXT(E電入力!$T9,"000")&amp;");"</f>
        <v>Beacon.Put(110,0,3051);</v>
      </c>
      <c r="E8" t="str">
        <f ca="1">"Beacon.Put(110,0,4"&amp;TEXT(E電入力!$U9,"000")&amp;");"</f>
        <v>Beacon.Put(110,0,4050);</v>
      </c>
      <c r="F8" t="str">
        <f ca="1">"Beacon.Put(110,0,5"&amp;TEXT(E電入力!$V9,"000")&amp;");"</f>
        <v>Beacon.Put(110,0,5049);</v>
      </c>
      <c r="G8" t="str">
        <f ca="1">"Beacon.Put(110,0,6"&amp;TEXT(E電入力!$W9,"000")&amp;");"</f>
        <v>Beacon.Put(110,0,6048);</v>
      </c>
    </row>
    <row r="9" spans="1:7">
      <c r="A9" t="str">
        <f>E電入力!C10&amp;"+25;"</f>
        <v>188425+25;</v>
      </c>
      <c r="B9" t="str">
        <f ca="1">"Beacon.Put(110,0,1"&amp;TEXT(E電入力!$R10,"000")&amp;");"</f>
        <v>Beacon.Put(110,0,1052);</v>
      </c>
      <c r="C9" t="str">
        <f ca="1">"Beacon.Put(110,0,2"&amp;TEXT(E電入力!$S10,"000")&amp;");"</f>
        <v>Beacon.Put(110,0,2051);</v>
      </c>
      <c r="D9" t="str">
        <f ca="1">"Beacon.Put(110,0,3"&amp;TEXT(E電入力!$T10,"000")&amp;");"</f>
        <v>Beacon.Put(110,0,3050);</v>
      </c>
      <c r="E9" t="str">
        <f ca="1">"Beacon.Put(110,0,4"&amp;TEXT(E電入力!$U10,"000")&amp;");"</f>
        <v>Beacon.Put(110,0,4049);</v>
      </c>
      <c r="F9" t="str">
        <f ca="1">"Beacon.Put(110,0,5"&amp;TEXT(E電入力!$V10,"000")&amp;");"</f>
        <v>Beacon.Put(110,0,5048);</v>
      </c>
      <c r="G9" t="str">
        <f ca="1">"Beacon.Put(110,0,6"&amp;TEXT(E電入力!$W10,"000")&amp;");"</f>
        <v>Beacon.Put(110,0,6047);</v>
      </c>
    </row>
    <row r="10" spans="1:7">
      <c r="A10" t="str">
        <f>E電入力!C11&amp;"+25;"</f>
        <v>190150+25;</v>
      </c>
      <c r="B10" t="str">
        <f ca="1">"Beacon.Put(110,0,1"&amp;TEXT(E電入力!$R11,"000")&amp;");"</f>
        <v>Beacon.Put(110,0,1051);</v>
      </c>
      <c r="C10" t="str">
        <f ca="1">"Beacon.Put(110,0,2"&amp;TEXT(E電入力!$S11,"000")&amp;");"</f>
        <v>Beacon.Put(110,0,2050);</v>
      </c>
      <c r="D10" t="str">
        <f ca="1">"Beacon.Put(110,0,3"&amp;TEXT(E電入力!$T11,"000")&amp;");"</f>
        <v>Beacon.Put(110,0,3049);</v>
      </c>
      <c r="E10" t="str">
        <f ca="1">"Beacon.Put(110,0,4"&amp;TEXT(E電入力!$U11,"000")&amp;");"</f>
        <v>Beacon.Put(110,0,4048);</v>
      </c>
      <c r="F10" t="str">
        <f ca="1">"Beacon.Put(110,0,5"&amp;TEXT(E電入力!$V11,"000")&amp;");"</f>
        <v>Beacon.Put(110,0,5047);</v>
      </c>
      <c r="G10" t="str">
        <f ca="1">"Beacon.Put(110,0,6"&amp;TEXT(E電入力!$W11,"000")&amp;");"</f>
        <v>Beacon.Put(110,0,6046);</v>
      </c>
    </row>
    <row r="11" spans="1:7">
      <c r="A11" t="str">
        <f>E電入力!C12&amp;"+25;"</f>
        <v>191625+25;</v>
      </c>
      <c r="B11" t="str">
        <f ca="1">"Beacon.Put(110,0,1"&amp;TEXT(E電入力!$R12,"000")&amp;");"</f>
        <v>Beacon.Put(110,0,1050);</v>
      </c>
      <c r="C11" t="str">
        <f ca="1">"Beacon.Put(110,0,2"&amp;TEXT(E電入力!$S12,"000")&amp;");"</f>
        <v>Beacon.Put(110,0,2049);</v>
      </c>
      <c r="D11" t="str">
        <f ca="1">"Beacon.Put(110,0,3"&amp;TEXT(E電入力!$T12,"000")&amp;");"</f>
        <v>Beacon.Put(110,0,3048);</v>
      </c>
      <c r="E11" t="str">
        <f ca="1">"Beacon.Put(110,0,4"&amp;TEXT(E電入力!$U12,"000")&amp;");"</f>
        <v>Beacon.Put(110,0,4047);</v>
      </c>
      <c r="F11" t="str">
        <f ca="1">"Beacon.Put(110,0,5"&amp;TEXT(E電入力!$V12,"000")&amp;");"</f>
        <v>Beacon.Put(110,0,5046);</v>
      </c>
      <c r="G11" t="str">
        <f ca="1">"Beacon.Put(110,0,6"&amp;TEXT(E電入力!$W12,"000")&amp;");"</f>
        <v>Beacon.Put(110,0,6045);</v>
      </c>
    </row>
    <row r="12" spans="1:7">
      <c r="A12" t="str">
        <f>E電入力!C13&amp;"+25;"</f>
        <v>193900+25;</v>
      </c>
      <c r="B12" t="str">
        <f ca="1">"Beacon.Put(110,0,1"&amp;TEXT(E電入力!$R13,"000")&amp;");"</f>
        <v>Beacon.Put(110,0,1049);</v>
      </c>
      <c r="C12" t="str">
        <f ca="1">"Beacon.Put(110,0,2"&amp;TEXT(E電入力!$S13,"000")&amp;");"</f>
        <v>Beacon.Put(110,0,2048);</v>
      </c>
      <c r="D12" t="str">
        <f ca="1">"Beacon.Put(110,0,3"&amp;TEXT(E電入力!$T13,"000")&amp;");"</f>
        <v>Beacon.Put(110,0,3047);</v>
      </c>
      <c r="E12" t="str">
        <f ca="1">"Beacon.Put(110,0,4"&amp;TEXT(E電入力!$U13,"000")&amp;");"</f>
        <v>Beacon.Put(110,0,4046);</v>
      </c>
      <c r="F12" t="str">
        <f ca="1">"Beacon.Put(110,0,5"&amp;TEXT(E電入力!$V13,"000")&amp;");"</f>
        <v>Beacon.Put(110,0,5045);</v>
      </c>
      <c r="G12" t="str">
        <f ca="1">"Beacon.Put(110,0,6"&amp;TEXT(E電入力!$W13,"000")&amp;");"</f>
        <v>Beacon.Put(110,0,6044);</v>
      </c>
    </row>
    <row r="13" spans="1:7">
      <c r="A13" t="str">
        <f>E電入力!C14&amp;"+25;"</f>
        <v>195600+25;</v>
      </c>
      <c r="B13" t="str">
        <f ca="1">"Beacon.Put(110,0,1"&amp;TEXT(E電入力!$R14,"000")&amp;");"</f>
        <v>Beacon.Put(110,0,1048);</v>
      </c>
      <c r="C13" t="str">
        <f ca="1">"Beacon.Put(110,0,2"&amp;TEXT(E電入力!$S14,"000")&amp;");"</f>
        <v>Beacon.Put(110,0,2047);</v>
      </c>
      <c r="D13" t="str">
        <f ca="1">"Beacon.Put(110,0,3"&amp;TEXT(E電入力!$T14,"000")&amp;");"</f>
        <v>Beacon.Put(110,0,3046);</v>
      </c>
      <c r="E13" t="str">
        <f ca="1">"Beacon.Put(110,0,4"&amp;TEXT(E電入力!$U14,"000")&amp;");"</f>
        <v>Beacon.Put(110,0,4045);</v>
      </c>
      <c r="F13" t="str">
        <f ca="1">"Beacon.Put(110,0,5"&amp;TEXT(E電入力!$V14,"000")&amp;");"</f>
        <v>Beacon.Put(110,0,5044);</v>
      </c>
      <c r="G13" t="str">
        <f ca="1">"Beacon.Put(110,0,6"&amp;TEXT(E電入力!$W14,"000")&amp;");"</f>
        <v>Beacon.Put(110,0,6043);</v>
      </c>
    </row>
    <row r="14" spans="1:7">
      <c r="A14" t="str">
        <f>E電入力!C15&amp;"+25;"</f>
        <v>197325+25;</v>
      </c>
      <c r="B14" t="str">
        <f ca="1">"Beacon.Put(110,0,1"&amp;TEXT(E電入力!$R15,"000")&amp;");"</f>
        <v>Beacon.Put(110,0,1047);</v>
      </c>
      <c r="C14" t="str">
        <f ca="1">"Beacon.Put(110,0,2"&amp;TEXT(E電入力!$S15,"000")&amp;");"</f>
        <v>Beacon.Put(110,0,2046);</v>
      </c>
      <c r="D14" t="str">
        <f ca="1">"Beacon.Put(110,0,3"&amp;TEXT(E電入力!$T15,"000")&amp;");"</f>
        <v>Beacon.Put(110,0,3045);</v>
      </c>
      <c r="E14" t="str">
        <f ca="1">"Beacon.Put(110,0,4"&amp;TEXT(E電入力!$U15,"000")&amp;");"</f>
        <v>Beacon.Put(110,0,4044);</v>
      </c>
      <c r="F14" t="str">
        <f ca="1">"Beacon.Put(110,0,5"&amp;TEXT(E電入力!$V15,"000")&amp;");"</f>
        <v>Beacon.Put(110,0,5043);</v>
      </c>
      <c r="G14" t="str">
        <f ca="1">"Beacon.Put(110,0,6"&amp;TEXT(E電入力!$W15,"000")&amp;");"</f>
        <v>Beacon.Put(110,0,6042);</v>
      </c>
    </row>
    <row r="15" spans="1:7">
      <c r="A15" t="str">
        <f>E電入力!C16&amp;"+25;"</f>
        <v>198925+25;</v>
      </c>
      <c r="B15" t="str">
        <f ca="1">"Beacon.Put(110,0,1"&amp;TEXT(E電入力!$R16,"000")&amp;");"</f>
        <v>Beacon.Put(110,0,1046);</v>
      </c>
      <c r="C15" t="str">
        <f ca="1">"Beacon.Put(110,0,2"&amp;TEXT(E電入力!$S16,"000")&amp;");"</f>
        <v>Beacon.Put(110,0,2045);</v>
      </c>
      <c r="D15" t="str">
        <f ca="1">"Beacon.Put(110,0,3"&amp;TEXT(E電入力!$T16,"000")&amp;");"</f>
        <v>Beacon.Put(110,0,3044);</v>
      </c>
      <c r="E15" t="str">
        <f ca="1">"Beacon.Put(110,0,4"&amp;TEXT(E電入力!$U16,"000")&amp;");"</f>
        <v>Beacon.Put(110,0,4043);</v>
      </c>
      <c r="F15" t="str">
        <f ca="1">"Beacon.Put(110,0,5"&amp;TEXT(E電入力!$V16,"000")&amp;");"</f>
        <v>Beacon.Put(110,0,5042);</v>
      </c>
      <c r="G15" t="str">
        <f ca="1">"Beacon.Put(110,0,6"&amp;TEXT(E電入力!$W16,"000")&amp;");"</f>
        <v>Beacon.Put(110,0,6041);</v>
      </c>
    </row>
    <row r="16" spans="1:7">
      <c r="A16" t="str">
        <f>E電入力!C17&amp;"+25;"</f>
        <v>200475+25;</v>
      </c>
      <c r="B16" t="str">
        <f ca="1">"Beacon.Put(110,0,1"&amp;TEXT(E電入力!$R17,"000")&amp;");"</f>
        <v>Beacon.Put(110,0,1045);</v>
      </c>
      <c r="C16" t="str">
        <f ca="1">"Beacon.Put(110,0,2"&amp;TEXT(E電入力!$S17,"000")&amp;");"</f>
        <v>Beacon.Put(110,0,2044);</v>
      </c>
      <c r="D16" t="str">
        <f ca="1">"Beacon.Put(110,0,3"&amp;TEXT(E電入力!$T17,"000")&amp;");"</f>
        <v>Beacon.Put(110,0,3043);</v>
      </c>
      <c r="E16" t="str">
        <f ca="1">"Beacon.Put(110,0,4"&amp;TEXT(E電入力!$U17,"000")&amp;");"</f>
        <v>Beacon.Put(110,0,4042);</v>
      </c>
      <c r="F16" t="str">
        <f ca="1">"Beacon.Put(110,0,5"&amp;TEXT(E電入力!$V17,"000")&amp;");"</f>
        <v>Beacon.Put(110,0,5041);</v>
      </c>
      <c r="G16" t="str">
        <f ca="1">"Beacon.Put(110,0,6"&amp;TEXT(E電入力!$W17,"000")&amp;");"</f>
        <v>Beacon.Put(110,0,6040);</v>
      </c>
    </row>
    <row r="17" spans="1:7">
      <c r="A17" t="str">
        <f>E電入力!C18&amp;"+25;"</f>
        <v>202075+25;</v>
      </c>
      <c r="B17" t="str">
        <f ca="1">"Beacon.Put(110,0,1"&amp;TEXT(E電入力!$R18,"000")&amp;");"</f>
        <v>Beacon.Put(110,0,1044);</v>
      </c>
      <c r="C17" t="str">
        <f ca="1">"Beacon.Put(110,0,2"&amp;TEXT(E電入力!$S18,"000")&amp;");"</f>
        <v>Beacon.Put(110,0,2043);</v>
      </c>
      <c r="D17" t="str">
        <f ca="1">"Beacon.Put(110,0,3"&amp;TEXT(E電入力!$T18,"000")&amp;");"</f>
        <v>Beacon.Put(110,0,3042);</v>
      </c>
      <c r="E17" t="str">
        <f ca="1">"Beacon.Put(110,0,4"&amp;TEXT(E電入力!$U18,"000")&amp;");"</f>
        <v>Beacon.Put(110,0,4041);</v>
      </c>
      <c r="F17" t="str">
        <f ca="1">"Beacon.Put(110,0,5"&amp;TEXT(E電入力!$V18,"000")&amp;");"</f>
        <v>Beacon.Put(110,0,5040);</v>
      </c>
      <c r="G17" t="str">
        <f ca="1">"Beacon.Put(110,0,6"&amp;TEXT(E電入力!$W18,"000")&amp;");"</f>
        <v>Beacon.Put(110,0,6039);</v>
      </c>
    </row>
    <row r="18" spans="1:7">
      <c r="A18" t="str">
        <f>E電入力!C19&amp;"+25;"</f>
        <v>203845+25;</v>
      </c>
      <c r="B18" t="str">
        <f ca="1">"Beacon.Put(110,0,1"&amp;TEXT(E電入力!$R19,"000")&amp;");"</f>
        <v>Beacon.Put(110,0,1043);</v>
      </c>
      <c r="C18" t="str">
        <f ca="1">"Beacon.Put(110,0,2"&amp;TEXT(E電入力!$S19,"000")&amp;");"</f>
        <v>Beacon.Put(110,0,2042);</v>
      </c>
      <c r="D18" t="str">
        <f ca="1">"Beacon.Put(110,0,3"&amp;TEXT(E電入力!$T19,"000")&amp;");"</f>
        <v>Beacon.Put(110,0,3041);</v>
      </c>
      <c r="E18" t="str">
        <f ca="1">"Beacon.Put(110,0,4"&amp;TEXT(E電入力!$U19,"000")&amp;");"</f>
        <v>Beacon.Put(110,0,4040);</v>
      </c>
      <c r="F18" t="str">
        <f ca="1">"Beacon.Put(110,0,5"&amp;TEXT(E電入力!$V19,"000")&amp;");"</f>
        <v>Beacon.Put(110,0,5039);</v>
      </c>
      <c r="G18" t="str">
        <f ca="1">"Beacon.Put(110,0,6"&amp;TEXT(E電入力!$W19,"000")&amp;");"</f>
        <v>Beacon.Put(110,0,6038);</v>
      </c>
    </row>
    <row r="19" spans="1:7">
      <c r="A19" t="str">
        <f>E電入力!C20&amp;"+25;"</f>
        <v>205325+25;</v>
      </c>
      <c r="B19" t="str">
        <f ca="1">"Beacon.Put(110,0,1"&amp;TEXT(E電入力!$R20,"000")&amp;");"</f>
        <v>Beacon.Put(110,0,1042);</v>
      </c>
      <c r="C19" t="str">
        <f ca="1">"Beacon.Put(110,0,2"&amp;TEXT(E電入力!$S20,"000")&amp;");"</f>
        <v>Beacon.Put(110,0,2041);</v>
      </c>
      <c r="D19" t="str">
        <f ca="1">"Beacon.Put(110,0,3"&amp;TEXT(E電入力!$T20,"000")&amp;");"</f>
        <v>Beacon.Put(110,0,3040);</v>
      </c>
      <c r="E19" t="str">
        <f ca="1">"Beacon.Put(110,0,4"&amp;TEXT(E電入力!$U20,"000")&amp;");"</f>
        <v>Beacon.Put(110,0,4039);</v>
      </c>
      <c r="F19" t="str">
        <f ca="1">"Beacon.Put(110,0,5"&amp;TEXT(E電入力!$V20,"000")&amp;");"</f>
        <v>Beacon.Put(110,0,5038);</v>
      </c>
      <c r="G19" t="str">
        <f ca="1">"Beacon.Put(110,0,6"&amp;TEXT(E電入力!$W20,"000")&amp;");"</f>
        <v>Beacon.Put(110,0,6037);</v>
      </c>
    </row>
    <row r="20" spans="1:7">
      <c r="A20" t="str">
        <f>E電入力!C21&amp;"+25;"</f>
        <v>206725+25;</v>
      </c>
      <c r="B20" t="str">
        <f ca="1">"Beacon.Put(110,0,1"&amp;TEXT(E電入力!$R21,"000")&amp;");"</f>
        <v>Beacon.Put(110,0,1041);</v>
      </c>
      <c r="C20" t="str">
        <f ca="1">"Beacon.Put(110,0,2"&amp;TEXT(E電入力!$S21,"000")&amp;");"</f>
        <v>Beacon.Put(110,0,2040);</v>
      </c>
      <c r="D20" t="str">
        <f ca="1">"Beacon.Put(110,0,3"&amp;TEXT(E電入力!$T21,"000")&amp;");"</f>
        <v>Beacon.Put(110,0,3039);</v>
      </c>
      <c r="E20" t="str">
        <f ca="1">"Beacon.Put(110,0,4"&amp;TEXT(E電入力!$U21,"000")&amp;");"</f>
        <v>Beacon.Put(110,0,4038);</v>
      </c>
      <c r="F20" t="str">
        <f ca="1">"Beacon.Put(110,0,5"&amp;TEXT(E電入力!$V21,"000")&amp;");"</f>
        <v>Beacon.Put(110,0,5037);</v>
      </c>
      <c r="G20" t="str">
        <f ca="1">"Beacon.Put(110,0,6"&amp;TEXT(E電入力!$W21,"000")&amp;");"</f>
        <v>Beacon.Put(110,0,6036);</v>
      </c>
    </row>
    <row r="21" spans="1:7">
      <c r="A21" t="str">
        <f>E電入力!C22&amp;"+25;"</f>
        <v>208225+25;</v>
      </c>
      <c r="B21" t="str">
        <f ca="1">"Beacon.Put(110,0,1"&amp;TEXT(E電入力!$R22,"000")&amp;");"</f>
        <v>Beacon.Put(110,0,1040);</v>
      </c>
      <c r="C21" t="str">
        <f ca="1">"Beacon.Put(110,0,2"&amp;TEXT(E電入力!$S22,"000")&amp;");"</f>
        <v>Beacon.Put(110,0,2039);</v>
      </c>
      <c r="D21" t="str">
        <f ca="1">"Beacon.Put(110,0,3"&amp;TEXT(E電入力!$T22,"000")&amp;");"</f>
        <v>Beacon.Put(110,0,3038);</v>
      </c>
      <c r="E21" t="str">
        <f ca="1">"Beacon.Put(110,0,4"&amp;TEXT(E電入力!$U22,"000")&amp;");"</f>
        <v>Beacon.Put(110,0,4037);</v>
      </c>
      <c r="F21" t="str">
        <f ca="1">"Beacon.Put(110,0,5"&amp;TEXT(E電入力!$V22,"000")&amp;");"</f>
        <v>Beacon.Put(110,0,5036);</v>
      </c>
      <c r="G21" t="str">
        <f ca="1">"Beacon.Put(110,0,6"&amp;TEXT(E電入力!$W22,"000")&amp;");"</f>
        <v>Beacon.Put(110,0,6035);</v>
      </c>
    </row>
    <row r="22" spans="1:7">
      <c r="A22" t="str">
        <f>E電入力!C23&amp;"+25;"</f>
        <v>212675+25;</v>
      </c>
      <c r="B22" t="str">
        <f ca="1">"Beacon.Put(110,0,1"&amp;TEXT(E電入力!$R23,"000")&amp;");"</f>
        <v>Beacon.Put(110,0,1039);</v>
      </c>
      <c r="C22" t="str">
        <f ca="1">"Beacon.Put(110,0,2"&amp;TEXT(E電入力!$S23,"000")&amp;");"</f>
        <v>Beacon.Put(110,0,2038);</v>
      </c>
      <c r="D22" t="str">
        <f ca="1">"Beacon.Put(110,0,3"&amp;TEXT(E電入力!$T23,"000")&amp;");"</f>
        <v>Beacon.Put(110,0,3037);</v>
      </c>
      <c r="E22" t="str">
        <f ca="1">"Beacon.Put(110,0,4"&amp;TEXT(E電入力!$U23,"000")&amp;");"</f>
        <v>Beacon.Put(110,0,4036);</v>
      </c>
      <c r="F22" t="str">
        <f ca="1">"Beacon.Put(110,0,5"&amp;TEXT(E電入力!$V23,"000")&amp;");"</f>
        <v>Beacon.Put(110,0,5035);</v>
      </c>
      <c r="G22" t="str">
        <f ca="1">"Beacon.Put(110,0,6"&amp;TEXT(E電入力!$W23,"000")&amp;");"</f>
        <v>Beacon.Put(110,0,6000);</v>
      </c>
    </row>
    <row r="23" spans="1:7">
      <c r="A23" t="str">
        <f>E電入力!C24&amp;"+25;"</f>
        <v>216375+25;</v>
      </c>
      <c r="B23" t="str">
        <f ca="1">"Beacon.Put(110,0,1"&amp;TEXT(E電入力!$R24,"000")&amp;");"</f>
        <v>Beacon.Put(110,0,1039);</v>
      </c>
      <c r="C23" t="str">
        <f ca="1">"Beacon.Put(110,0,2"&amp;TEXT(E電入力!$S24,"000")&amp;");"</f>
        <v>Beacon.Put(110,0,2038);</v>
      </c>
      <c r="D23" t="str">
        <f ca="1">"Beacon.Put(110,0,3"&amp;TEXT(E電入力!$T24,"000")&amp;");"</f>
        <v>Beacon.Put(110,0,3037);</v>
      </c>
      <c r="E23" t="str">
        <f ca="1">"Beacon.Put(110,0,4"&amp;TEXT(E電入力!$U24,"000")&amp;");"</f>
        <v>Beacon.Put(110,0,4036);</v>
      </c>
      <c r="F23" t="str">
        <f ca="1">"Beacon.Put(110,0,5"&amp;TEXT(E電入力!$V24,"000")&amp;");"</f>
        <v>Beacon.Put(110,0,5035);</v>
      </c>
      <c r="G23" t="str">
        <f ca="1">"Beacon.Put(110,0,6"&amp;TEXT(E電入力!$W24,"000")&amp;");"</f>
        <v>Beacon.Put(110,0,6000);</v>
      </c>
    </row>
    <row r="24" spans="1:7">
      <c r="A24" t="str">
        <f>E電入力!C25&amp;"+25;"</f>
        <v>220540+25;</v>
      </c>
      <c r="B24" t="str">
        <f ca="1">"Beacon.Put(110,0,1"&amp;TEXT(E電入力!$R25,"000")&amp;");"</f>
        <v>Beacon.Put(110,0,1039);</v>
      </c>
      <c r="C24" t="str">
        <f ca="1">"Beacon.Put(110,0,2"&amp;TEXT(E電入力!$S25,"000")&amp;");"</f>
        <v>Beacon.Put(110,0,2038);</v>
      </c>
      <c r="D24" t="str">
        <f ca="1">"Beacon.Put(110,0,3"&amp;TEXT(E電入力!$T25,"000")&amp;");"</f>
        <v>Beacon.Put(110,0,3037);</v>
      </c>
      <c r="E24" t="str">
        <f ca="1">"Beacon.Put(110,0,4"&amp;TEXT(E電入力!$U25,"000")&amp;");"</f>
        <v>Beacon.Put(110,0,4036);</v>
      </c>
      <c r="F24" t="str">
        <f ca="1">"Beacon.Put(110,0,5"&amp;TEXT(E電入力!$V25,"000")&amp;");"</f>
        <v>Beacon.Put(110,0,5035);</v>
      </c>
      <c r="G24" t="str">
        <f ca="1">"Beacon.Put(110,0,6"&amp;TEXT(E電入力!$W25,"000")&amp;");"</f>
        <v>Beacon.Put(110,0,6000);</v>
      </c>
    </row>
    <row r="25" spans="1:7">
      <c r="A25" t="str">
        <f>E電入力!C26&amp;"+25;"</f>
        <v>221770+25;</v>
      </c>
      <c r="B25" t="str">
        <f ca="1">"Beacon.Put(110,0,1"&amp;TEXT(E電入力!$R26,"000")&amp;");"</f>
        <v>Beacon.Put(110,0,1039);</v>
      </c>
      <c r="C25" t="str">
        <f ca="1">"Beacon.Put(110,0,2"&amp;TEXT(E電入力!$S26,"000")&amp;");"</f>
        <v>Beacon.Put(110,0,2038);</v>
      </c>
      <c r="D25" t="str">
        <f ca="1">"Beacon.Put(110,0,3"&amp;TEXT(E電入力!$T26,"000")&amp;");"</f>
        <v>Beacon.Put(110,0,3037);</v>
      </c>
      <c r="E25" t="str">
        <f ca="1">"Beacon.Put(110,0,4"&amp;TEXT(E電入力!$U26,"000")&amp;");"</f>
        <v>Beacon.Put(110,0,4036);</v>
      </c>
      <c r="F25" t="str">
        <f ca="1">"Beacon.Put(110,0,5"&amp;TEXT(E電入力!$V26,"000")&amp;");"</f>
        <v>Beacon.Put(110,0,5035);</v>
      </c>
      <c r="G25" t="str">
        <f ca="1">"Beacon.Put(110,0,6"&amp;TEXT(E電入力!$W26,"000")&amp;");"</f>
        <v>Beacon.Put(110,0,6000);</v>
      </c>
    </row>
    <row r="26" spans="1:7">
      <c r="A26" t="str">
        <f>E電入力!C27&amp;"+25;"</f>
        <v>223075+25;</v>
      </c>
      <c r="B26" t="str">
        <f ca="1">"Beacon.Put(110,0,1"&amp;TEXT(E電入力!$R27,"000")&amp;");"</f>
        <v>Beacon.Put(110,0,1039);</v>
      </c>
      <c r="C26" t="str">
        <f ca="1">"Beacon.Put(110,0,2"&amp;TEXT(E電入力!$S27,"000")&amp;");"</f>
        <v>Beacon.Put(110,0,2038);</v>
      </c>
      <c r="D26" t="str">
        <f ca="1">"Beacon.Put(110,0,3"&amp;TEXT(E電入力!$T27,"000")&amp;");"</f>
        <v>Beacon.Put(110,0,3037);</v>
      </c>
      <c r="E26" t="str">
        <f ca="1">"Beacon.Put(110,0,4"&amp;TEXT(E電入力!$U27,"000")&amp;");"</f>
        <v>Beacon.Put(110,0,4036);</v>
      </c>
      <c r="F26" t="str">
        <f ca="1">"Beacon.Put(110,0,5"&amp;TEXT(E電入力!$V27,"000")&amp;");"</f>
        <v>Beacon.Put(110,0,5035);</v>
      </c>
      <c r="G26" t="str">
        <f ca="1">"Beacon.Put(110,0,6"&amp;TEXT(E電入力!$W27,"000")&amp;");"</f>
        <v>Beacon.Put(110,0,6000);</v>
      </c>
    </row>
    <row r="27" spans="1:7">
      <c r="A27" t="str">
        <f>E電入力!C28&amp;"+25;"</f>
        <v>+25;</v>
      </c>
      <c r="B27" t="str">
        <f ca="1">"Beacon.Put(110,0,1"&amp;TEXT(E電入力!$R28,"000")&amp;");"</f>
        <v>Beacon.Put(110,0,1039);</v>
      </c>
      <c r="C27" t="str">
        <f ca="1">"Beacon.Put(110,0,2"&amp;TEXT(E電入力!$S28,"000")&amp;");"</f>
        <v>Beacon.Put(110,0,2038);</v>
      </c>
      <c r="D27" t="str">
        <f ca="1">"Beacon.Put(110,0,3"&amp;TEXT(E電入力!$T28,"000")&amp;");"</f>
        <v>Beacon.Put(110,0,3037);</v>
      </c>
      <c r="E27" t="str">
        <f ca="1">"Beacon.Put(110,0,4"&amp;TEXT(E電入力!$U28,"000")&amp;");"</f>
        <v>Beacon.Put(110,0,4036);</v>
      </c>
      <c r="F27" t="str">
        <f ca="1">"Beacon.Put(110,0,5"&amp;TEXT(E電入力!$V28,"000")&amp;");"</f>
        <v>Beacon.Put(110,0,5035);</v>
      </c>
      <c r="G27" t="str">
        <f ca="1">"Beacon.Put(110,0,6"&amp;TEXT(E電入力!$W28,"000")&amp;");"</f>
        <v>Beacon.Put(110,0,6000);</v>
      </c>
    </row>
    <row r="28" spans="1:7">
      <c r="A28" t="str">
        <f>E電入力!C29&amp;"+25;"</f>
        <v>+25;</v>
      </c>
      <c r="B28" t="str">
        <f ca="1">"Beacon.Put(110,0,1"&amp;TEXT(E電入力!$R29,"000")&amp;");"</f>
        <v>Beacon.Put(110,0,1039);</v>
      </c>
      <c r="C28" t="str">
        <f ca="1">"Beacon.Put(110,0,2"&amp;TEXT(E電入力!$S29,"000")&amp;");"</f>
        <v>Beacon.Put(110,0,2038);</v>
      </c>
      <c r="D28" t="str">
        <f ca="1">"Beacon.Put(110,0,3"&amp;TEXT(E電入力!$T29,"000")&amp;");"</f>
        <v>Beacon.Put(110,0,3037);</v>
      </c>
      <c r="E28" t="str">
        <f ca="1">"Beacon.Put(110,0,4"&amp;TEXT(E電入力!$U29,"000")&amp;");"</f>
        <v>Beacon.Put(110,0,4036);</v>
      </c>
      <c r="F28" t="str">
        <f ca="1">"Beacon.Put(110,0,5"&amp;TEXT(E電入力!$V29,"000")&amp;");"</f>
        <v>Beacon.Put(110,0,5035);</v>
      </c>
      <c r="G28" t="str">
        <f ca="1">"Beacon.Put(110,0,6"&amp;TEXT(E電入力!$W29,"000")&amp;");"</f>
        <v>Beacon.Put(110,0,6000);</v>
      </c>
    </row>
    <row r="29" spans="1:7">
      <c r="A29" t="str">
        <f>E電入力!C30&amp;"+25;"</f>
        <v>+25;</v>
      </c>
      <c r="B29" t="str">
        <f ca="1">"Beacon.Put(110,0,1"&amp;TEXT(E電入力!$R30,"000")&amp;");"</f>
        <v>Beacon.Put(110,0,1039);</v>
      </c>
      <c r="C29" t="str">
        <f ca="1">"Beacon.Put(110,0,2"&amp;TEXT(E電入力!$S30,"000")&amp;");"</f>
        <v>Beacon.Put(110,0,2038);</v>
      </c>
      <c r="D29" t="str">
        <f ca="1">"Beacon.Put(110,0,3"&amp;TEXT(E電入力!$T30,"000")&amp;");"</f>
        <v>Beacon.Put(110,0,3037);</v>
      </c>
      <c r="E29" t="str">
        <f ca="1">"Beacon.Put(110,0,4"&amp;TEXT(E電入力!$U30,"000")&amp;");"</f>
        <v>Beacon.Put(110,0,4036);</v>
      </c>
      <c r="F29" t="str">
        <f ca="1">"Beacon.Put(110,0,5"&amp;TEXT(E電入力!$V30,"000")&amp;");"</f>
        <v>Beacon.Put(110,0,5035);</v>
      </c>
      <c r="G29" t="str">
        <f ca="1">"Beacon.Put(110,0,6"&amp;TEXT(E電入力!$W30,"000")&amp;");"</f>
        <v>Beacon.Put(110,0,6000);</v>
      </c>
    </row>
    <row r="30" spans="1:7">
      <c r="A30" t="str">
        <f>E電入力!C31&amp;"+25;"</f>
        <v>+25;</v>
      </c>
      <c r="B30" t="str">
        <f ca="1">"Beacon.Put(110,0,1"&amp;TEXT(E電入力!$R31,"000")&amp;");"</f>
        <v>Beacon.Put(110,0,1039);</v>
      </c>
      <c r="C30" t="str">
        <f ca="1">"Beacon.Put(110,0,2"&amp;TEXT(E電入力!$S31,"000")&amp;");"</f>
        <v>Beacon.Put(110,0,2038);</v>
      </c>
      <c r="D30" t="str">
        <f ca="1">"Beacon.Put(110,0,3"&amp;TEXT(E電入力!$T31,"000")&amp;");"</f>
        <v>Beacon.Put(110,0,3037);</v>
      </c>
      <c r="E30" t="str">
        <f ca="1">"Beacon.Put(110,0,4"&amp;TEXT(E電入力!$U31,"000")&amp;");"</f>
        <v>Beacon.Put(110,0,4036);</v>
      </c>
      <c r="F30" t="str">
        <f ca="1">"Beacon.Put(110,0,5"&amp;TEXT(E電入力!$V31,"000")&amp;");"</f>
        <v>Beacon.Put(110,0,5035);</v>
      </c>
      <c r="G30" t="str">
        <f ca="1">"Beacon.Put(110,0,6"&amp;TEXT(E電入力!$W31,"000")&amp;");"</f>
        <v>Beacon.Put(110,0,6000);</v>
      </c>
    </row>
    <row r="31" spans="1:7">
      <c r="A31" t="str">
        <f>E電入力!C32&amp;"+25;"</f>
        <v>+25;</v>
      </c>
      <c r="B31" t="str">
        <f ca="1">"Beacon.Put(110,0,1"&amp;TEXT(E電入力!$R32,"000")&amp;");"</f>
        <v>Beacon.Put(110,0,1039);</v>
      </c>
      <c r="C31" t="str">
        <f ca="1">"Beacon.Put(110,0,2"&amp;TEXT(E電入力!$S32,"000")&amp;");"</f>
        <v>Beacon.Put(110,0,2038);</v>
      </c>
      <c r="D31" t="str">
        <f ca="1">"Beacon.Put(110,0,3"&amp;TEXT(E電入力!$T32,"000")&amp;");"</f>
        <v>Beacon.Put(110,0,3037);</v>
      </c>
      <c r="E31" t="str">
        <f ca="1">"Beacon.Put(110,0,4"&amp;TEXT(E電入力!$U32,"000")&amp;");"</f>
        <v>Beacon.Put(110,0,4036);</v>
      </c>
      <c r="F31" t="str">
        <f ca="1">"Beacon.Put(110,0,5"&amp;TEXT(E電入力!$V32,"000")&amp;");"</f>
        <v>Beacon.Put(110,0,5035);</v>
      </c>
      <c r="G31" t="str">
        <f ca="1">"Beacon.Put(110,0,6"&amp;TEXT(E電入力!$W32,"000")&amp;");"</f>
        <v>Beacon.Put(110,0,6000);</v>
      </c>
    </row>
    <row r="32" spans="1:7">
      <c r="A32" t="str">
        <f>E電入力!C33&amp;"+25;"</f>
        <v>+25;</v>
      </c>
      <c r="B32" t="str">
        <f ca="1">"Beacon.Put(110,0,1"&amp;TEXT(E電入力!$R33,"000")&amp;");"</f>
        <v>Beacon.Put(110,0,1039);</v>
      </c>
      <c r="C32" t="str">
        <f ca="1">"Beacon.Put(110,0,2"&amp;TEXT(E電入力!$S33,"000")&amp;");"</f>
        <v>Beacon.Put(110,0,2038);</v>
      </c>
      <c r="D32" t="str">
        <f ca="1">"Beacon.Put(110,0,3"&amp;TEXT(E電入力!$T33,"000")&amp;");"</f>
        <v>Beacon.Put(110,0,3037);</v>
      </c>
      <c r="E32" t="str">
        <f ca="1">"Beacon.Put(110,0,4"&amp;TEXT(E電入力!$U33,"000")&amp;");"</f>
        <v>Beacon.Put(110,0,4036);</v>
      </c>
      <c r="F32" t="str">
        <f ca="1">"Beacon.Put(110,0,5"&amp;TEXT(E電入力!$V33,"000")&amp;");"</f>
        <v>Beacon.Put(110,0,5035);</v>
      </c>
      <c r="G32" t="str">
        <f ca="1">"Beacon.Put(110,0,6"&amp;TEXT(E電入力!$W33,"000")&amp;");"</f>
        <v>Beacon.Put(110,0,6000);</v>
      </c>
    </row>
    <row r="33" spans="1:7">
      <c r="A33" t="str">
        <f>E電入力!C34&amp;"+25;"</f>
        <v>+25;</v>
      </c>
      <c r="B33" t="str">
        <f ca="1">"Beacon.Put(110,0,1"&amp;TEXT(E電入力!$R34,"000")&amp;");"</f>
        <v>Beacon.Put(110,0,1039);</v>
      </c>
      <c r="C33" t="str">
        <f ca="1">"Beacon.Put(110,0,2"&amp;TEXT(E電入力!$S34,"000")&amp;");"</f>
        <v>Beacon.Put(110,0,2038);</v>
      </c>
      <c r="D33" t="str">
        <f ca="1">"Beacon.Put(110,0,3"&amp;TEXT(E電入力!$T34,"000")&amp;");"</f>
        <v>Beacon.Put(110,0,3037);</v>
      </c>
      <c r="E33" t="str">
        <f ca="1">"Beacon.Put(110,0,4"&amp;TEXT(E電入力!$U34,"000")&amp;");"</f>
        <v>Beacon.Put(110,0,4036);</v>
      </c>
      <c r="F33" t="str">
        <f ca="1">"Beacon.Put(110,0,5"&amp;TEXT(E電入力!$V34,"000")&amp;");"</f>
        <v>Beacon.Put(110,0,5035);</v>
      </c>
      <c r="G33" t="str">
        <f ca="1">"Beacon.Put(110,0,6"&amp;TEXT(E電入力!$W34,"000")&amp;");"</f>
        <v>Beacon.Put(110,0,6000);</v>
      </c>
    </row>
    <row r="34" spans="1:7">
      <c r="A34" t="str">
        <f>E電入力!C35&amp;"+25;"</f>
        <v>+25;</v>
      </c>
      <c r="B34" t="str">
        <f ca="1">"Beacon.Put(110,0,1"&amp;TEXT(E電入力!$R35,"000")&amp;");"</f>
        <v>Beacon.Put(110,0,1039);</v>
      </c>
      <c r="C34" t="str">
        <f ca="1">"Beacon.Put(110,0,2"&amp;TEXT(E電入力!$S35,"000")&amp;");"</f>
        <v>Beacon.Put(110,0,2038);</v>
      </c>
      <c r="D34" t="str">
        <f ca="1">"Beacon.Put(110,0,3"&amp;TEXT(E電入力!$T35,"000")&amp;");"</f>
        <v>Beacon.Put(110,0,3037);</v>
      </c>
      <c r="E34" t="str">
        <f ca="1">"Beacon.Put(110,0,4"&amp;TEXT(E電入力!$U35,"000")&amp;");"</f>
        <v>Beacon.Put(110,0,4036);</v>
      </c>
      <c r="F34" t="str">
        <f ca="1">"Beacon.Put(110,0,5"&amp;TEXT(E電入力!$V35,"000")&amp;");"</f>
        <v>Beacon.Put(110,0,5035);</v>
      </c>
      <c r="G34" t="str">
        <f ca="1">"Beacon.Put(110,0,6"&amp;TEXT(E電入力!$W35,"000")&amp;");"</f>
        <v>Beacon.Put(110,0,6000);</v>
      </c>
    </row>
    <row r="35" spans="1:7">
      <c r="A35" t="str">
        <f>E電入力!C36&amp;"+25;"</f>
        <v>+25;</v>
      </c>
      <c r="B35" t="str">
        <f ca="1">"Beacon.Put(110,0,1"&amp;TEXT(E電入力!$R36,"000")&amp;");"</f>
        <v>Beacon.Put(110,0,1039);</v>
      </c>
      <c r="C35" t="str">
        <f ca="1">"Beacon.Put(110,0,2"&amp;TEXT(E電入力!$S36,"000")&amp;");"</f>
        <v>Beacon.Put(110,0,2038);</v>
      </c>
      <c r="D35" t="str">
        <f ca="1">"Beacon.Put(110,0,3"&amp;TEXT(E電入力!$T36,"000")&amp;");"</f>
        <v>Beacon.Put(110,0,3037);</v>
      </c>
      <c r="E35" t="str">
        <f ca="1">"Beacon.Put(110,0,4"&amp;TEXT(E電入力!$U36,"000")&amp;");"</f>
        <v>Beacon.Put(110,0,4036);</v>
      </c>
      <c r="F35" t="str">
        <f ca="1">"Beacon.Put(110,0,5"&amp;TEXT(E電入力!$V36,"000")&amp;");"</f>
        <v>Beacon.Put(110,0,5035);</v>
      </c>
      <c r="G35" t="str">
        <f ca="1">"Beacon.Put(110,0,6"&amp;TEXT(E電入力!$W36,"000")&amp;");"</f>
        <v>Beacon.Put(110,0,6000);</v>
      </c>
    </row>
    <row r="36" spans="1:7">
      <c r="A36" t="str">
        <f>E電入力!C37&amp;"+25;"</f>
        <v>+25;</v>
      </c>
      <c r="B36" t="str">
        <f ca="1">"Beacon.Put(110,0,1"&amp;TEXT(E電入力!$R37,"000")&amp;");"</f>
        <v>Beacon.Put(110,0,1039);</v>
      </c>
      <c r="C36" t="str">
        <f ca="1">"Beacon.Put(110,0,2"&amp;TEXT(E電入力!$S37,"000")&amp;");"</f>
        <v>Beacon.Put(110,0,2038);</v>
      </c>
      <c r="D36" t="str">
        <f ca="1">"Beacon.Put(110,0,3"&amp;TEXT(E電入力!$T37,"000")&amp;");"</f>
        <v>Beacon.Put(110,0,3037);</v>
      </c>
      <c r="E36" t="str">
        <f ca="1">"Beacon.Put(110,0,4"&amp;TEXT(E電入力!$U37,"000")&amp;");"</f>
        <v>Beacon.Put(110,0,4036);</v>
      </c>
      <c r="F36" t="str">
        <f ca="1">"Beacon.Put(110,0,5"&amp;TEXT(E電入力!$V37,"000")&amp;");"</f>
        <v>Beacon.Put(110,0,5035);</v>
      </c>
      <c r="G36" t="str">
        <f ca="1">"Beacon.Put(110,0,6"&amp;TEXT(E電入力!$W37,"000")&amp;");"</f>
        <v>Beacon.Put(110,0,6000);</v>
      </c>
    </row>
    <row r="37" spans="1:7">
      <c r="A37" t="str">
        <f>E電入力!C38&amp;"+25;"</f>
        <v>+25;</v>
      </c>
      <c r="B37" t="str">
        <f ca="1">"Beacon.Put(110,0,1"&amp;TEXT(E電入力!$R38,"000")&amp;");"</f>
        <v>Beacon.Put(110,0,1039);</v>
      </c>
      <c r="C37" t="str">
        <f ca="1">"Beacon.Put(110,0,2"&amp;TEXT(E電入力!$S38,"000")&amp;");"</f>
        <v>Beacon.Put(110,0,2038);</v>
      </c>
      <c r="D37" t="str">
        <f ca="1">"Beacon.Put(110,0,3"&amp;TEXT(E電入力!$T38,"000")&amp;");"</f>
        <v>Beacon.Put(110,0,3037);</v>
      </c>
      <c r="E37" t="str">
        <f ca="1">"Beacon.Put(110,0,4"&amp;TEXT(E電入力!$U38,"000")&amp;");"</f>
        <v>Beacon.Put(110,0,4036);</v>
      </c>
      <c r="F37" t="str">
        <f ca="1">"Beacon.Put(110,0,5"&amp;TEXT(E電入力!$V38,"000")&amp;");"</f>
        <v>Beacon.Put(110,0,5035);</v>
      </c>
      <c r="G37" t="str">
        <f ca="1">"Beacon.Put(110,0,6"&amp;TEXT(E電入力!$W38,"000")&amp;");"</f>
        <v>Beacon.Put(110,0,6000);</v>
      </c>
    </row>
    <row r="38" spans="1:7">
      <c r="A38" t="str">
        <f>E電入力!C39&amp;"+25;"</f>
        <v>+25;</v>
      </c>
      <c r="B38" t="str">
        <f ca="1">"Beacon.Put(110,0,1"&amp;TEXT(E電入力!$R39,"000")&amp;");"</f>
        <v>Beacon.Put(110,0,1039);</v>
      </c>
      <c r="C38" t="str">
        <f ca="1">"Beacon.Put(110,0,2"&amp;TEXT(E電入力!$S39,"000")&amp;");"</f>
        <v>Beacon.Put(110,0,2038);</v>
      </c>
      <c r="D38" t="str">
        <f ca="1">"Beacon.Put(110,0,3"&amp;TEXT(E電入力!$T39,"000")&amp;");"</f>
        <v>Beacon.Put(110,0,3037);</v>
      </c>
      <c r="E38" t="str">
        <f ca="1">"Beacon.Put(110,0,4"&amp;TEXT(E電入力!$U39,"000")&amp;");"</f>
        <v>Beacon.Put(110,0,4036);</v>
      </c>
      <c r="F38" t="str">
        <f ca="1">"Beacon.Put(110,0,5"&amp;TEXT(E電入力!$V39,"000")&amp;");"</f>
        <v>Beacon.Put(110,0,5035);</v>
      </c>
      <c r="G38" t="str">
        <f ca="1">"Beacon.Put(110,0,6"&amp;TEXT(E電入力!$W39,"000")&amp;");"</f>
        <v>Beacon.Put(110,0,6000);</v>
      </c>
    </row>
    <row r="39" spans="1:7">
      <c r="A39" t="str">
        <f>E電入力!C40&amp;"+25;"</f>
        <v>+25;</v>
      </c>
      <c r="B39" t="str">
        <f ca="1">"Beacon.Put(110,0,1"&amp;TEXT(E電入力!$R40,"000")&amp;");"</f>
        <v>Beacon.Put(110,0,1039);</v>
      </c>
      <c r="C39" t="str">
        <f ca="1">"Beacon.Put(110,0,2"&amp;TEXT(E電入力!$S40,"000")&amp;");"</f>
        <v>Beacon.Put(110,0,2038);</v>
      </c>
      <c r="D39" t="str">
        <f ca="1">"Beacon.Put(110,0,3"&amp;TEXT(E電入力!$T40,"000")&amp;");"</f>
        <v>Beacon.Put(110,0,3037);</v>
      </c>
      <c r="E39" t="str">
        <f ca="1">"Beacon.Put(110,0,4"&amp;TEXT(E電入力!$U40,"000")&amp;");"</f>
        <v>Beacon.Put(110,0,4036);</v>
      </c>
      <c r="F39" t="str">
        <f ca="1">"Beacon.Put(110,0,5"&amp;TEXT(E電入力!$V40,"000")&amp;");"</f>
        <v>Beacon.Put(110,0,5035);</v>
      </c>
      <c r="G39" t="str">
        <f ca="1">"Beacon.Put(110,0,6"&amp;TEXT(E電入力!$W40,"000")&amp;");"</f>
        <v>Beacon.Put(110,0,6000);</v>
      </c>
    </row>
    <row r="40" spans="1:7">
      <c r="A40" t="str">
        <f>E電入力!C41&amp;"+25;"</f>
        <v>+25;</v>
      </c>
      <c r="B40" t="str">
        <f ca="1">"Beacon.Put(110,0,1"&amp;TEXT(E電入力!$R41,"000")&amp;");"</f>
        <v>Beacon.Put(110,0,1039);</v>
      </c>
      <c r="C40" t="str">
        <f ca="1">"Beacon.Put(110,0,2"&amp;TEXT(E電入力!$S41,"000")&amp;");"</f>
        <v>Beacon.Put(110,0,2038);</v>
      </c>
      <c r="D40" t="str">
        <f ca="1">"Beacon.Put(110,0,3"&amp;TEXT(E電入力!$T41,"000")&amp;");"</f>
        <v>Beacon.Put(110,0,3037);</v>
      </c>
      <c r="E40" t="str">
        <f ca="1">"Beacon.Put(110,0,4"&amp;TEXT(E電入力!$U41,"000")&amp;");"</f>
        <v>Beacon.Put(110,0,4036);</v>
      </c>
      <c r="F40" t="str">
        <f ca="1">"Beacon.Put(110,0,5"&amp;TEXT(E電入力!$V41,"000")&amp;");"</f>
        <v>Beacon.Put(110,0,5035);</v>
      </c>
      <c r="G40" t="str">
        <f ca="1">"Beacon.Put(110,0,6"&amp;TEXT(E電入力!$W41,"000")&amp;");"</f>
        <v>Beacon.Put(110,0,6000);</v>
      </c>
    </row>
    <row r="41" spans="1:7">
      <c r="A41" t="str">
        <f>E電入力!C42&amp;"+25;"</f>
        <v>+25;</v>
      </c>
      <c r="B41" t="str">
        <f ca="1">"Beacon.Put(110,0,1"&amp;TEXT(E電入力!$R42,"000")&amp;");"</f>
        <v>Beacon.Put(110,0,1039);</v>
      </c>
      <c r="C41" t="str">
        <f ca="1">"Beacon.Put(110,0,2"&amp;TEXT(E電入力!$S42,"000")&amp;");"</f>
        <v>Beacon.Put(110,0,2038);</v>
      </c>
      <c r="D41" t="str">
        <f ca="1">"Beacon.Put(110,0,3"&amp;TEXT(E電入力!$T42,"000")&amp;");"</f>
        <v>Beacon.Put(110,0,3037);</v>
      </c>
      <c r="E41" t="str">
        <f ca="1">"Beacon.Put(110,0,4"&amp;TEXT(E電入力!$U42,"000")&amp;");"</f>
        <v>Beacon.Put(110,0,4036);</v>
      </c>
      <c r="F41" t="str">
        <f ca="1">"Beacon.Put(110,0,5"&amp;TEXT(E電入力!$V42,"000")&amp;");"</f>
        <v>Beacon.Put(110,0,5035);</v>
      </c>
      <c r="G41" t="str">
        <f ca="1">"Beacon.Put(110,0,6"&amp;TEXT(E電入力!$W42,"000")&amp;");"</f>
        <v>Beacon.Put(110,0,6000);</v>
      </c>
    </row>
    <row r="42" spans="1:7">
      <c r="A42" t="str">
        <f>E電入力!C43&amp;"+25;"</f>
        <v>+25;</v>
      </c>
      <c r="B42" t="str">
        <f ca="1">"Beacon.Put(110,0,1"&amp;TEXT(E電入力!$R43,"000")&amp;");"</f>
        <v>Beacon.Put(110,0,1039);</v>
      </c>
      <c r="C42" t="str">
        <f ca="1">"Beacon.Put(110,0,2"&amp;TEXT(E電入力!$S43,"000")&amp;");"</f>
        <v>Beacon.Put(110,0,2038);</v>
      </c>
      <c r="D42" t="str">
        <f ca="1">"Beacon.Put(110,0,3"&amp;TEXT(E電入力!$T43,"000")&amp;");"</f>
        <v>Beacon.Put(110,0,3037);</v>
      </c>
      <c r="E42" t="str">
        <f ca="1">"Beacon.Put(110,0,4"&amp;TEXT(E電入力!$U43,"000")&amp;");"</f>
        <v>Beacon.Put(110,0,4036);</v>
      </c>
      <c r="F42" t="str">
        <f ca="1">"Beacon.Put(110,0,5"&amp;TEXT(E電入力!$V43,"000")&amp;");"</f>
        <v>Beacon.Put(110,0,5035);</v>
      </c>
      <c r="G42" t="str">
        <f ca="1">"Beacon.Put(110,0,6"&amp;TEXT(E電入力!$W43,"000")&amp;");"</f>
        <v>Beacon.Put(110,0,6000);</v>
      </c>
    </row>
    <row r="43" spans="1:7">
      <c r="A43" t="str">
        <f>E電入力!C44&amp;"+25;"</f>
        <v>+25;</v>
      </c>
      <c r="B43" t="str">
        <f ca="1">"Beacon.Put(110,0,1"&amp;TEXT(E電入力!$R44,"000")&amp;");"</f>
        <v>Beacon.Put(110,0,1039);</v>
      </c>
      <c r="C43" t="str">
        <f ca="1">"Beacon.Put(110,0,2"&amp;TEXT(E電入力!$S44,"000")&amp;");"</f>
        <v>Beacon.Put(110,0,2038);</v>
      </c>
      <c r="D43" t="str">
        <f ca="1">"Beacon.Put(110,0,3"&amp;TEXT(E電入力!$T44,"000")&amp;");"</f>
        <v>Beacon.Put(110,0,3037);</v>
      </c>
      <c r="E43" t="str">
        <f ca="1">"Beacon.Put(110,0,4"&amp;TEXT(E電入力!$U44,"000")&amp;");"</f>
        <v>Beacon.Put(110,0,4036);</v>
      </c>
      <c r="F43" t="str">
        <f ca="1">"Beacon.Put(110,0,5"&amp;TEXT(E電入力!$V44,"000")&amp;");"</f>
        <v>Beacon.Put(110,0,5035);</v>
      </c>
      <c r="G43" t="str">
        <f ca="1">"Beacon.Put(110,0,6"&amp;TEXT(E電入力!$W44,"000")&amp;");"</f>
        <v>Beacon.Put(110,0,6000);</v>
      </c>
    </row>
    <row r="44" spans="1:7">
      <c r="A44" t="str">
        <f>E電入力!C45&amp;"+25;"</f>
        <v>+25;</v>
      </c>
      <c r="B44" t="str">
        <f ca="1">"Beacon.Put(110,0,1"&amp;TEXT(E電入力!$R45,"000")&amp;");"</f>
        <v>Beacon.Put(110,0,1039);</v>
      </c>
      <c r="C44" t="str">
        <f ca="1">"Beacon.Put(110,0,2"&amp;TEXT(E電入力!$S45,"000")&amp;");"</f>
        <v>Beacon.Put(110,0,2038);</v>
      </c>
      <c r="D44" t="str">
        <f ca="1">"Beacon.Put(110,0,3"&amp;TEXT(E電入力!$T45,"000")&amp;");"</f>
        <v>Beacon.Put(110,0,3037);</v>
      </c>
      <c r="E44" t="str">
        <f ca="1">"Beacon.Put(110,0,4"&amp;TEXT(E電入力!$U45,"000")&amp;");"</f>
        <v>Beacon.Put(110,0,4036);</v>
      </c>
      <c r="F44" t="str">
        <f ca="1">"Beacon.Put(110,0,5"&amp;TEXT(E電入力!$V45,"000")&amp;");"</f>
        <v>Beacon.Put(110,0,5035);</v>
      </c>
      <c r="G44" t="str">
        <f ca="1">"Beacon.Put(110,0,6"&amp;TEXT(E電入力!$W45,"000")&amp;");"</f>
        <v>Beacon.Put(110,0,6000);</v>
      </c>
    </row>
    <row r="45" spans="1:7">
      <c r="A45" t="str">
        <f>E電入力!C46&amp;"+25;"</f>
        <v>+25;</v>
      </c>
      <c r="B45" t="str">
        <f ca="1">"Beacon.Put(110,0,1"&amp;TEXT(E電入力!$R46,"000")&amp;");"</f>
        <v>Beacon.Put(110,0,1039);</v>
      </c>
      <c r="C45" t="str">
        <f ca="1">"Beacon.Put(110,0,2"&amp;TEXT(E電入力!$S46,"000")&amp;");"</f>
        <v>Beacon.Put(110,0,2038);</v>
      </c>
      <c r="D45" t="str">
        <f ca="1">"Beacon.Put(110,0,3"&amp;TEXT(E電入力!$T46,"000")&amp;");"</f>
        <v>Beacon.Put(110,0,3037);</v>
      </c>
      <c r="E45" t="str">
        <f ca="1">"Beacon.Put(110,0,4"&amp;TEXT(E電入力!$U46,"000")&amp;");"</f>
        <v>Beacon.Put(110,0,4036);</v>
      </c>
      <c r="F45" t="str">
        <f ca="1">"Beacon.Put(110,0,5"&amp;TEXT(E電入力!$V46,"000")&amp;");"</f>
        <v>Beacon.Put(110,0,5035);</v>
      </c>
      <c r="G45" t="str">
        <f ca="1">"Beacon.Put(110,0,6"&amp;TEXT(E電入力!$W46,"000")&amp;");"</f>
        <v>Beacon.Put(110,0,6000);</v>
      </c>
    </row>
    <row r="46" spans="1:7">
      <c r="A46" t="str">
        <f>E電入力!C47&amp;"+25;"</f>
        <v>+25;</v>
      </c>
      <c r="B46" t="str">
        <f ca="1">"Beacon.Put(110,0,1"&amp;TEXT(E電入力!$R47,"000")&amp;");"</f>
        <v>Beacon.Put(110,0,1039);</v>
      </c>
      <c r="C46" t="str">
        <f ca="1">"Beacon.Put(110,0,2"&amp;TEXT(E電入力!$S47,"000")&amp;");"</f>
        <v>Beacon.Put(110,0,2038);</v>
      </c>
      <c r="D46" t="str">
        <f ca="1">"Beacon.Put(110,0,3"&amp;TEXT(E電入力!$T47,"000")&amp;");"</f>
        <v>Beacon.Put(110,0,3037);</v>
      </c>
      <c r="E46" t="str">
        <f ca="1">"Beacon.Put(110,0,4"&amp;TEXT(E電入力!$U47,"000")&amp;");"</f>
        <v>Beacon.Put(110,0,4036);</v>
      </c>
      <c r="F46" t="str">
        <f ca="1">"Beacon.Put(110,0,5"&amp;TEXT(E電入力!$V47,"000")&amp;");"</f>
        <v>Beacon.Put(110,0,5035);</v>
      </c>
      <c r="G46" t="str">
        <f ca="1">"Beacon.Put(110,0,6"&amp;TEXT(E電入力!$W47,"000")&amp;");"</f>
        <v>Beacon.Put(110,0,6000);</v>
      </c>
    </row>
    <row r="47" spans="1:7">
      <c r="A47" t="str">
        <f>E電入力!C48&amp;"+25;"</f>
        <v>+25;</v>
      </c>
      <c r="B47" t="str">
        <f ca="1">"Beacon.Put(110,0,1"&amp;TEXT(E電入力!$R48,"000")&amp;");"</f>
        <v>Beacon.Put(110,0,1039);</v>
      </c>
      <c r="C47" t="str">
        <f ca="1">"Beacon.Put(110,0,2"&amp;TEXT(E電入力!$S48,"000")&amp;");"</f>
        <v>Beacon.Put(110,0,2038);</v>
      </c>
      <c r="D47" t="str">
        <f ca="1">"Beacon.Put(110,0,3"&amp;TEXT(E電入力!$T48,"000")&amp;");"</f>
        <v>Beacon.Put(110,0,3037);</v>
      </c>
      <c r="E47" t="str">
        <f ca="1">"Beacon.Put(110,0,4"&amp;TEXT(E電入力!$U48,"000")&amp;");"</f>
        <v>Beacon.Put(110,0,4036);</v>
      </c>
      <c r="F47" t="str">
        <f ca="1">"Beacon.Put(110,0,5"&amp;TEXT(E電入力!$V48,"000")&amp;");"</f>
        <v>Beacon.Put(110,0,5035);</v>
      </c>
      <c r="G47" t="str">
        <f ca="1">"Beacon.Put(110,0,6"&amp;TEXT(E電入力!$W48,"000")&amp;");"</f>
        <v>Beacon.Put(110,0,6000);</v>
      </c>
    </row>
    <row r="48" spans="1:7">
      <c r="A48" t="str">
        <f>E電入力!C49&amp;"+25;"</f>
        <v>+25;</v>
      </c>
      <c r="B48" t="str">
        <f ca="1">"Beacon.Put(110,0,1"&amp;TEXT(E電入力!$R49,"000")&amp;");"</f>
        <v>Beacon.Put(110,0,1039);</v>
      </c>
      <c r="C48" t="str">
        <f ca="1">"Beacon.Put(110,0,2"&amp;TEXT(E電入力!$S49,"000")&amp;");"</f>
        <v>Beacon.Put(110,0,2038);</v>
      </c>
      <c r="D48" t="str">
        <f ca="1">"Beacon.Put(110,0,3"&amp;TEXT(E電入力!$T49,"000")&amp;");"</f>
        <v>Beacon.Put(110,0,3037);</v>
      </c>
      <c r="E48" t="str">
        <f ca="1">"Beacon.Put(110,0,4"&amp;TEXT(E電入力!$U49,"000")&amp;");"</f>
        <v>Beacon.Put(110,0,4036);</v>
      </c>
      <c r="F48" t="str">
        <f ca="1">"Beacon.Put(110,0,5"&amp;TEXT(E電入力!$V49,"000")&amp;");"</f>
        <v>Beacon.Put(110,0,5035);</v>
      </c>
      <c r="G48" t="str">
        <f ca="1">"Beacon.Put(110,0,6"&amp;TEXT(E電入力!$W49,"000")&amp;");"</f>
        <v>Beacon.Put(110,0,6000);</v>
      </c>
    </row>
    <row r="49" spans="1:7">
      <c r="A49" t="str">
        <f>E電入力!C50&amp;"+25;"</f>
        <v>+25;</v>
      </c>
      <c r="B49" t="str">
        <f ca="1">"Beacon.Put(110,0,1"&amp;TEXT(E電入力!$R50,"000")&amp;");"</f>
        <v>Beacon.Put(110,0,1039);</v>
      </c>
      <c r="C49" t="str">
        <f ca="1">"Beacon.Put(110,0,2"&amp;TEXT(E電入力!$S50,"000")&amp;");"</f>
        <v>Beacon.Put(110,0,2038);</v>
      </c>
      <c r="D49" t="str">
        <f ca="1">"Beacon.Put(110,0,3"&amp;TEXT(E電入力!$T50,"000")&amp;");"</f>
        <v>Beacon.Put(110,0,3037);</v>
      </c>
      <c r="E49" t="str">
        <f ca="1">"Beacon.Put(110,0,4"&amp;TEXT(E電入力!$U50,"000")&amp;");"</f>
        <v>Beacon.Put(110,0,4036);</v>
      </c>
      <c r="F49" t="str">
        <f ca="1">"Beacon.Put(110,0,5"&amp;TEXT(E電入力!$V50,"000")&amp;");"</f>
        <v>Beacon.Put(110,0,5035);</v>
      </c>
      <c r="G49" t="str">
        <f ca="1">"Beacon.Put(110,0,6"&amp;TEXT(E電入力!$W50,"000")&amp;");"</f>
        <v>Beacon.Put(110,0,6000);</v>
      </c>
    </row>
    <row r="50" spans="1:7">
      <c r="A50" t="str">
        <f>E電入力!C51&amp;"+25;"</f>
        <v>+25;</v>
      </c>
      <c r="B50" t="str">
        <f ca="1">"Beacon.Put(110,0,1"&amp;TEXT(E電入力!$R51,"000")&amp;");"</f>
        <v>Beacon.Put(110,0,1039);</v>
      </c>
      <c r="C50" t="str">
        <f ca="1">"Beacon.Put(110,0,2"&amp;TEXT(E電入力!$S51,"000")&amp;");"</f>
        <v>Beacon.Put(110,0,2038);</v>
      </c>
      <c r="D50" t="str">
        <f ca="1">"Beacon.Put(110,0,3"&amp;TEXT(E電入力!$T51,"000")&amp;");"</f>
        <v>Beacon.Put(110,0,3037);</v>
      </c>
      <c r="E50" t="str">
        <f ca="1">"Beacon.Put(110,0,4"&amp;TEXT(E電入力!$U51,"000")&amp;");"</f>
        <v>Beacon.Put(110,0,4036);</v>
      </c>
      <c r="F50" t="str">
        <f ca="1">"Beacon.Put(110,0,5"&amp;TEXT(E電入力!$V51,"000")&amp;");"</f>
        <v>Beacon.Put(110,0,5035);</v>
      </c>
      <c r="G50" t="str">
        <f ca="1">"Beacon.Put(110,0,6"&amp;TEXT(E電入力!$W51,"000")&amp;");"</f>
        <v>Beacon.Put(110,0,6000);</v>
      </c>
    </row>
    <row r="51" spans="1:7">
      <c r="A51" t="str">
        <f>E電入力!C52&amp;"+25;"</f>
        <v>+25;</v>
      </c>
      <c r="B51" t="str">
        <f ca="1">"Beacon.Put(110,0,1"&amp;TEXT(E電入力!$R52,"000")&amp;");"</f>
        <v>Beacon.Put(110,0,1039);</v>
      </c>
      <c r="C51" t="str">
        <f ca="1">"Beacon.Put(110,0,2"&amp;TEXT(E電入力!$S52,"000")&amp;");"</f>
        <v>Beacon.Put(110,0,2038);</v>
      </c>
      <c r="D51" t="str">
        <f ca="1">"Beacon.Put(110,0,3"&amp;TEXT(E電入力!$T52,"000")&amp;");"</f>
        <v>Beacon.Put(110,0,3037);</v>
      </c>
      <c r="E51" t="str">
        <f ca="1">"Beacon.Put(110,0,4"&amp;TEXT(E電入力!$U52,"000")&amp;");"</f>
        <v>Beacon.Put(110,0,4036);</v>
      </c>
      <c r="F51" t="str">
        <f ca="1">"Beacon.Put(110,0,5"&amp;TEXT(E電入力!$V52,"000")&amp;");"</f>
        <v>Beacon.Put(110,0,5035);</v>
      </c>
      <c r="G51" t="str">
        <f ca="1">"Beacon.Put(110,0,6"&amp;TEXT(E電入力!$W52,"000")&amp;");"</f>
        <v>Beacon.Put(110,0,6000);</v>
      </c>
    </row>
    <row r="52" spans="1:7">
      <c r="A52" t="str">
        <f>E電入力!C53&amp;"+25;"</f>
        <v>+25;</v>
      </c>
      <c r="B52" t="str">
        <f ca="1">"Beacon.Put(110,0,1"&amp;TEXT(E電入力!$R53,"000")&amp;");"</f>
        <v>Beacon.Put(110,0,1039);</v>
      </c>
      <c r="C52" t="str">
        <f ca="1">"Beacon.Put(110,0,2"&amp;TEXT(E電入力!$S53,"000")&amp;");"</f>
        <v>Beacon.Put(110,0,2038);</v>
      </c>
      <c r="D52" t="str">
        <f ca="1">"Beacon.Put(110,0,3"&amp;TEXT(E電入力!$T53,"000")&amp;");"</f>
        <v>Beacon.Put(110,0,3037);</v>
      </c>
      <c r="E52" t="str">
        <f ca="1">"Beacon.Put(110,0,4"&amp;TEXT(E電入力!$U53,"000")&amp;");"</f>
        <v>Beacon.Put(110,0,4036);</v>
      </c>
      <c r="F52" t="str">
        <f ca="1">"Beacon.Put(110,0,5"&amp;TEXT(E電入力!$V53,"000")&amp;");"</f>
        <v>Beacon.Put(110,0,5035);</v>
      </c>
      <c r="G52" t="str">
        <f ca="1">"Beacon.Put(110,0,6"&amp;TEXT(E電入力!$W53,"000")&amp;");"</f>
        <v>Beacon.Put(110,0,6000);</v>
      </c>
    </row>
    <row r="53" spans="1:7">
      <c r="A53" t="str">
        <f>E電入力!C54&amp;"+25;"</f>
        <v>+25;</v>
      </c>
      <c r="B53" t="str">
        <f ca="1">"Beacon.Put(110,0,1"&amp;TEXT(E電入力!$R54,"000")&amp;");"</f>
        <v>Beacon.Put(110,0,1039);</v>
      </c>
      <c r="C53" t="str">
        <f ca="1">"Beacon.Put(110,0,2"&amp;TEXT(E電入力!$S54,"000")&amp;");"</f>
        <v>Beacon.Put(110,0,2038);</v>
      </c>
      <c r="D53" t="str">
        <f ca="1">"Beacon.Put(110,0,3"&amp;TEXT(E電入力!$T54,"000")&amp;");"</f>
        <v>Beacon.Put(110,0,3037);</v>
      </c>
      <c r="E53" t="str">
        <f ca="1">"Beacon.Put(110,0,4"&amp;TEXT(E電入力!$U54,"000")&amp;");"</f>
        <v>Beacon.Put(110,0,4036);</v>
      </c>
      <c r="F53" t="str">
        <f ca="1">"Beacon.Put(110,0,5"&amp;TEXT(E電入力!$V54,"000")&amp;");"</f>
        <v>Beacon.Put(110,0,5035);</v>
      </c>
      <c r="G53" t="str">
        <f ca="1">"Beacon.Put(110,0,6"&amp;TEXT(E電入力!$W54,"000")&amp;");"</f>
        <v>Beacon.Put(110,0,6000);</v>
      </c>
    </row>
    <row r="54" spans="1:7">
      <c r="A54" t="str">
        <f>E電入力!C55&amp;"+25;"</f>
        <v>+25;</v>
      </c>
      <c r="B54" t="str">
        <f ca="1">"Beacon.Put(110,0,1"&amp;TEXT(E電入力!$R55,"000")&amp;");"</f>
        <v>Beacon.Put(110,0,1039);</v>
      </c>
      <c r="C54" t="str">
        <f ca="1">"Beacon.Put(110,0,2"&amp;TEXT(E電入力!$S55,"000")&amp;");"</f>
        <v>Beacon.Put(110,0,2038);</v>
      </c>
      <c r="D54" t="str">
        <f ca="1">"Beacon.Put(110,0,3"&amp;TEXT(E電入力!$T55,"000")&amp;");"</f>
        <v>Beacon.Put(110,0,3037);</v>
      </c>
      <c r="E54" t="str">
        <f ca="1">"Beacon.Put(110,0,4"&amp;TEXT(E電入力!$U55,"000")&amp;");"</f>
        <v>Beacon.Put(110,0,4036);</v>
      </c>
      <c r="F54" t="str">
        <f ca="1">"Beacon.Put(110,0,5"&amp;TEXT(E電入力!$V55,"000")&amp;");"</f>
        <v>Beacon.Put(110,0,5035);</v>
      </c>
      <c r="G54" t="str">
        <f ca="1">"Beacon.Put(110,0,6"&amp;TEXT(E電入力!$W55,"000")&amp;");"</f>
        <v>Beacon.Put(110,0,6000);</v>
      </c>
    </row>
    <row r="55" spans="1:7">
      <c r="A55" t="str">
        <f>E電入力!C56&amp;"+25;"</f>
        <v>+25;</v>
      </c>
      <c r="B55" t="str">
        <f ca="1">"Beacon.Put(110,0,1"&amp;TEXT(E電入力!$R56,"000")&amp;");"</f>
        <v>Beacon.Put(110,0,1039);</v>
      </c>
      <c r="C55" t="str">
        <f ca="1">"Beacon.Put(110,0,2"&amp;TEXT(E電入力!$S56,"000")&amp;");"</f>
        <v>Beacon.Put(110,0,2038);</v>
      </c>
      <c r="D55" t="str">
        <f ca="1">"Beacon.Put(110,0,3"&amp;TEXT(E電入力!$T56,"000")&amp;");"</f>
        <v>Beacon.Put(110,0,3037);</v>
      </c>
      <c r="E55" t="str">
        <f ca="1">"Beacon.Put(110,0,4"&amp;TEXT(E電入力!$U56,"000")&amp;");"</f>
        <v>Beacon.Put(110,0,4036);</v>
      </c>
      <c r="F55" t="str">
        <f ca="1">"Beacon.Put(110,0,5"&amp;TEXT(E電入力!$V56,"000")&amp;");"</f>
        <v>Beacon.Put(110,0,5035);</v>
      </c>
      <c r="G55" t="str">
        <f ca="1">"Beacon.Put(110,0,6"&amp;TEXT(E電入力!$W56,"000")&amp;");"</f>
        <v>Beacon.Put(110,0,6000);</v>
      </c>
    </row>
    <row r="56" spans="1:7">
      <c r="A56" t="str">
        <f>E電入力!C57&amp;"+25;"</f>
        <v>+25;</v>
      </c>
      <c r="B56" t="str">
        <f ca="1">"Beacon.Put(110,0,1"&amp;TEXT(E電入力!$R57,"000")&amp;");"</f>
        <v>Beacon.Put(110,0,1039);</v>
      </c>
      <c r="C56" t="str">
        <f ca="1">"Beacon.Put(110,0,2"&amp;TEXT(E電入力!$S57,"000")&amp;");"</f>
        <v>Beacon.Put(110,0,2038);</v>
      </c>
      <c r="D56" t="str">
        <f ca="1">"Beacon.Put(110,0,3"&amp;TEXT(E電入力!$T57,"000")&amp;");"</f>
        <v>Beacon.Put(110,0,3037);</v>
      </c>
      <c r="E56" t="str">
        <f ca="1">"Beacon.Put(110,0,4"&amp;TEXT(E電入力!$U57,"000")&amp;");"</f>
        <v>Beacon.Put(110,0,4036);</v>
      </c>
      <c r="F56" t="str">
        <f ca="1">"Beacon.Put(110,0,5"&amp;TEXT(E電入力!$V57,"000")&amp;");"</f>
        <v>Beacon.Put(110,0,5035);</v>
      </c>
      <c r="G56" t="str">
        <f ca="1">"Beacon.Put(110,0,6"&amp;TEXT(E電入力!$W57,"000")&amp;");"</f>
        <v>Beacon.Put(110,0,6000);</v>
      </c>
    </row>
    <row r="57" spans="1:7">
      <c r="A57" t="str">
        <f>E電入力!C58&amp;"+25;"</f>
        <v>+25;</v>
      </c>
      <c r="B57" t="str">
        <f ca="1">"Beacon.Put(110,0,1"&amp;TEXT(E電入力!$R58,"000")&amp;");"</f>
        <v>Beacon.Put(110,0,1039);</v>
      </c>
      <c r="C57" t="str">
        <f ca="1">"Beacon.Put(110,0,2"&amp;TEXT(E電入力!$S58,"000")&amp;");"</f>
        <v>Beacon.Put(110,0,2038);</v>
      </c>
      <c r="D57" t="str">
        <f ca="1">"Beacon.Put(110,0,3"&amp;TEXT(E電入力!$T58,"000")&amp;");"</f>
        <v>Beacon.Put(110,0,3037);</v>
      </c>
      <c r="E57" t="str">
        <f ca="1">"Beacon.Put(110,0,4"&amp;TEXT(E電入力!$U58,"000")&amp;");"</f>
        <v>Beacon.Put(110,0,4036);</v>
      </c>
      <c r="F57" t="str">
        <f ca="1">"Beacon.Put(110,0,5"&amp;TEXT(E電入力!$V58,"000")&amp;");"</f>
        <v>Beacon.Put(110,0,5035);</v>
      </c>
      <c r="G57" t="str">
        <f ca="1">"Beacon.Put(110,0,6"&amp;TEXT(E電入力!$W58,"000")&amp;");"</f>
        <v>Beacon.Put(110,0,6000);</v>
      </c>
    </row>
    <row r="58" spans="1:7">
      <c r="A58" t="str">
        <f>E電入力!C59&amp;"+25;"</f>
        <v>+25;</v>
      </c>
      <c r="B58" t="str">
        <f ca="1">"Beacon.Put(110,0,1"&amp;TEXT(E電入力!$R59,"000")&amp;");"</f>
        <v>Beacon.Put(110,0,1039);</v>
      </c>
      <c r="C58" t="str">
        <f ca="1">"Beacon.Put(110,0,2"&amp;TEXT(E電入力!$S59,"000")&amp;");"</f>
        <v>Beacon.Put(110,0,2038);</v>
      </c>
      <c r="D58" t="str">
        <f ca="1">"Beacon.Put(110,0,3"&amp;TEXT(E電入力!$T59,"000")&amp;");"</f>
        <v>Beacon.Put(110,0,3037);</v>
      </c>
      <c r="E58" t="str">
        <f ca="1">"Beacon.Put(110,0,4"&amp;TEXT(E電入力!$U59,"000")&amp;");"</f>
        <v>Beacon.Put(110,0,4036);</v>
      </c>
      <c r="F58" t="str">
        <f ca="1">"Beacon.Put(110,0,5"&amp;TEXT(E電入力!$V59,"000")&amp;");"</f>
        <v>Beacon.Put(110,0,5035);</v>
      </c>
      <c r="G58" t="str">
        <f ca="1">"Beacon.Put(110,0,6"&amp;TEXT(E電入力!$W59,"000")&amp;");"</f>
        <v>Beacon.Put(110,0,6000);</v>
      </c>
    </row>
    <row r="59" spans="1:7">
      <c r="A59" t="str">
        <f>E電入力!C60&amp;"+25;"</f>
        <v>+25;</v>
      </c>
      <c r="B59" t="str">
        <f ca="1">"Beacon.Put(110,0,1"&amp;TEXT(E電入力!$R60,"000")&amp;");"</f>
        <v>Beacon.Put(110,0,1039);</v>
      </c>
      <c r="C59" t="str">
        <f ca="1">"Beacon.Put(110,0,2"&amp;TEXT(E電入力!$S60,"000")&amp;");"</f>
        <v>Beacon.Put(110,0,2038);</v>
      </c>
      <c r="D59" t="str">
        <f ca="1">"Beacon.Put(110,0,3"&amp;TEXT(E電入力!$T60,"000")&amp;");"</f>
        <v>Beacon.Put(110,0,3037);</v>
      </c>
      <c r="E59" t="str">
        <f ca="1">"Beacon.Put(110,0,4"&amp;TEXT(E電入力!$U60,"000")&amp;");"</f>
        <v>Beacon.Put(110,0,4036);</v>
      </c>
      <c r="F59" t="str">
        <f ca="1">"Beacon.Put(110,0,5"&amp;TEXT(E電入力!$V60,"000")&amp;");"</f>
        <v>Beacon.Put(110,0,5035);</v>
      </c>
      <c r="G59" t="str">
        <f ca="1">"Beacon.Put(110,0,6"&amp;TEXT(E電入力!$W60,"000")&amp;");"</f>
        <v>Beacon.Put(110,0,6000);</v>
      </c>
    </row>
    <row r="60" spans="1:7">
      <c r="A60" t="str">
        <f>E電入力!C61&amp;"+25;"</f>
        <v>+25;</v>
      </c>
      <c r="B60" t="str">
        <f ca="1">"Beacon.Put(110,0,1"&amp;TEXT(E電入力!$R61,"000")&amp;");"</f>
        <v>Beacon.Put(110,0,1039);</v>
      </c>
      <c r="C60" t="str">
        <f ca="1">"Beacon.Put(110,0,2"&amp;TEXT(E電入力!$S61,"000")&amp;");"</f>
        <v>Beacon.Put(110,0,2038);</v>
      </c>
      <c r="D60" t="str">
        <f ca="1">"Beacon.Put(110,0,3"&amp;TEXT(E電入力!$T61,"000")&amp;");"</f>
        <v>Beacon.Put(110,0,3037);</v>
      </c>
      <c r="E60" t="str">
        <f ca="1">"Beacon.Put(110,0,4"&amp;TEXT(E電入力!$U61,"000")&amp;");"</f>
        <v>Beacon.Put(110,0,4036);</v>
      </c>
      <c r="F60" t="str">
        <f ca="1">"Beacon.Put(110,0,5"&amp;TEXT(E電入力!$V61,"000")&amp;");"</f>
        <v>Beacon.Put(110,0,5035);</v>
      </c>
      <c r="G60" t="str">
        <f ca="1">"Beacon.Put(110,0,6"&amp;TEXT(E電入力!$W61,"000")&amp;");"</f>
        <v>Beacon.Put(110,0,6000);</v>
      </c>
    </row>
    <row r="61" spans="1:7">
      <c r="A61" t="str">
        <f>E電入力!C62&amp;"+25;"</f>
        <v>+25;</v>
      </c>
      <c r="B61" t="str">
        <f ca="1">"Beacon.Put(110,0,1"&amp;TEXT(E電入力!$R62,"000")&amp;");"</f>
        <v>Beacon.Put(110,0,1039);</v>
      </c>
      <c r="C61" t="str">
        <f ca="1">"Beacon.Put(110,0,2"&amp;TEXT(E電入力!$S62,"000")&amp;");"</f>
        <v>Beacon.Put(110,0,2038);</v>
      </c>
      <c r="D61" t="str">
        <f ca="1">"Beacon.Put(110,0,3"&amp;TEXT(E電入力!$T62,"000")&amp;");"</f>
        <v>Beacon.Put(110,0,3037);</v>
      </c>
      <c r="E61" t="str">
        <f ca="1">"Beacon.Put(110,0,4"&amp;TEXT(E電入力!$U62,"000")&amp;");"</f>
        <v>Beacon.Put(110,0,4036);</v>
      </c>
      <c r="F61" t="str">
        <f ca="1">"Beacon.Put(110,0,5"&amp;TEXT(E電入力!$V62,"000")&amp;");"</f>
        <v>Beacon.Put(110,0,5035);</v>
      </c>
      <c r="G61" t="str">
        <f ca="1">"Beacon.Put(110,0,6"&amp;TEXT(E電入力!$W62,"000")&amp;");"</f>
        <v>Beacon.Put(110,0,6000);</v>
      </c>
    </row>
    <row r="62" spans="1:7">
      <c r="A62" t="str">
        <f>E電入力!C63&amp;"+25;"</f>
        <v>+25;</v>
      </c>
      <c r="B62" t="str">
        <f ca="1">"Beacon.Put(110,0,1"&amp;TEXT(E電入力!$R63,"000")&amp;");"</f>
        <v>Beacon.Put(110,0,1039);</v>
      </c>
      <c r="C62" t="str">
        <f ca="1">"Beacon.Put(110,0,2"&amp;TEXT(E電入力!$S63,"000")&amp;");"</f>
        <v>Beacon.Put(110,0,2038);</v>
      </c>
      <c r="D62" t="str">
        <f ca="1">"Beacon.Put(110,0,3"&amp;TEXT(E電入力!$T63,"000")&amp;");"</f>
        <v>Beacon.Put(110,0,3037);</v>
      </c>
      <c r="E62" t="str">
        <f ca="1">"Beacon.Put(110,0,4"&amp;TEXT(E電入力!$U63,"000")&amp;");"</f>
        <v>Beacon.Put(110,0,4036);</v>
      </c>
      <c r="F62" t="str">
        <f ca="1">"Beacon.Put(110,0,5"&amp;TEXT(E電入力!$V63,"000")&amp;");"</f>
        <v>Beacon.Put(110,0,5035);</v>
      </c>
      <c r="G62" t="str">
        <f ca="1">"Beacon.Put(110,0,6"&amp;TEXT(E電入力!$W63,"000")&amp;");"</f>
        <v>Beacon.Put(110,0,6000);</v>
      </c>
    </row>
    <row r="63" spans="1:7">
      <c r="A63" t="str">
        <f>E電入力!C64&amp;"+25;"</f>
        <v>+25;</v>
      </c>
      <c r="B63" t="str">
        <f ca="1">"Beacon.Put(110,0,1"&amp;TEXT(E電入力!$R64,"000")&amp;");"</f>
        <v>Beacon.Put(110,0,1039);</v>
      </c>
      <c r="C63" t="str">
        <f ca="1">"Beacon.Put(110,0,2"&amp;TEXT(E電入力!$S64,"000")&amp;");"</f>
        <v>Beacon.Put(110,0,2038);</v>
      </c>
      <c r="D63" t="str">
        <f ca="1">"Beacon.Put(110,0,3"&amp;TEXT(E電入力!$T64,"000")&amp;");"</f>
        <v>Beacon.Put(110,0,3037);</v>
      </c>
      <c r="E63" t="str">
        <f ca="1">"Beacon.Put(110,0,4"&amp;TEXT(E電入力!$U64,"000")&amp;");"</f>
        <v>Beacon.Put(110,0,4036);</v>
      </c>
      <c r="F63" t="str">
        <f ca="1">"Beacon.Put(110,0,5"&amp;TEXT(E電入力!$V64,"000")&amp;");"</f>
        <v>Beacon.Put(110,0,5035);</v>
      </c>
      <c r="G63" t="str">
        <f ca="1">"Beacon.Put(110,0,6"&amp;TEXT(E電入力!$W64,"000")&amp;");"</f>
        <v>Beacon.Put(110,0,6000);</v>
      </c>
    </row>
    <row r="64" spans="1:7">
      <c r="A64" t="str">
        <f>E電入力!C65&amp;"+25;"</f>
        <v>+25;</v>
      </c>
      <c r="B64" t="str">
        <f ca="1">"Beacon.Put(110,0,1"&amp;TEXT(E電入力!$R65,"000")&amp;");"</f>
        <v>Beacon.Put(110,0,1039);</v>
      </c>
      <c r="C64" t="str">
        <f ca="1">"Beacon.Put(110,0,2"&amp;TEXT(E電入力!$S65,"000")&amp;");"</f>
        <v>Beacon.Put(110,0,2038);</v>
      </c>
      <c r="D64" t="str">
        <f ca="1">"Beacon.Put(110,0,3"&amp;TEXT(E電入力!$T65,"000")&amp;");"</f>
        <v>Beacon.Put(110,0,3037);</v>
      </c>
      <c r="E64" t="str">
        <f ca="1">"Beacon.Put(110,0,4"&amp;TEXT(E電入力!$U65,"000")&amp;");"</f>
        <v>Beacon.Put(110,0,4036);</v>
      </c>
      <c r="F64" t="str">
        <f ca="1">"Beacon.Put(110,0,5"&amp;TEXT(E電入力!$V65,"000")&amp;");"</f>
        <v>Beacon.Put(110,0,5035);</v>
      </c>
      <c r="G64" t="str">
        <f ca="1">"Beacon.Put(110,0,6"&amp;TEXT(E電入力!$W65,"000")&amp;");"</f>
        <v>Beacon.Put(110,0,6000);</v>
      </c>
    </row>
    <row r="65" spans="1:7">
      <c r="A65" t="str">
        <f>E電入力!C66&amp;"+25;"</f>
        <v>+25;</v>
      </c>
      <c r="B65" t="str">
        <f ca="1">"Beacon.Put(110,0,1"&amp;TEXT(E電入力!$R66,"000")&amp;");"</f>
        <v>Beacon.Put(110,0,1039);</v>
      </c>
      <c r="C65" t="str">
        <f ca="1">"Beacon.Put(110,0,2"&amp;TEXT(E電入力!$S66,"000")&amp;");"</f>
        <v>Beacon.Put(110,0,2038);</v>
      </c>
      <c r="D65" t="str">
        <f ca="1">"Beacon.Put(110,0,3"&amp;TEXT(E電入力!$T66,"000")&amp;");"</f>
        <v>Beacon.Put(110,0,3037);</v>
      </c>
      <c r="E65" t="str">
        <f ca="1">"Beacon.Put(110,0,4"&amp;TEXT(E電入力!$U66,"000")&amp;");"</f>
        <v>Beacon.Put(110,0,4036);</v>
      </c>
      <c r="F65" t="str">
        <f ca="1">"Beacon.Put(110,0,5"&amp;TEXT(E電入力!$V66,"000")&amp;");"</f>
        <v>Beacon.Put(110,0,5035);</v>
      </c>
      <c r="G65" t="str">
        <f ca="1">"Beacon.Put(110,0,6"&amp;TEXT(E電入力!$W66,"000")&amp;");"</f>
        <v>Beacon.Put(110,0,6000);</v>
      </c>
    </row>
    <row r="66" spans="1:7">
      <c r="A66" t="str">
        <f>E電入力!C67&amp;"+25;"</f>
        <v>+25;</v>
      </c>
      <c r="B66" t="str">
        <f ca="1">"Beacon.Put(110,0,1"&amp;TEXT(E電入力!$R67,"000")&amp;");"</f>
        <v>Beacon.Put(110,0,1039);</v>
      </c>
      <c r="C66" t="str">
        <f ca="1">"Beacon.Put(110,0,2"&amp;TEXT(E電入力!$S67,"000")&amp;");"</f>
        <v>Beacon.Put(110,0,2038);</v>
      </c>
      <c r="D66" t="str">
        <f ca="1">"Beacon.Put(110,0,3"&amp;TEXT(E電入力!$T67,"000")&amp;");"</f>
        <v>Beacon.Put(110,0,3037);</v>
      </c>
      <c r="E66" t="str">
        <f ca="1">"Beacon.Put(110,0,4"&amp;TEXT(E電入力!$U67,"000")&amp;");"</f>
        <v>Beacon.Put(110,0,4036);</v>
      </c>
      <c r="F66" t="str">
        <f ca="1">"Beacon.Put(110,0,5"&amp;TEXT(E電入力!$V67,"000")&amp;");"</f>
        <v>Beacon.Put(110,0,5035);</v>
      </c>
      <c r="G66" t="str">
        <f ca="1">"Beacon.Put(110,0,6"&amp;TEXT(E電入力!$W67,"000")&amp;");"</f>
        <v>Beacon.Put(110,0,6000);</v>
      </c>
    </row>
    <row r="67" spans="1:7">
      <c r="A67" t="str">
        <f>E電入力!C68&amp;"+25;"</f>
        <v>+25;</v>
      </c>
      <c r="B67" t="str">
        <f ca="1">"Beacon.Put(110,0,1"&amp;TEXT(E電入力!$R68,"000")&amp;");"</f>
        <v>Beacon.Put(110,0,1039);</v>
      </c>
      <c r="C67" t="str">
        <f ca="1">"Beacon.Put(110,0,2"&amp;TEXT(E電入力!$S68,"000")&amp;");"</f>
        <v>Beacon.Put(110,0,2038);</v>
      </c>
      <c r="D67" t="str">
        <f ca="1">"Beacon.Put(110,0,3"&amp;TEXT(E電入力!$T68,"000")&amp;");"</f>
        <v>Beacon.Put(110,0,3037);</v>
      </c>
      <c r="E67" t="str">
        <f ca="1">"Beacon.Put(110,0,4"&amp;TEXT(E電入力!$U68,"000")&amp;");"</f>
        <v>Beacon.Put(110,0,4036);</v>
      </c>
      <c r="F67" t="str">
        <f ca="1">"Beacon.Put(110,0,5"&amp;TEXT(E電入力!$V68,"000")&amp;");"</f>
        <v>Beacon.Put(110,0,5035);</v>
      </c>
      <c r="G67" t="str">
        <f ca="1">"Beacon.Put(110,0,6"&amp;TEXT(E電入力!$W68,"000")&amp;");"</f>
        <v>Beacon.Put(110,0,6000);</v>
      </c>
    </row>
    <row r="68" spans="1:7">
      <c r="A68" t="str">
        <f>E電入力!C69&amp;"+25;"</f>
        <v>+25;</v>
      </c>
      <c r="B68" t="str">
        <f ca="1">"Beacon.Put(110,0,1"&amp;TEXT(E電入力!$R69,"000")&amp;");"</f>
        <v>Beacon.Put(110,0,1039);</v>
      </c>
      <c r="C68" t="str">
        <f ca="1">"Beacon.Put(110,0,2"&amp;TEXT(E電入力!$S69,"000")&amp;");"</f>
        <v>Beacon.Put(110,0,2038);</v>
      </c>
      <c r="D68" t="str">
        <f ca="1">"Beacon.Put(110,0,3"&amp;TEXT(E電入力!$T69,"000")&amp;");"</f>
        <v>Beacon.Put(110,0,3037);</v>
      </c>
      <c r="E68" t="str">
        <f ca="1">"Beacon.Put(110,0,4"&amp;TEXT(E電入力!$U69,"000")&amp;");"</f>
        <v>Beacon.Put(110,0,4036);</v>
      </c>
      <c r="F68" t="str">
        <f ca="1">"Beacon.Put(110,0,5"&amp;TEXT(E電入力!$V69,"000")&amp;");"</f>
        <v>Beacon.Put(110,0,5035);</v>
      </c>
      <c r="G68" t="str">
        <f ca="1">"Beacon.Put(110,0,6"&amp;TEXT(E電入力!$W69,"000")&amp;");"</f>
        <v>Beacon.Put(110,0,6000);</v>
      </c>
    </row>
    <row r="69" spans="1:7">
      <c r="A69" t="str">
        <f>E電入力!C70&amp;"+25;"</f>
        <v>+25;</v>
      </c>
      <c r="B69" t="str">
        <f ca="1">"Beacon.Put(110,0,1"&amp;TEXT(E電入力!$R70,"000")&amp;");"</f>
        <v>Beacon.Put(110,0,1039);</v>
      </c>
      <c r="C69" t="str">
        <f ca="1">"Beacon.Put(110,0,2"&amp;TEXT(E電入力!$S70,"000")&amp;");"</f>
        <v>Beacon.Put(110,0,2038);</v>
      </c>
      <c r="D69" t="str">
        <f ca="1">"Beacon.Put(110,0,3"&amp;TEXT(E電入力!$T70,"000")&amp;");"</f>
        <v>Beacon.Put(110,0,3037);</v>
      </c>
      <c r="E69" t="str">
        <f ca="1">"Beacon.Put(110,0,4"&amp;TEXT(E電入力!$U70,"000")&amp;");"</f>
        <v>Beacon.Put(110,0,4036);</v>
      </c>
      <c r="F69" t="str">
        <f ca="1">"Beacon.Put(110,0,5"&amp;TEXT(E電入力!$V70,"000")&amp;");"</f>
        <v>Beacon.Put(110,0,5035);</v>
      </c>
      <c r="G69" t="str">
        <f ca="1">"Beacon.Put(110,0,6"&amp;TEXT(E電入力!$W70,"000")&amp;");"</f>
        <v>Beacon.Put(110,0,6000);</v>
      </c>
    </row>
    <row r="70" spans="1:7">
      <c r="A70" t="str">
        <f>E電入力!C71&amp;"+25;"</f>
        <v>+25;</v>
      </c>
      <c r="B70" t="str">
        <f ca="1">"Beacon.Put(110,0,1"&amp;TEXT(E電入力!$R71,"000")&amp;");"</f>
        <v>Beacon.Put(110,0,1039);</v>
      </c>
      <c r="C70" t="str">
        <f ca="1">"Beacon.Put(110,0,2"&amp;TEXT(E電入力!$S71,"000")&amp;");"</f>
        <v>Beacon.Put(110,0,2038);</v>
      </c>
      <c r="D70" t="str">
        <f ca="1">"Beacon.Put(110,0,3"&amp;TEXT(E電入力!$T71,"000")&amp;");"</f>
        <v>Beacon.Put(110,0,3037);</v>
      </c>
      <c r="E70" t="str">
        <f ca="1">"Beacon.Put(110,0,4"&amp;TEXT(E電入力!$U71,"000")&amp;");"</f>
        <v>Beacon.Put(110,0,4036);</v>
      </c>
      <c r="F70" t="str">
        <f ca="1">"Beacon.Put(110,0,5"&amp;TEXT(E電入力!$V71,"000")&amp;");"</f>
        <v>Beacon.Put(110,0,5035);</v>
      </c>
      <c r="G70" t="str">
        <f ca="1">"Beacon.Put(110,0,6"&amp;TEXT(E電入力!$W71,"000")&amp;");"</f>
        <v>Beacon.Put(110,0,6000);</v>
      </c>
    </row>
    <row r="71" spans="1:7">
      <c r="A71" t="str">
        <f>E電入力!C72&amp;"+25;"</f>
        <v>+25;</v>
      </c>
      <c r="B71" t="str">
        <f ca="1">"Beacon.Put(110,0,1"&amp;TEXT(E電入力!$R72,"000")&amp;");"</f>
        <v>Beacon.Put(110,0,1039);</v>
      </c>
      <c r="C71" t="str">
        <f ca="1">"Beacon.Put(110,0,2"&amp;TEXT(E電入力!$S72,"000")&amp;");"</f>
        <v>Beacon.Put(110,0,2038);</v>
      </c>
      <c r="D71" t="str">
        <f ca="1">"Beacon.Put(110,0,3"&amp;TEXT(E電入力!$T72,"000")&amp;");"</f>
        <v>Beacon.Put(110,0,3037);</v>
      </c>
      <c r="E71" t="str">
        <f ca="1">"Beacon.Put(110,0,4"&amp;TEXT(E電入力!$U72,"000")&amp;");"</f>
        <v>Beacon.Put(110,0,4036);</v>
      </c>
      <c r="F71" t="str">
        <f ca="1">"Beacon.Put(110,0,5"&amp;TEXT(E電入力!$V72,"000")&amp;");"</f>
        <v>Beacon.Put(110,0,5035);</v>
      </c>
      <c r="G71" t="str">
        <f ca="1">"Beacon.Put(110,0,6"&amp;TEXT(E電入力!$W72,"000")&amp;");"</f>
        <v>Beacon.Put(110,0,6000);</v>
      </c>
    </row>
    <row r="72" spans="1:7">
      <c r="A72" t="str">
        <f>E電入力!C73&amp;"+25;"</f>
        <v>+25;</v>
      </c>
      <c r="B72" t="str">
        <f ca="1">"Beacon.Put(110,0,1"&amp;TEXT(E電入力!$R73,"000")&amp;");"</f>
        <v>Beacon.Put(110,0,1039);</v>
      </c>
      <c r="C72" t="str">
        <f ca="1">"Beacon.Put(110,0,2"&amp;TEXT(E電入力!$S73,"000")&amp;");"</f>
        <v>Beacon.Put(110,0,2038);</v>
      </c>
      <c r="D72" t="str">
        <f ca="1">"Beacon.Put(110,0,3"&amp;TEXT(E電入力!$T73,"000")&amp;");"</f>
        <v>Beacon.Put(110,0,3037);</v>
      </c>
      <c r="E72" t="str">
        <f ca="1">"Beacon.Put(110,0,4"&amp;TEXT(E電入力!$U73,"000")&amp;");"</f>
        <v>Beacon.Put(110,0,4036);</v>
      </c>
      <c r="F72" t="str">
        <f ca="1">"Beacon.Put(110,0,5"&amp;TEXT(E電入力!$V73,"000")&amp;");"</f>
        <v>Beacon.Put(110,0,5035);</v>
      </c>
      <c r="G72" t="str">
        <f ca="1">"Beacon.Put(110,0,6"&amp;TEXT(E電入力!$W73,"000")&amp;");"</f>
        <v>Beacon.Put(110,0,6000);</v>
      </c>
    </row>
    <row r="73" spans="1:7">
      <c r="A73" t="str">
        <f>E電入力!C74&amp;"+25;"</f>
        <v>+25;</v>
      </c>
      <c r="B73" t="str">
        <f ca="1">"Beacon.Put(110,0,1"&amp;TEXT(E電入力!$R74,"000")&amp;");"</f>
        <v>Beacon.Put(110,0,1039);</v>
      </c>
      <c r="C73" t="str">
        <f ca="1">"Beacon.Put(110,0,2"&amp;TEXT(E電入力!$S74,"000")&amp;");"</f>
        <v>Beacon.Put(110,0,2038);</v>
      </c>
      <c r="D73" t="str">
        <f ca="1">"Beacon.Put(110,0,3"&amp;TEXT(E電入力!$T74,"000")&amp;");"</f>
        <v>Beacon.Put(110,0,3037);</v>
      </c>
      <c r="E73" t="str">
        <f ca="1">"Beacon.Put(110,0,4"&amp;TEXT(E電入力!$U74,"000")&amp;");"</f>
        <v>Beacon.Put(110,0,4036);</v>
      </c>
      <c r="F73" t="str">
        <f ca="1">"Beacon.Put(110,0,5"&amp;TEXT(E電入力!$V74,"000")&amp;");"</f>
        <v>Beacon.Put(110,0,5035);</v>
      </c>
      <c r="G73" t="str">
        <f ca="1">"Beacon.Put(110,0,6"&amp;TEXT(E電入力!$W74,"000")&amp;");"</f>
        <v>Beacon.Put(110,0,6000);</v>
      </c>
    </row>
    <row r="74" spans="1:7">
      <c r="A74" t="str">
        <f>E電入力!C75&amp;"+25;"</f>
        <v>+25;</v>
      </c>
      <c r="B74" t="str">
        <f ca="1">"Beacon.Put(110,0,1"&amp;TEXT(E電入力!$R75,"000")&amp;");"</f>
        <v>Beacon.Put(110,0,1039);</v>
      </c>
      <c r="C74" t="str">
        <f ca="1">"Beacon.Put(110,0,2"&amp;TEXT(E電入力!$S75,"000")&amp;");"</f>
        <v>Beacon.Put(110,0,2038);</v>
      </c>
      <c r="D74" t="str">
        <f ca="1">"Beacon.Put(110,0,3"&amp;TEXT(E電入力!$T75,"000")&amp;");"</f>
        <v>Beacon.Put(110,0,3037);</v>
      </c>
      <c r="E74" t="str">
        <f ca="1">"Beacon.Put(110,0,4"&amp;TEXT(E電入力!$U75,"000")&amp;");"</f>
        <v>Beacon.Put(110,0,4036);</v>
      </c>
      <c r="F74" t="str">
        <f ca="1">"Beacon.Put(110,0,5"&amp;TEXT(E電入力!$V75,"000")&amp;");"</f>
        <v>Beacon.Put(110,0,5035);</v>
      </c>
      <c r="G74" t="str">
        <f ca="1">"Beacon.Put(110,0,6"&amp;TEXT(E電入力!$W75,"000")&amp;");"</f>
        <v>Beacon.Put(110,0,6000);</v>
      </c>
    </row>
    <row r="75" spans="1:7">
      <c r="A75" t="str">
        <f>E電入力!C76&amp;"+25;"</f>
        <v>+25;</v>
      </c>
      <c r="B75" t="str">
        <f ca="1">"Beacon.Put(110,0,1"&amp;TEXT(E電入力!$R76,"000")&amp;");"</f>
        <v>Beacon.Put(110,0,1039);</v>
      </c>
      <c r="C75" t="str">
        <f ca="1">"Beacon.Put(110,0,2"&amp;TEXT(E電入力!$S76,"000")&amp;");"</f>
        <v>Beacon.Put(110,0,2038);</v>
      </c>
      <c r="D75" t="str">
        <f ca="1">"Beacon.Put(110,0,3"&amp;TEXT(E電入力!$T76,"000")&amp;");"</f>
        <v>Beacon.Put(110,0,3037);</v>
      </c>
      <c r="E75" t="str">
        <f ca="1">"Beacon.Put(110,0,4"&amp;TEXT(E電入力!$U76,"000")&amp;");"</f>
        <v>Beacon.Put(110,0,4036);</v>
      </c>
      <c r="F75" t="str">
        <f ca="1">"Beacon.Put(110,0,5"&amp;TEXT(E電入力!$V76,"000")&amp;");"</f>
        <v>Beacon.Put(110,0,5035);</v>
      </c>
      <c r="G75" t="str">
        <f ca="1">"Beacon.Put(110,0,6"&amp;TEXT(E電入力!$W76,"000")&amp;");"</f>
        <v>Beacon.Put(110,0,6000);</v>
      </c>
    </row>
    <row r="76" spans="1:7">
      <c r="A76" t="str">
        <f>E電入力!C77&amp;"+25;"</f>
        <v>+25;</v>
      </c>
      <c r="B76" t="str">
        <f ca="1">"Beacon.Put(110,0,1"&amp;TEXT(E電入力!$R77,"000")&amp;");"</f>
        <v>Beacon.Put(110,0,1039);</v>
      </c>
      <c r="C76" t="str">
        <f ca="1">"Beacon.Put(110,0,2"&amp;TEXT(E電入力!$S77,"000")&amp;");"</f>
        <v>Beacon.Put(110,0,2038);</v>
      </c>
      <c r="D76" t="str">
        <f ca="1">"Beacon.Put(110,0,3"&amp;TEXT(E電入力!$T77,"000")&amp;");"</f>
        <v>Beacon.Put(110,0,3037);</v>
      </c>
      <c r="E76" t="str">
        <f ca="1">"Beacon.Put(110,0,4"&amp;TEXT(E電入力!$U77,"000")&amp;");"</f>
        <v>Beacon.Put(110,0,4036);</v>
      </c>
      <c r="F76" t="str">
        <f ca="1">"Beacon.Put(110,0,5"&amp;TEXT(E電入力!$V77,"000")&amp;");"</f>
        <v>Beacon.Put(110,0,5035);</v>
      </c>
      <c r="G76" t="str">
        <f ca="1">"Beacon.Put(110,0,6"&amp;TEXT(E電入力!$W77,"000")&amp;");"</f>
        <v>Beacon.Put(110,0,6000);</v>
      </c>
    </row>
    <row r="77" spans="1:7">
      <c r="A77" t="str">
        <f>E電入力!C78&amp;"+25;"</f>
        <v>+25;</v>
      </c>
      <c r="B77" t="str">
        <f ca="1">"Beacon.Put(110,0,1"&amp;TEXT(E電入力!$R78,"000")&amp;");"</f>
        <v>Beacon.Put(110,0,1039);</v>
      </c>
      <c r="C77" t="str">
        <f ca="1">"Beacon.Put(110,0,2"&amp;TEXT(E電入力!$S78,"000")&amp;");"</f>
        <v>Beacon.Put(110,0,2038);</v>
      </c>
      <c r="D77" t="str">
        <f ca="1">"Beacon.Put(110,0,3"&amp;TEXT(E電入力!$T78,"000")&amp;");"</f>
        <v>Beacon.Put(110,0,3037);</v>
      </c>
      <c r="E77" t="str">
        <f ca="1">"Beacon.Put(110,0,4"&amp;TEXT(E電入力!$U78,"000")&amp;");"</f>
        <v>Beacon.Put(110,0,4036);</v>
      </c>
      <c r="F77" t="str">
        <f ca="1">"Beacon.Put(110,0,5"&amp;TEXT(E電入力!$V78,"000")&amp;");"</f>
        <v>Beacon.Put(110,0,5035);</v>
      </c>
      <c r="G77" t="str">
        <f ca="1">"Beacon.Put(110,0,6"&amp;TEXT(E電入力!$W78,"000")&amp;");"</f>
        <v>Beacon.Put(110,0,6000);</v>
      </c>
    </row>
    <row r="78" spans="1:7">
      <c r="A78" t="str">
        <f>E電入力!C79&amp;"+25;"</f>
        <v>+25;</v>
      </c>
      <c r="B78" t="str">
        <f ca="1">"Beacon.Put(110,0,1"&amp;TEXT(E電入力!$R79,"000")&amp;");"</f>
        <v>Beacon.Put(110,0,1039);</v>
      </c>
      <c r="C78" t="str">
        <f ca="1">"Beacon.Put(110,0,2"&amp;TEXT(E電入力!$S79,"000")&amp;");"</f>
        <v>Beacon.Put(110,0,2038);</v>
      </c>
      <c r="D78" t="str">
        <f ca="1">"Beacon.Put(110,0,3"&amp;TEXT(E電入力!$T79,"000")&amp;");"</f>
        <v>Beacon.Put(110,0,3037);</v>
      </c>
      <c r="E78" t="str">
        <f ca="1">"Beacon.Put(110,0,4"&amp;TEXT(E電入力!$U79,"000")&amp;");"</f>
        <v>Beacon.Put(110,0,4036);</v>
      </c>
      <c r="F78" t="str">
        <f ca="1">"Beacon.Put(110,0,5"&amp;TEXT(E電入力!$V79,"000")&amp;");"</f>
        <v>Beacon.Put(110,0,5035);</v>
      </c>
      <c r="G78" t="str">
        <f ca="1">"Beacon.Put(110,0,6"&amp;TEXT(E電入力!$W79,"000")&amp;");"</f>
        <v>Beacon.Put(110,0,6000);</v>
      </c>
    </row>
    <row r="79" spans="1:7">
      <c r="A79" t="str">
        <f>E電入力!C80&amp;"+25;"</f>
        <v>+25;</v>
      </c>
      <c r="B79" t="str">
        <f ca="1">"Beacon.Put(110,0,1"&amp;TEXT(E電入力!$R80,"000")&amp;");"</f>
        <v>Beacon.Put(110,0,1039);</v>
      </c>
      <c r="C79" t="str">
        <f ca="1">"Beacon.Put(110,0,2"&amp;TEXT(E電入力!$S80,"000")&amp;");"</f>
        <v>Beacon.Put(110,0,2038);</v>
      </c>
      <c r="D79" t="str">
        <f ca="1">"Beacon.Put(110,0,3"&amp;TEXT(E電入力!$T80,"000")&amp;");"</f>
        <v>Beacon.Put(110,0,3037);</v>
      </c>
      <c r="E79" t="str">
        <f ca="1">"Beacon.Put(110,0,4"&amp;TEXT(E電入力!$U80,"000")&amp;");"</f>
        <v>Beacon.Put(110,0,4036);</v>
      </c>
      <c r="F79" t="str">
        <f ca="1">"Beacon.Put(110,0,5"&amp;TEXT(E電入力!$V80,"000")&amp;");"</f>
        <v>Beacon.Put(110,0,5035);</v>
      </c>
      <c r="G79" t="str">
        <f ca="1">"Beacon.Put(110,0,6"&amp;TEXT(E電入力!$W80,"000")&amp;");"</f>
        <v>Beacon.Put(110,0,6000);</v>
      </c>
    </row>
    <row r="80" spans="1:7">
      <c r="A80" t="str">
        <f>E電入力!C81&amp;"+25;"</f>
        <v>+25;</v>
      </c>
      <c r="B80" t="str">
        <f ca="1">"Beacon.Put(110,0,1"&amp;TEXT(E電入力!$R81,"000")&amp;");"</f>
        <v>Beacon.Put(110,0,1039);</v>
      </c>
      <c r="C80" t="str">
        <f ca="1">"Beacon.Put(110,0,2"&amp;TEXT(E電入力!$S81,"000")&amp;");"</f>
        <v>Beacon.Put(110,0,2038);</v>
      </c>
      <c r="D80" t="str">
        <f ca="1">"Beacon.Put(110,0,3"&amp;TEXT(E電入力!$T81,"000")&amp;");"</f>
        <v>Beacon.Put(110,0,3037);</v>
      </c>
      <c r="E80" t="str">
        <f ca="1">"Beacon.Put(110,0,4"&amp;TEXT(E電入力!$U81,"000")&amp;");"</f>
        <v>Beacon.Put(110,0,4036);</v>
      </c>
      <c r="F80" t="str">
        <f ca="1">"Beacon.Put(110,0,5"&amp;TEXT(E電入力!$V81,"000")&amp;");"</f>
        <v>Beacon.Put(110,0,5035);</v>
      </c>
      <c r="G80" t="str">
        <f ca="1">"Beacon.Put(110,0,6"&amp;TEXT(E電入力!$W81,"000")&amp;");"</f>
        <v>Beacon.Put(110,0,6000);</v>
      </c>
    </row>
    <row r="81" spans="1:7">
      <c r="A81" t="str">
        <f>E電入力!C82&amp;"+25;"</f>
        <v>+25;</v>
      </c>
      <c r="B81" t="str">
        <f ca="1">"Beacon.Put(110,0,1"&amp;TEXT(E電入力!$R82,"000")&amp;");"</f>
        <v>Beacon.Put(110,0,1039);</v>
      </c>
      <c r="C81" t="str">
        <f ca="1">"Beacon.Put(110,0,2"&amp;TEXT(E電入力!$S82,"000")&amp;");"</f>
        <v>Beacon.Put(110,0,2038);</v>
      </c>
      <c r="D81" t="str">
        <f ca="1">"Beacon.Put(110,0,3"&amp;TEXT(E電入力!$T82,"000")&amp;");"</f>
        <v>Beacon.Put(110,0,3037);</v>
      </c>
      <c r="E81" t="str">
        <f ca="1">"Beacon.Put(110,0,4"&amp;TEXT(E電入力!$U82,"000")&amp;");"</f>
        <v>Beacon.Put(110,0,4036);</v>
      </c>
      <c r="F81" t="str">
        <f ca="1">"Beacon.Put(110,0,5"&amp;TEXT(E電入力!$V82,"000")&amp;");"</f>
        <v>Beacon.Put(110,0,5035);</v>
      </c>
      <c r="G81" t="str">
        <f ca="1">"Beacon.Put(110,0,6"&amp;TEXT(E電入力!$W82,"000")&amp;");"</f>
        <v>Beacon.Put(110,0,6000);</v>
      </c>
    </row>
    <row r="82" spans="1:7">
      <c r="A82" t="str">
        <f>E電入力!C83&amp;"+25;"</f>
        <v>+25;</v>
      </c>
      <c r="B82" t="str">
        <f ca="1">"Beacon.Put(110,0,1"&amp;TEXT(E電入力!$R83,"000")&amp;");"</f>
        <v>Beacon.Put(110,0,1039);</v>
      </c>
      <c r="C82" t="str">
        <f ca="1">"Beacon.Put(110,0,2"&amp;TEXT(E電入力!$S83,"000")&amp;");"</f>
        <v>Beacon.Put(110,0,2038);</v>
      </c>
      <c r="D82" t="str">
        <f ca="1">"Beacon.Put(110,0,3"&amp;TEXT(E電入力!$T83,"000")&amp;");"</f>
        <v>Beacon.Put(110,0,3037);</v>
      </c>
      <c r="E82" t="str">
        <f ca="1">"Beacon.Put(110,0,4"&amp;TEXT(E電入力!$U83,"000")&amp;");"</f>
        <v>Beacon.Put(110,0,4036);</v>
      </c>
      <c r="F82" t="str">
        <f ca="1">"Beacon.Put(110,0,5"&amp;TEXT(E電入力!$V83,"000")&amp;");"</f>
        <v>Beacon.Put(110,0,5035);</v>
      </c>
      <c r="G82" t="str">
        <f ca="1">"Beacon.Put(110,0,6"&amp;TEXT(E電入力!$W83,"000")&amp;");"</f>
        <v>Beacon.Put(110,0,6000);</v>
      </c>
    </row>
    <row r="83" spans="1:7">
      <c r="A83" t="str">
        <f>E電入力!C84&amp;"+25;"</f>
        <v>+25;</v>
      </c>
      <c r="B83" t="str">
        <f ca="1">"Beacon.Put(110,0,1"&amp;TEXT(E電入力!$R84,"000")&amp;");"</f>
        <v>Beacon.Put(110,0,1039);</v>
      </c>
      <c r="C83" t="str">
        <f ca="1">"Beacon.Put(110,0,2"&amp;TEXT(E電入力!$S84,"000")&amp;");"</f>
        <v>Beacon.Put(110,0,2038);</v>
      </c>
      <c r="D83" t="str">
        <f ca="1">"Beacon.Put(110,0,3"&amp;TEXT(E電入力!$T84,"000")&amp;");"</f>
        <v>Beacon.Put(110,0,3037);</v>
      </c>
      <c r="E83" t="str">
        <f ca="1">"Beacon.Put(110,0,4"&amp;TEXT(E電入力!$U84,"000")&amp;");"</f>
        <v>Beacon.Put(110,0,4036);</v>
      </c>
      <c r="F83" t="str">
        <f ca="1">"Beacon.Put(110,0,5"&amp;TEXT(E電入力!$V84,"000")&amp;");"</f>
        <v>Beacon.Put(110,0,5035);</v>
      </c>
      <c r="G83" t="str">
        <f ca="1">"Beacon.Put(110,0,6"&amp;TEXT(E電入力!$W84,"000")&amp;");"</f>
        <v>Beacon.Put(110,0,6000);</v>
      </c>
    </row>
    <row r="84" spans="1:7">
      <c r="A84" t="str">
        <f>E電入力!C85&amp;"+25;"</f>
        <v>+25;</v>
      </c>
      <c r="B84" t="str">
        <f ca="1">"Beacon.Put(110,0,1"&amp;TEXT(E電入力!$R85,"000")&amp;");"</f>
        <v>Beacon.Put(110,0,1039);</v>
      </c>
      <c r="C84" t="str">
        <f ca="1">"Beacon.Put(110,0,2"&amp;TEXT(E電入力!$S85,"000")&amp;");"</f>
        <v>Beacon.Put(110,0,2038);</v>
      </c>
      <c r="D84" t="str">
        <f ca="1">"Beacon.Put(110,0,3"&amp;TEXT(E電入力!$T85,"000")&amp;");"</f>
        <v>Beacon.Put(110,0,3037);</v>
      </c>
      <c r="E84" t="str">
        <f ca="1">"Beacon.Put(110,0,4"&amp;TEXT(E電入力!$U85,"000")&amp;");"</f>
        <v>Beacon.Put(110,0,4036);</v>
      </c>
      <c r="F84" t="str">
        <f ca="1">"Beacon.Put(110,0,5"&amp;TEXT(E電入力!$V85,"000")&amp;");"</f>
        <v>Beacon.Put(110,0,5035);</v>
      </c>
      <c r="G84" t="str">
        <f ca="1">"Beacon.Put(110,0,6"&amp;TEXT(E電入力!$W85,"000")&amp;");"</f>
        <v>Beacon.Put(110,0,6000);</v>
      </c>
    </row>
    <row r="85" spans="1:7">
      <c r="A85" t="str">
        <f>E電入力!C86&amp;"+25;"</f>
        <v>+25;</v>
      </c>
      <c r="B85" t="str">
        <f ca="1">"Beacon.Put(110,0,1"&amp;TEXT(E電入力!$R86,"000")&amp;");"</f>
        <v>Beacon.Put(110,0,1039);</v>
      </c>
      <c r="C85" t="str">
        <f ca="1">"Beacon.Put(110,0,2"&amp;TEXT(E電入力!$S86,"000")&amp;");"</f>
        <v>Beacon.Put(110,0,2038);</v>
      </c>
      <c r="D85" t="str">
        <f ca="1">"Beacon.Put(110,0,3"&amp;TEXT(E電入力!$T86,"000")&amp;");"</f>
        <v>Beacon.Put(110,0,3037);</v>
      </c>
      <c r="E85" t="str">
        <f ca="1">"Beacon.Put(110,0,4"&amp;TEXT(E電入力!$U86,"000")&amp;");"</f>
        <v>Beacon.Put(110,0,4036);</v>
      </c>
      <c r="F85" t="str">
        <f ca="1">"Beacon.Put(110,0,5"&amp;TEXT(E電入力!$V86,"000")&amp;");"</f>
        <v>Beacon.Put(110,0,5035);</v>
      </c>
      <c r="G85" t="str">
        <f ca="1">"Beacon.Put(110,0,6"&amp;TEXT(E電入力!$W86,"000")&amp;");"</f>
        <v>Beacon.Put(110,0,6000);</v>
      </c>
    </row>
    <row r="86" spans="1:7">
      <c r="A86" t="str">
        <f>E電入力!C87&amp;"+25;"</f>
        <v>+25;</v>
      </c>
      <c r="B86" t="str">
        <f ca="1">"Beacon.Put(110,0,1"&amp;TEXT(E電入力!$R87,"000")&amp;");"</f>
        <v>Beacon.Put(110,0,1039);</v>
      </c>
      <c r="C86" t="str">
        <f ca="1">"Beacon.Put(110,0,2"&amp;TEXT(E電入力!$S87,"000")&amp;");"</f>
        <v>Beacon.Put(110,0,2038);</v>
      </c>
      <c r="D86" t="str">
        <f ca="1">"Beacon.Put(110,0,3"&amp;TEXT(E電入力!$T87,"000")&amp;");"</f>
        <v>Beacon.Put(110,0,3037);</v>
      </c>
      <c r="E86" t="str">
        <f ca="1">"Beacon.Put(110,0,4"&amp;TEXT(E電入力!$U87,"000")&amp;");"</f>
        <v>Beacon.Put(110,0,4036);</v>
      </c>
      <c r="F86" t="str">
        <f ca="1">"Beacon.Put(110,0,5"&amp;TEXT(E電入力!$V87,"000")&amp;");"</f>
        <v>Beacon.Put(110,0,5035);</v>
      </c>
      <c r="G86" t="str">
        <f ca="1">"Beacon.Put(110,0,6"&amp;TEXT(E電入力!$W87,"000")&amp;");"</f>
        <v>Beacon.Put(110,0,6000);</v>
      </c>
    </row>
    <row r="87" spans="1:7">
      <c r="A87" t="str">
        <f>E電入力!C88&amp;"+25;"</f>
        <v>+25;</v>
      </c>
      <c r="B87" t="str">
        <f ca="1">"Beacon.Put(110,0,1"&amp;TEXT(E電入力!$R88,"000")&amp;");"</f>
        <v>Beacon.Put(110,0,1039);</v>
      </c>
      <c r="C87" t="str">
        <f ca="1">"Beacon.Put(110,0,2"&amp;TEXT(E電入力!$S88,"000")&amp;");"</f>
        <v>Beacon.Put(110,0,2038);</v>
      </c>
      <c r="D87" t="str">
        <f ca="1">"Beacon.Put(110,0,3"&amp;TEXT(E電入力!$T88,"000")&amp;");"</f>
        <v>Beacon.Put(110,0,3037);</v>
      </c>
      <c r="E87" t="str">
        <f ca="1">"Beacon.Put(110,0,4"&amp;TEXT(E電入力!$U88,"000")&amp;");"</f>
        <v>Beacon.Put(110,0,4036);</v>
      </c>
      <c r="F87" t="str">
        <f ca="1">"Beacon.Put(110,0,5"&amp;TEXT(E電入力!$V88,"000")&amp;");"</f>
        <v>Beacon.Put(110,0,5035);</v>
      </c>
      <c r="G87" t="str">
        <f ca="1">"Beacon.Put(110,0,6"&amp;TEXT(E電入力!$W88,"000")&amp;");"</f>
        <v>Beacon.Put(110,0,6000);</v>
      </c>
    </row>
    <row r="88" spans="1:7">
      <c r="A88" t="str">
        <f>E電入力!C89&amp;"+25;"</f>
        <v>+25;</v>
      </c>
      <c r="B88" t="str">
        <f ca="1">"Beacon.Put(110,0,1"&amp;TEXT(E電入力!$R89,"000")&amp;");"</f>
        <v>Beacon.Put(110,0,1039);</v>
      </c>
      <c r="C88" t="str">
        <f ca="1">"Beacon.Put(110,0,2"&amp;TEXT(E電入力!$S89,"000")&amp;");"</f>
        <v>Beacon.Put(110,0,2038);</v>
      </c>
      <c r="D88" t="str">
        <f ca="1">"Beacon.Put(110,0,3"&amp;TEXT(E電入力!$T89,"000")&amp;");"</f>
        <v>Beacon.Put(110,0,3037);</v>
      </c>
      <c r="E88" t="str">
        <f ca="1">"Beacon.Put(110,0,4"&amp;TEXT(E電入力!$U89,"000")&amp;");"</f>
        <v>Beacon.Put(110,0,4036);</v>
      </c>
      <c r="F88" t="str">
        <f ca="1">"Beacon.Put(110,0,5"&amp;TEXT(E電入力!$V89,"000")&amp;");"</f>
        <v>Beacon.Put(110,0,5035);</v>
      </c>
      <c r="G88" t="str">
        <f ca="1">"Beacon.Put(110,0,6"&amp;TEXT(E電入力!$W89,"000")&amp;");"</f>
        <v>Beacon.Put(110,0,6000);</v>
      </c>
    </row>
    <row r="89" spans="1:7">
      <c r="A89" t="str">
        <f>E電入力!C90&amp;"+25;"</f>
        <v>+25;</v>
      </c>
      <c r="B89" t="str">
        <f ca="1">"Beacon.Put(110,0,1"&amp;TEXT(E電入力!$R90,"000")&amp;");"</f>
        <v>Beacon.Put(110,0,1039);</v>
      </c>
      <c r="C89" t="str">
        <f ca="1">"Beacon.Put(110,0,2"&amp;TEXT(E電入力!$S90,"000")&amp;");"</f>
        <v>Beacon.Put(110,0,2038);</v>
      </c>
      <c r="D89" t="str">
        <f ca="1">"Beacon.Put(110,0,3"&amp;TEXT(E電入力!$T90,"000")&amp;");"</f>
        <v>Beacon.Put(110,0,3037);</v>
      </c>
      <c r="E89" t="str">
        <f ca="1">"Beacon.Put(110,0,4"&amp;TEXT(E電入力!$U90,"000")&amp;");"</f>
        <v>Beacon.Put(110,0,4036);</v>
      </c>
      <c r="F89" t="str">
        <f ca="1">"Beacon.Put(110,0,5"&amp;TEXT(E電入力!$V90,"000")&amp;");"</f>
        <v>Beacon.Put(110,0,5035);</v>
      </c>
      <c r="G89" t="str">
        <f ca="1">"Beacon.Put(110,0,6"&amp;TEXT(E電入力!$W90,"000")&amp;");"</f>
        <v>Beacon.Put(110,0,6000);</v>
      </c>
    </row>
    <row r="90" spans="1:7">
      <c r="A90" t="str">
        <f>E電入力!C91&amp;"+25;"</f>
        <v>+25;</v>
      </c>
      <c r="B90" t="str">
        <f ca="1">"Beacon.Put(110,0,1"&amp;TEXT(E電入力!$R91,"000")&amp;");"</f>
        <v>Beacon.Put(110,0,1039);</v>
      </c>
      <c r="C90" t="str">
        <f ca="1">"Beacon.Put(110,0,2"&amp;TEXT(E電入力!$S91,"000")&amp;");"</f>
        <v>Beacon.Put(110,0,2038);</v>
      </c>
      <c r="D90" t="str">
        <f ca="1">"Beacon.Put(110,0,3"&amp;TEXT(E電入力!$T91,"000")&amp;");"</f>
        <v>Beacon.Put(110,0,3037);</v>
      </c>
      <c r="E90" t="str">
        <f ca="1">"Beacon.Put(110,0,4"&amp;TEXT(E電入力!$U91,"000")&amp;");"</f>
        <v>Beacon.Put(110,0,4036);</v>
      </c>
      <c r="F90" t="str">
        <f ca="1">"Beacon.Put(110,0,5"&amp;TEXT(E電入力!$V91,"000")&amp;");"</f>
        <v>Beacon.Put(110,0,5035);</v>
      </c>
      <c r="G90" t="str">
        <f ca="1">"Beacon.Put(110,0,6"&amp;TEXT(E電入力!$W91,"000")&amp;");"</f>
        <v>Beacon.Put(110,0,6000);</v>
      </c>
    </row>
    <row r="91" spans="1:7">
      <c r="A91" t="str">
        <f>E電入力!C92&amp;"+25;"</f>
        <v>+25;</v>
      </c>
      <c r="B91" t="str">
        <f ca="1">"Beacon.Put(110,0,1"&amp;TEXT(E電入力!$R92,"000")&amp;");"</f>
        <v>Beacon.Put(110,0,1039);</v>
      </c>
      <c r="C91" t="str">
        <f ca="1">"Beacon.Put(110,0,2"&amp;TEXT(E電入力!$S92,"000")&amp;");"</f>
        <v>Beacon.Put(110,0,2038);</v>
      </c>
      <c r="D91" t="str">
        <f ca="1">"Beacon.Put(110,0,3"&amp;TEXT(E電入力!$T92,"000")&amp;");"</f>
        <v>Beacon.Put(110,0,3037);</v>
      </c>
      <c r="E91" t="str">
        <f ca="1">"Beacon.Put(110,0,4"&amp;TEXT(E電入力!$U92,"000")&amp;");"</f>
        <v>Beacon.Put(110,0,4036);</v>
      </c>
      <c r="F91" t="str">
        <f ca="1">"Beacon.Put(110,0,5"&amp;TEXT(E電入力!$V92,"000")&amp;");"</f>
        <v>Beacon.Put(110,0,5035);</v>
      </c>
      <c r="G91" t="str">
        <f ca="1">"Beacon.Put(110,0,6"&amp;TEXT(E電入力!$W92,"000")&amp;");"</f>
        <v>Beacon.Put(110,0,6000);</v>
      </c>
    </row>
    <row r="92" spans="1:7">
      <c r="A92" t="str">
        <f>E電入力!C93&amp;"+25;"</f>
        <v>+25;</v>
      </c>
      <c r="B92" t="str">
        <f ca="1">"Beacon.Put(110,0,1"&amp;TEXT(E電入力!$R93,"000")&amp;");"</f>
        <v>Beacon.Put(110,0,1039);</v>
      </c>
      <c r="C92" t="str">
        <f ca="1">"Beacon.Put(110,0,2"&amp;TEXT(E電入力!$S93,"000")&amp;");"</f>
        <v>Beacon.Put(110,0,2038);</v>
      </c>
      <c r="D92" t="str">
        <f ca="1">"Beacon.Put(110,0,3"&amp;TEXT(E電入力!$T93,"000")&amp;");"</f>
        <v>Beacon.Put(110,0,3037);</v>
      </c>
      <c r="E92" t="str">
        <f ca="1">"Beacon.Put(110,0,4"&amp;TEXT(E電入力!$U93,"000")&amp;");"</f>
        <v>Beacon.Put(110,0,4036);</v>
      </c>
      <c r="F92" t="str">
        <f ca="1">"Beacon.Put(110,0,5"&amp;TEXT(E電入力!$V93,"000")&amp;");"</f>
        <v>Beacon.Put(110,0,5035);</v>
      </c>
      <c r="G92" t="str">
        <f ca="1">"Beacon.Put(110,0,6"&amp;TEXT(E電入力!$W93,"000")&amp;");"</f>
        <v>Beacon.Put(110,0,6000);</v>
      </c>
    </row>
    <row r="93" spans="1:7">
      <c r="A93" t="str">
        <f>E電入力!C94&amp;"+25;"</f>
        <v>+25;</v>
      </c>
      <c r="B93" t="str">
        <f ca="1">"Beacon.Put(110,0,1"&amp;TEXT(E電入力!$R94,"000")&amp;");"</f>
        <v>Beacon.Put(110,0,1039);</v>
      </c>
      <c r="C93" t="str">
        <f ca="1">"Beacon.Put(110,0,2"&amp;TEXT(E電入力!$S94,"000")&amp;");"</f>
        <v>Beacon.Put(110,0,2038);</v>
      </c>
      <c r="D93" t="str">
        <f ca="1">"Beacon.Put(110,0,3"&amp;TEXT(E電入力!$T94,"000")&amp;");"</f>
        <v>Beacon.Put(110,0,3037);</v>
      </c>
      <c r="E93" t="str">
        <f ca="1">"Beacon.Put(110,0,4"&amp;TEXT(E電入力!$U94,"000")&amp;");"</f>
        <v>Beacon.Put(110,0,4036);</v>
      </c>
      <c r="F93" t="str">
        <f ca="1">"Beacon.Put(110,0,5"&amp;TEXT(E電入力!$V94,"000")&amp;");"</f>
        <v>Beacon.Put(110,0,5035);</v>
      </c>
      <c r="G93" t="str">
        <f ca="1">"Beacon.Put(110,0,6"&amp;TEXT(E電入力!$W94,"000")&amp;");"</f>
        <v>Beacon.Put(110,0,6000);</v>
      </c>
    </row>
    <row r="94" spans="1:7">
      <c r="A94" t="str">
        <f>E電入力!C95&amp;"+25;"</f>
        <v>+25;</v>
      </c>
      <c r="B94" t="str">
        <f ca="1">"Beacon.Put(110,0,1"&amp;TEXT(E電入力!$R95,"000")&amp;");"</f>
        <v>Beacon.Put(110,0,1039);</v>
      </c>
      <c r="C94" t="str">
        <f ca="1">"Beacon.Put(110,0,2"&amp;TEXT(E電入力!$S95,"000")&amp;");"</f>
        <v>Beacon.Put(110,0,2038);</v>
      </c>
      <c r="D94" t="str">
        <f ca="1">"Beacon.Put(110,0,3"&amp;TEXT(E電入力!$T95,"000")&amp;");"</f>
        <v>Beacon.Put(110,0,3037);</v>
      </c>
      <c r="E94" t="str">
        <f ca="1">"Beacon.Put(110,0,4"&amp;TEXT(E電入力!$U95,"000")&amp;");"</f>
        <v>Beacon.Put(110,0,4036);</v>
      </c>
      <c r="F94" t="str">
        <f ca="1">"Beacon.Put(110,0,5"&amp;TEXT(E電入力!$V95,"000")&amp;");"</f>
        <v>Beacon.Put(110,0,5035);</v>
      </c>
      <c r="G94" t="str">
        <f ca="1">"Beacon.Put(110,0,6"&amp;TEXT(E電入力!$W95,"000")&amp;");"</f>
        <v>Beacon.Put(110,0,6000);</v>
      </c>
    </row>
    <row r="95" spans="1:7">
      <c r="A95" t="str">
        <f>E電入力!C96&amp;"+25;"</f>
        <v>+25;</v>
      </c>
      <c r="B95" t="str">
        <f ca="1">"Beacon.Put(110,0,1"&amp;TEXT(E電入力!$R96,"000")&amp;");"</f>
        <v>Beacon.Put(110,0,1039);</v>
      </c>
      <c r="C95" t="str">
        <f ca="1">"Beacon.Put(110,0,2"&amp;TEXT(E電入力!$S96,"000")&amp;");"</f>
        <v>Beacon.Put(110,0,2038);</v>
      </c>
      <c r="D95" t="str">
        <f ca="1">"Beacon.Put(110,0,3"&amp;TEXT(E電入力!$T96,"000")&amp;");"</f>
        <v>Beacon.Put(110,0,3037);</v>
      </c>
      <c r="E95" t="str">
        <f ca="1">"Beacon.Put(110,0,4"&amp;TEXT(E電入力!$U96,"000")&amp;");"</f>
        <v>Beacon.Put(110,0,4036);</v>
      </c>
      <c r="F95" t="str">
        <f ca="1">"Beacon.Put(110,0,5"&amp;TEXT(E電入力!$V96,"000")&amp;");"</f>
        <v>Beacon.Put(110,0,5035);</v>
      </c>
      <c r="G95" t="str">
        <f ca="1">"Beacon.Put(110,0,6"&amp;TEXT(E電入力!$W96,"000")&amp;");"</f>
        <v>Beacon.Put(110,0,6000);</v>
      </c>
    </row>
    <row r="96" spans="1:7">
      <c r="A96" t="str">
        <f>E電入力!C97&amp;"+25;"</f>
        <v>+25;</v>
      </c>
      <c r="B96" t="str">
        <f ca="1">"Beacon.Put(110,0,1"&amp;TEXT(E電入力!$R97,"000")&amp;");"</f>
        <v>Beacon.Put(110,0,1039);</v>
      </c>
      <c r="C96" t="str">
        <f ca="1">"Beacon.Put(110,0,2"&amp;TEXT(E電入力!$S97,"000")&amp;");"</f>
        <v>Beacon.Put(110,0,2038);</v>
      </c>
      <c r="D96" t="str">
        <f ca="1">"Beacon.Put(110,0,3"&amp;TEXT(E電入力!$T97,"000")&amp;");"</f>
        <v>Beacon.Put(110,0,3037);</v>
      </c>
      <c r="E96" t="str">
        <f ca="1">"Beacon.Put(110,0,4"&amp;TEXT(E電入力!$U97,"000")&amp;");"</f>
        <v>Beacon.Put(110,0,4036);</v>
      </c>
      <c r="F96" t="str">
        <f ca="1">"Beacon.Put(110,0,5"&amp;TEXT(E電入力!$V97,"000")&amp;");"</f>
        <v>Beacon.Put(110,0,5035);</v>
      </c>
      <c r="G96" t="str">
        <f ca="1">"Beacon.Put(110,0,6"&amp;TEXT(E電入力!$W97,"000")&amp;");"</f>
        <v>Beacon.Put(110,0,6000);</v>
      </c>
    </row>
    <row r="97" spans="1:7">
      <c r="A97" t="str">
        <f>E電入力!C98&amp;"+25;"</f>
        <v>+25;</v>
      </c>
      <c r="B97" t="str">
        <f ca="1">"Beacon.Put(110,0,1"&amp;TEXT(E電入力!$R98,"000")&amp;");"</f>
        <v>Beacon.Put(110,0,1039);</v>
      </c>
      <c r="C97" t="str">
        <f ca="1">"Beacon.Put(110,0,2"&amp;TEXT(E電入力!$S98,"000")&amp;");"</f>
        <v>Beacon.Put(110,0,2038);</v>
      </c>
      <c r="D97" t="str">
        <f ca="1">"Beacon.Put(110,0,3"&amp;TEXT(E電入力!$T98,"000")&amp;");"</f>
        <v>Beacon.Put(110,0,3037);</v>
      </c>
      <c r="E97" t="str">
        <f ca="1">"Beacon.Put(110,0,4"&amp;TEXT(E電入力!$U98,"000")&amp;");"</f>
        <v>Beacon.Put(110,0,4036);</v>
      </c>
      <c r="F97" t="str">
        <f ca="1">"Beacon.Put(110,0,5"&amp;TEXT(E電入力!$V98,"000")&amp;");"</f>
        <v>Beacon.Put(110,0,5035);</v>
      </c>
      <c r="G97" t="str">
        <f ca="1">"Beacon.Put(110,0,6"&amp;TEXT(E電入力!$W98,"000")&amp;");"</f>
        <v>Beacon.Put(110,0,6000);</v>
      </c>
    </row>
    <row r="98" spans="1:7">
      <c r="A98" t="str">
        <f>E電入力!C99&amp;"+25;"</f>
        <v>+25;</v>
      </c>
      <c r="B98" t="str">
        <f ca="1">"Beacon.Put(110,0,1"&amp;TEXT(E電入力!$R99,"000")&amp;");"</f>
        <v>Beacon.Put(110,0,1039);</v>
      </c>
      <c r="C98" t="str">
        <f ca="1">"Beacon.Put(110,0,2"&amp;TEXT(E電入力!$S99,"000")&amp;");"</f>
        <v>Beacon.Put(110,0,2038);</v>
      </c>
      <c r="D98" t="str">
        <f ca="1">"Beacon.Put(110,0,3"&amp;TEXT(E電入力!$T99,"000")&amp;");"</f>
        <v>Beacon.Put(110,0,3037);</v>
      </c>
      <c r="E98" t="str">
        <f ca="1">"Beacon.Put(110,0,4"&amp;TEXT(E電入力!$U99,"000")&amp;");"</f>
        <v>Beacon.Put(110,0,4036);</v>
      </c>
      <c r="F98" t="str">
        <f ca="1">"Beacon.Put(110,0,5"&amp;TEXT(E電入力!$V99,"000")&amp;");"</f>
        <v>Beacon.Put(110,0,5035);</v>
      </c>
      <c r="G98" t="str">
        <f ca="1">"Beacon.Put(110,0,6"&amp;TEXT(E電入力!$W99,"000")&amp;");"</f>
        <v>Beacon.Put(110,0,6000);</v>
      </c>
    </row>
    <row r="99" spans="1:7">
      <c r="A99" t="str">
        <f>E電入力!C100&amp;"+25;"</f>
        <v>+25;</v>
      </c>
      <c r="B99" t="str">
        <f ca="1">"Beacon.Put(110,0,1"&amp;TEXT(E電入力!$R100,"000")&amp;");"</f>
        <v>Beacon.Put(110,0,1039);</v>
      </c>
      <c r="C99" t="str">
        <f ca="1">"Beacon.Put(110,0,2"&amp;TEXT(E電入力!$S100,"000")&amp;");"</f>
        <v>Beacon.Put(110,0,2038);</v>
      </c>
      <c r="D99" t="str">
        <f ca="1">"Beacon.Put(110,0,3"&amp;TEXT(E電入力!$T100,"000")&amp;");"</f>
        <v>Beacon.Put(110,0,3037);</v>
      </c>
      <c r="E99" t="str">
        <f ca="1">"Beacon.Put(110,0,4"&amp;TEXT(E電入力!$U100,"000")&amp;");"</f>
        <v>Beacon.Put(110,0,4036);</v>
      </c>
      <c r="F99" t="str">
        <f ca="1">"Beacon.Put(110,0,5"&amp;TEXT(E電入力!$V100,"000")&amp;");"</f>
        <v>Beacon.Put(110,0,5035);</v>
      </c>
      <c r="G99" t="str">
        <f ca="1">"Beacon.Put(110,0,6"&amp;TEXT(E電入力!$W100,"000")&amp;");"</f>
        <v>Beacon.Put(110,0,6000);</v>
      </c>
    </row>
    <row r="100" spans="1:7">
      <c r="A100" t="str">
        <f>E電入力!C101&amp;"+25;"</f>
        <v>+25;</v>
      </c>
      <c r="B100" t="str">
        <f ca="1">"Beacon.Put(110,0,1"&amp;TEXT(E電入力!$R101,"000")&amp;");"</f>
        <v>Beacon.Put(110,0,1039);</v>
      </c>
      <c r="C100" t="str">
        <f ca="1">"Beacon.Put(110,0,2"&amp;TEXT(E電入力!$S101,"000")&amp;");"</f>
        <v>Beacon.Put(110,0,2038);</v>
      </c>
      <c r="D100" t="str">
        <f ca="1">"Beacon.Put(110,0,3"&amp;TEXT(E電入力!$T101,"000")&amp;");"</f>
        <v>Beacon.Put(110,0,3037);</v>
      </c>
      <c r="E100" t="str">
        <f ca="1">"Beacon.Put(110,0,4"&amp;TEXT(E電入力!$U101,"000")&amp;");"</f>
        <v>Beacon.Put(110,0,4036);</v>
      </c>
      <c r="F100" t="str">
        <f ca="1">"Beacon.Put(110,0,5"&amp;TEXT(E電入力!$V101,"000")&amp;");"</f>
        <v>Beacon.Put(110,0,5035);</v>
      </c>
      <c r="G100" t="str">
        <f ca="1">"Beacon.Put(110,0,6"&amp;TEXT(E電入力!$W101,"000")&amp;");"</f>
        <v>Beacon.Put(110,0,6000);</v>
      </c>
    </row>
    <row r="101" spans="1:7">
      <c r="A101" t="str">
        <f>E電入力!C102&amp;"+25;"</f>
        <v>+25;</v>
      </c>
      <c r="B101" t="str">
        <f ca="1">"Beacon.Put(110,0,1"&amp;TEXT(E電入力!$R102,"000")&amp;");"</f>
        <v>Beacon.Put(110,0,1039);</v>
      </c>
      <c r="C101" t="str">
        <f ca="1">"Beacon.Put(110,0,2"&amp;TEXT(E電入力!$S102,"000")&amp;");"</f>
        <v>Beacon.Put(110,0,2038);</v>
      </c>
      <c r="D101" t="str">
        <f ca="1">"Beacon.Put(110,0,3"&amp;TEXT(E電入力!$T102,"000")&amp;");"</f>
        <v>Beacon.Put(110,0,3037);</v>
      </c>
      <c r="E101" t="str">
        <f ca="1">"Beacon.Put(110,0,4"&amp;TEXT(E電入力!$U102,"000")&amp;");"</f>
        <v>Beacon.Put(110,0,4036);</v>
      </c>
      <c r="F101" t="str">
        <f ca="1">"Beacon.Put(110,0,5"&amp;TEXT(E電入力!$V102,"000")&amp;");"</f>
        <v>Beacon.Put(110,0,5035);</v>
      </c>
      <c r="G101" t="str">
        <f ca="1">"Beacon.Put(110,0,6"&amp;TEXT(E電入力!$W102,"000")&amp;");"</f>
        <v>Beacon.Put(110,0,6000);</v>
      </c>
    </row>
    <row r="102" spans="1:7">
      <c r="A102" t="str">
        <f>E電入力!C103&amp;"+25;"</f>
        <v>+25;</v>
      </c>
      <c r="B102" t="str">
        <f ca="1">"Beacon.Put(110,0,1"&amp;TEXT(E電入力!$R103,"000")&amp;");"</f>
        <v>Beacon.Put(110,0,1039);</v>
      </c>
      <c r="C102" t="str">
        <f ca="1">"Beacon.Put(110,0,2"&amp;TEXT(E電入力!$S103,"000")&amp;");"</f>
        <v>Beacon.Put(110,0,2038);</v>
      </c>
      <c r="D102" t="str">
        <f ca="1">"Beacon.Put(110,0,3"&amp;TEXT(E電入力!$T103,"000")&amp;");"</f>
        <v>Beacon.Put(110,0,3037);</v>
      </c>
      <c r="E102" t="str">
        <f ca="1">"Beacon.Put(110,0,4"&amp;TEXT(E電入力!$U103,"000")&amp;");"</f>
        <v>Beacon.Put(110,0,4036);</v>
      </c>
      <c r="F102" t="str">
        <f ca="1">"Beacon.Put(110,0,5"&amp;TEXT(E電入力!$V103,"000")&amp;");"</f>
        <v>Beacon.Put(110,0,5035);</v>
      </c>
      <c r="G102" t="str">
        <f ca="1">"Beacon.Put(110,0,6"&amp;TEXT(E電入力!$W103,"000")&amp;");"</f>
        <v>Beacon.Put(110,0,6000);</v>
      </c>
    </row>
  </sheetData>
  <pageMargins left="0.7" right="0.7" top="0.75" bottom="0.75" header="0.3" footer="0.3"/>
  <pageSetup paperSize="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05C5F7-01EB-4FB1-BF02-DD6D88014432}">
  <dimension ref="A1:AL102"/>
  <sheetViews>
    <sheetView workbookViewId="0"/>
  </sheetViews>
  <sheetFormatPr defaultRowHeight="14.4"/>
  <cols>
    <col min="1" max="1" width="14.21875" bestFit="1" customWidth="1"/>
    <col min="2" max="13" width="24.21875" bestFit="1" customWidth="1"/>
  </cols>
  <sheetData>
    <row r="1" spans="1:38">
      <c r="A1" s="2" t="s">
        <v>58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</row>
    <row r="2" spans="1:38">
      <c r="A2" s="2" t="s">
        <v>74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12"/>
      <c r="O2" s="12"/>
      <c r="P2" s="12"/>
      <c r="Q2" s="12"/>
      <c r="R2" s="12"/>
      <c r="S2" s="12"/>
      <c r="T2" s="12"/>
      <c r="U2" s="12"/>
      <c r="V2" s="12"/>
      <c r="W2" s="12"/>
      <c r="X2" s="12"/>
      <c r="Y2" s="12"/>
      <c r="Z2" s="12"/>
      <c r="AA2" s="12"/>
      <c r="AB2" s="12"/>
      <c r="AC2" s="12"/>
      <c r="AD2" s="12"/>
      <c r="AE2" s="12"/>
      <c r="AF2" s="12"/>
      <c r="AG2" s="12"/>
      <c r="AH2" s="12"/>
      <c r="AI2" s="12"/>
      <c r="AJ2" s="12"/>
      <c r="AK2" s="12"/>
      <c r="AL2" s="12"/>
    </row>
    <row r="3" spans="1:38">
      <c r="A3" s="2" t="str">
        <f>E電入力!C4&amp;";"</f>
        <v>168950;</v>
      </c>
      <c r="B3" s="2" t="str">
        <f ca="1">"Beacon.Put(111,0,1"&amp;TEXT(E電入力!X4,"000000")&amp;");"</f>
        <v>Beacon.Put(111,0,1001160);</v>
      </c>
      <c r="C3" s="2" t="str">
        <f ca="1">"Beacon.Put(111,0,2"&amp;TEXT(E電入力!Y4,"000000")&amp;");"</f>
        <v>Beacon.Put(111,0,2000000);</v>
      </c>
      <c r="D3" s="2" t="str">
        <f ca="1">"Beacon.Put(111,0,3"&amp;TEXT(E電入力!Z4,"000000")&amp;");"</f>
        <v>Beacon.Put(111,0,3001815);</v>
      </c>
      <c r="E3" s="2" t="str">
        <f ca="1">"Beacon.Put(111,0,4"&amp;TEXT(E電入力!AA4,"000000")&amp;");"</f>
        <v>Beacon.Put(111,0,4002215);</v>
      </c>
      <c r="F3" s="2" t="str">
        <f ca="1">"Beacon.Put(111,0,5"&amp;TEXT(E電入力!AB4,"000000")&amp;");"</f>
        <v>Beacon.Put(111,0,5000000);</v>
      </c>
      <c r="G3" s="2" t="str">
        <f ca="1">"Beacon.Put(111,0,6"&amp;TEXT(E電入力!AC4,"000000")&amp;");"</f>
        <v>Beacon.Put(111,0,6002860);</v>
      </c>
      <c r="H3" s="2" t="str">
        <f ca="1">"Beacon.Put(112,0,1"&amp;TEXT(E電入力!AD4,"000000")&amp;");"</f>
        <v>Beacon.Put(112,0,1001260);</v>
      </c>
      <c r="I3" s="2" t="str">
        <f ca="1">"Beacon.Put(112,0,2"&amp;TEXT(E電入力!AE4,"000000")&amp;");"</f>
        <v>Beacon.Put(112,0,2000000);</v>
      </c>
      <c r="J3" s="2" t="str">
        <f ca="1">"Beacon.Put(112,0,3"&amp;TEXT(E電入力!AF4,"000000")&amp;");"</f>
        <v>Beacon.Put(112,0,3001845);</v>
      </c>
      <c r="K3" s="2" t="str">
        <f ca="1">"Beacon.Put(112,0,4"&amp;TEXT(E電入力!AG4,"000000")&amp;");"</f>
        <v>Beacon.Put(112,0,4002245);</v>
      </c>
      <c r="L3" s="2" t="str">
        <f ca="1">"Beacon.Put(112,0,5"&amp;TEXT(E電入力!AH4,"000000")&amp;");"</f>
        <v>Beacon.Put(112,0,5000000);</v>
      </c>
      <c r="M3" s="2" t="str">
        <f ca="1">"Beacon.Put(112,0,6"&amp;TEXT(E電入力!AI4,"000000")&amp;");"</f>
        <v>Beacon.Put(112,0,6002830);</v>
      </c>
      <c r="N3" s="12"/>
      <c r="O3" s="12"/>
      <c r="P3" s="12"/>
      <c r="Q3" s="12"/>
      <c r="R3" s="12"/>
      <c r="S3" s="12"/>
      <c r="T3" s="12"/>
      <c r="U3" s="12"/>
      <c r="V3" s="12"/>
      <c r="W3" s="12"/>
      <c r="X3" s="12"/>
      <c r="Y3" s="12"/>
      <c r="Z3" s="12"/>
      <c r="AA3" s="12"/>
      <c r="AB3" s="12"/>
      <c r="AC3" s="12"/>
      <c r="AD3" s="12"/>
      <c r="AE3" s="12"/>
      <c r="AF3" s="12"/>
      <c r="AG3" s="12"/>
      <c r="AH3" s="12"/>
      <c r="AI3" s="12"/>
      <c r="AJ3" s="12"/>
      <c r="AK3" s="12"/>
      <c r="AL3" s="12"/>
    </row>
    <row r="4" spans="1:38">
      <c r="A4" s="2" t="str">
        <f>E電入力!C5&amp;"+25;"</f>
        <v>172525+25;</v>
      </c>
      <c r="B4" s="2" t="str">
        <f ca="1">"Beacon.Put(111,0,1"&amp;TEXT(E電入力!X5,"000000")&amp;");"</f>
        <v>Beacon.Put(111,0,1000000);</v>
      </c>
      <c r="C4" s="2" t="str">
        <f ca="1">"Beacon.Put(111,0,2"&amp;TEXT(E電入力!Y5,"000000")&amp;");"</f>
        <v>Beacon.Put(111,0,2001815);</v>
      </c>
      <c r="D4" s="2" t="str">
        <f ca="1">"Beacon.Put(111,0,3"&amp;TEXT(E電入力!Z5,"000000")&amp;");"</f>
        <v>Beacon.Put(111,0,3002215);</v>
      </c>
      <c r="E4" s="2" t="str">
        <f ca="1">"Beacon.Put(111,0,4"&amp;TEXT(E電入力!AA5,"000000")&amp;");"</f>
        <v>Beacon.Put(111,0,4000000);</v>
      </c>
      <c r="F4" s="2" t="str">
        <f ca="1">"Beacon.Put(111,0,5"&amp;TEXT(E電入力!AB5,"000000")&amp;");"</f>
        <v>Beacon.Put(111,0,5002860);</v>
      </c>
      <c r="G4" s="2" t="str">
        <f ca="1">"Beacon.Put(111,0,6"&amp;TEXT(E電入力!AC5,"000000")&amp;");"</f>
        <v>Beacon.Put(111,0,6006200);</v>
      </c>
      <c r="H4" s="2" t="str">
        <f ca="1">"Beacon.Put(112,0,1"&amp;TEXT(E電入力!AD5,"000000")&amp;");"</f>
        <v>Beacon.Put(112,0,1000000);</v>
      </c>
      <c r="I4" s="2" t="str">
        <f ca="1">"Beacon.Put(112,0,2"&amp;TEXT(E電入力!AE5,"000000")&amp;");"</f>
        <v>Beacon.Put(112,0,2001845);</v>
      </c>
      <c r="J4" s="2" t="str">
        <f ca="1">"Beacon.Put(112,0,3"&amp;TEXT(E電入力!AF5,"000000")&amp;");"</f>
        <v>Beacon.Put(112,0,3002245);</v>
      </c>
      <c r="K4" s="2" t="str">
        <f ca="1">"Beacon.Put(112,0,4"&amp;TEXT(E電入力!AG5,"000000")&amp;");"</f>
        <v>Beacon.Put(112,0,4000000);</v>
      </c>
      <c r="L4" s="2" t="str">
        <f ca="1">"Beacon.Put(112,0,5"&amp;TEXT(E電入力!AH5,"000000")&amp;");"</f>
        <v>Beacon.Put(112,0,5002830);</v>
      </c>
      <c r="M4" s="2" t="str">
        <f ca="1">"Beacon.Put(112,0,6"&amp;TEXT(E電入力!AI5,"000000")&amp;");"</f>
        <v>Beacon.Put(112,0,6000000);</v>
      </c>
      <c r="N4" s="12"/>
      <c r="O4" s="12"/>
      <c r="P4" s="12"/>
      <c r="Q4" s="12"/>
      <c r="R4" s="12"/>
      <c r="S4" s="12"/>
      <c r="T4" s="12"/>
      <c r="U4" s="12"/>
      <c r="V4" s="12"/>
      <c r="W4" s="12"/>
      <c r="X4" s="12"/>
      <c r="Y4" s="12"/>
      <c r="Z4" s="12"/>
      <c r="AA4" s="12"/>
      <c r="AB4" s="12"/>
      <c r="AC4" s="12"/>
      <c r="AD4" s="12"/>
      <c r="AE4" s="12"/>
      <c r="AF4" s="12"/>
      <c r="AG4" s="12"/>
      <c r="AH4" s="12"/>
      <c r="AI4" s="12"/>
      <c r="AJ4" s="12"/>
      <c r="AK4" s="12"/>
      <c r="AL4" s="12"/>
    </row>
    <row r="5" spans="1:38">
      <c r="A5" s="2" t="str">
        <f>E電入力!C6&amp;"+25;"</f>
        <v>175225+25;</v>
      </c>
      <c r="B5" s="2" t="str">
        <f ca="1">"Beacon.Put(111,0,1"&amp;TEXT(E電入力!X6,"000000")&amp;");"</f>
        <v>Beacon.Put(111,0,1001815);</v>
      </c>
      <c r="C5" s="2" t="str">
        <f ca="1">"Beacon.Put(111,0,2"&amp;TEXT(E電入力!Y6,"000000")&amp;");"</f>
        <v>Beacon.Put(111,0,2002215);</v>
      </c>
      <c r="D5" s="2" t="str">
        <f ca="1">"Beacon.Put(111,0,3"&amp;TEXT(E電入力!Z6,"000000")&amp;");"</f>
        <v>Beacon.Put(111,0,3000000);</v>
      </c>
      <c r="E5" s="2" t="str">
        <f ca="1">"Beacon.Put(111,0,4"&amp;TEXT(E電入力!AA6,"000000")&amp;");"</f>
        <v>Beacon.Put(111,0,4002860);</v>
      </c>
      <c r="F5" s="2" t="str">
        <f ca="1">"Beacon.Put(111,0,5"&amp;TEXT(E電入力!AB6,"000000")&amp;");"</f>
        <v>Beacon.Put(111,0,5006200);</v>
      </c>
      <c r="G5" s="2" t="str">
        <f ca="1">"Beacon.Put(111,0,6"&amp;TEXT(E電入力!AC6,"000000")&amp;");"</f>
        <v>Beacon.Put(111,0,6006200);</v>
      </c>
      <c r="H5" s="2" t="str">
        <f ca="1">"Beacon.Put(112,0,1"&amp;TEXT(E電入力!AD6,"000000")&amp;");"</f>
        <v>Beacon.Put(112,0,1001845);</v>
      </c>
      <c r="I5" s="2" t="str">
        <f ca="1">"Beacon.Put(112,0,2"&amp;TEXT(E電入力!AE6,"000000")&amp;");"</f>
        <v>Beacon.Put(112,0,2002245);</v>
      </c>
      <c r="J5" s="2" t="str">
        <f ca="1">"Beacon.Put(112,0,3"&amp;TEXT(E電入力!AF6,"000000")&amp;");"</f>
        <v>Beacon.Put(112,0,3000000);</v>
      </c>
      <c r="K5" s="2" t="str">
        <f ca="1">"Beacon.Put(112,0,4"&amp;TEXT(E電入力!AG6,"000000")&amp;");"</f>
        <v>Beacon.Put(112,0,4002830);</v>
      </c>
      <c r="L5" s="2" t="str">
        <f ca="1">"Beacon.Put(112,0,5"&amp;TEXT(E電入力!AH6,"000000")&amp;");"</f>
        <v>Beacon.Put(112,0,5000000);</v>
      </c>
      <c r="M5" s="2" t="str">
        <f ca="1">"Beacon.Put(112,0,6"&amp;TEXT(E電入力!AI6,"000000")&amp;");"</f>
        <v>Beacon.Put(112,0,6000000);</v>
      </c>
      <c r="N5" s="12"/>
      <c r="O5" s="12"/>
      <c r="P5" s="12"/>
      <c r="Q5" s="12"/>
      <c r="R5" s="12"/>
      <c r="S5" s="12"/>
      <c r="T5" s="12"/>
      <c r="U5" s="12"/>
      <c r="V5" s="12"/>
      <c r="W5" s="12"/>
      <c r="X5" s="12"/>
      <c r="Y5" s="12"/>
      <c r="Z5" s="12"/>
      <c r="AA5" s="12"/>
      <c r="AB5" s="12"/>
      <c r="AC5" s="12"/>
      <c r="AD5" s="12"/>
      <c r="AE5" s="12"/>
      <c r="AF5" s="12"/>
      <c r="AG5" s="12"/>
      <c r="AH5" s="12"/>
      <c r="AI5" s="12"/>
      <c r="AJ5" s="12"/>
      <c r="AK5" s="12"/>
      <c r="AL5" s="12"/>
    </row>
    <row r="6" spans="1:38">
      <c r="A6" s="2" t="str">
        <f>E電入力!C7&amp;"+25;"</f>
        <v>179525+25;</v>
      </c>
      <c r="B6" s="2" t="str">
        <f ca="1">"Beacon.Put(111,0,1"&amp;TEXT(E電入力!X7,"000000")&amp;");"</f>
        <v>Beacon.Put(111,0,1002215);</v>
      </c>
      <c r="C6" s="2" t="str">
        <f ca="1">"Beacon.Put(111,0,2"&amp;TEXT(E電入力!Y7,"000000")&amp;");"</f>
        <v>Beacon.Put(111,0,2000000);</v>
      </c>
      <c r="D6" s="2" t="str">
        <f ca="1">"Beacon.Put(111,0,3"&amp;TEXT(E電入力!Z7,"000000")&amp;");"</f>
        <v>Beacon.Put(111,0,3002860);</v>
      </c>
      <c r="E6" s="2" t="str">
        <f ca="1">"Beacon.Put(111,0,4"&amp;TEXT(E電入力!AA7,"000000")&amp;");"</f>
        <v>Beacon.Put(111,0,4006200);</v>
      </c>
      <c r="F6" s="2" t="str">
        <f ca="1">"Beacon.Put(111,0,5"&amp;TEXT(E電入力!AB7,"000000")&amp;");"</f>
        <v>Beacon.Put(111,0,5006200);</v>
      </c>
      <c r="G6" s="2" t="str">
        <f ca="1">"Beacon.Put(111,0,6"&amp;TEXT(E電入力!AC7,"000000")&amp;");"</f>
        <v>Beacon.Put(111,0,6003315);</v>
      </c>
      <c r="H6" s="2" t="str">
        <f ca="1">"Beacon.Put(112,0,1"&amp;TEXT(E電入力!AD7,"000000")&amp;");"</f>
        <v>Beacon.Put(112,0,1002245);</v>
      </c>
      <c r="I6" s="2" t="str">
        <f ca="1">"Beacon.Put(112,0,2"&amp;TEXT(E電入力!AE7,"000000")&amp;");"</f>
        <v>Beacon.Put(112,0,2000000);</v>
      </c>
      <c r="J6" s="2" t="str">
        <f ca="1">"Beacon.Put(112,0,3"&amp;TEXT(E電入力!AF7,"000000")&amp;");"</f>
        <v>Beacon.Put(112,0,3002830);</v>
      </c>
      <c r="K6" s="2" t="str">
        <f ca="1">"Beacon.Put(112,0,4"&amp;TEXT(E電入力!AG7,"000000")&amp;");"</f>
        <v>Beacon.Put(112,0,4000000);</v>
      </c>
      <c r="L6" s="2" t="str">
        <f ca="1">"Beacon.Put(112,0,5"&amp;TEXT(E電入力!AH7,"000000")&amp;");"</f>
        <v>Beacon.Put(112,0,5000000);</v>
      </c>
      <c r="M6" s="2" t="str">
        <f ca="1">"Beacon.Put(112,0,6"&amp;TEXT(E電入力!AI7,"000000")&amp;");"</f>
        <v>Beacon.Put(112,0,6003345);</v>
      </c>
      <c r="N6" s="12"/>
      <c r="O6" s="12"/>
      <c r="P6" s="12"/>
      <c r="Q6" s="12"/>
      <c r="R6" s="12"/>
      <c r="S6" s="12"/>
      <c r="T6" s="12"/>
      <c r="U6" s="12"/>
      <c r="V6" s="12"/>
      <c r="W6" s="12"/>
      <c r="X6" s="12"/>
      <c r="Y6" s="12"/>
      <c r="Z6" s="12"/>
      <c r="AA6" s="12"/>
      <c r="AB6" s="12"/>
      <c r="AC6" s="12"/>
      <c r="AD6" s="12"/>
      <c r="AE6" s="12"/>
      <c r="AF6" s="12"/>
      <c r="AG6" s="12"/>
      <c r="AH6" s="12"/>
      <c r="AI6" s="12"/>
      <c r="AJ6" s="12"/>
      <c r="AK6" s="12"/>
      <c r="AL6" s="12"/>
    </row>
    <row r="7" spans="1:38">
      <c r="A7" s="2" t="str">
        <f>E電入力!C8&amp;"+25;"</f>
        <v>181975+25;</v>
      </c>
      <c r="B7" s="2" t="str">
        <f ca="1">"Beacon.Put(111,0,1"&amp;TEXT(E電入力!X8,"000000")&amp;");"</f>
        <v>Beacon.Put(111,0,1000000);</v>
      </c>
      <c r="C7" s="2" t="str">
        <f ca="1">"Beacon.Put(111,0,2"&amp;TEXT(E電入力!Y8,"000000")&amp;");"</f>
        <v>Beacon.Put(111,0,2002860);</v>
      </c>
      <c r="D7" s="2" t="str">
        <f ca="1">"Beacon.Put(111,0,3"&amp;TEXT(E電入力!Z8,"000000")&amp;");"</f>
        <v>Beacon.Put(111,0,3006200);</v>
      </c>
      <c r="E7" s="2" t="str">
        <f ca="1">"Beacon.Put(111,0,4"&amp;TEXT(E電入力!AA8,"000000")&amp;");"</f>
        <v>Beacon.Put(111,0,4006200);</v>
      </c>
      <c r="F7" s="2" t="str">
        <f ca="1">"Beacon.Put(111,0,5"&amp;TEXT(E電入力!AB8,"000000")&amp;");"</f>
        <v>Beacon.Put(111,0,5003315);</v>
      </c>
      <c r="G7" s="2" t="str">
        <f ca="1">"Beacon.Put(111,0,6"&amp;TEXT(E電入力!AC8,"000000")&amp;");"</f>
        <v>Beacon.Put(111,0,6006200);</v>
      </c>
      <c r="H7" s="2" t="str">
        <f ca="1">"Beacon.Put(112,0,1"&amp;TEXT(E電入力!AD8,"000000")&amp;");"</f>
        <v>Beacon.Put(112,0,1000000);</v>
      </c>
      <c r="I7" s="2" t="str">
        <f ca="1">"Beacon.Put(112,0,2"&amp;TEXT(E電入力!AE8,"000000")&amp;");"</f>
        <v>Beacon.Put(112,0,2002830);</v>
      </c>
      <c r="J7" s="2" t="str">
        <f ca="1">"Beacon.Put(112,0,3"&amp;TEXT(E電入力!AF8,"000000")&amp;");"</f>
        <v>Beacon.Put(112,0,3000000);</v>
      </c>
      <c r="K7" s="2" t="str">
        <f ca="1">"Beacon.Put(112,0,4"&amp;TEXT(E電入力!AG8,"000000")&amp;");"</f>
        <v>Beacon.Put(112,0,4000000);</v>
      </c>
      <c r="L7" s="2" t="str">
        <f ca="1">"Beacon.Put(112,0,5"&amp;TEXT(E電入力!AH8,"000000")&amp;");"</f>
        <v>Beacon.Put(112,0,5003345);</v>
      </c>
      <c r="M7" s="2" t="str">
        <f ca="1">"Beacon.Put(112,0,6"&amp;TEXT(E電入力!AI8,"000000")&amp;");"</f>
        <v>Beacon.Put(112,0,6000000);</v>
      </c>
      <c r="N7" s="12"/>
      <c r="O7" s="12"/>
      <c r="P7" s="12"/>
      <c r="Q7" s="12"/>
      <c r="R7" s="12"/>
      <c r="S7" s="12"/>
      <c r="T7" s="12"/>
      <c r="U7" s="12"/>
      <c r="V7" s="12"/>
      <c r="W7" s="12"/>
      <c r="X7" s="12"/>
      <c r="Y7" s="12"/>
      <c r="Z7" s="12"/>
      <c r="AA7" s="12"/>
      <c r="AB7" s="12"/>
      <c r="AC7" s="12"/>
      <c r="AD7" s="12"/>
      <c r="AE7" s="12"/>
      <c r="AF7" s="12"/>
      <c r="AG7" s="12"/>
      <c r="AH7" s="12"/>
      <c r="AI7" s="12"/>
      <c r="AJ7" s="12"/>
      <c r="AK7" s="12"/>
      <c r="AL7" s="12"/>
    </row>
    <row r="8" spans="1:38">
      <c r="A8" s="2" t="str">
        <f>E電入力!C9&amp;"+25;"</f>
        <v>185325+25;</v>
      </c>
      <c r="B8" s="2" t="str">
        <f ca="1">"Beacon.Put(111,0,1"&amp;TEXT(E電入力!X9,"000000")&amp;");"</f>
        <v>Beacon.Put(111,0,1002860);</v>
      </c>
      <c r="C8" s="2" t="str">
        <f ca="1">"Beacon.Put(111,0,2"&amp;TEXT(E電入力!Y9,"000000")&amp;");"</f>
        <v>Beacon.Put(111,0,2006200);</v>
      </c>
      <c r="D8" s="2" t="str">
        <f ca="1">"Beacon.Put(111,0,3"&amp;TEXT(E電入力!Z9,"000000")&amp;");"</f>
        <v>Beacon.Put(111,0,3006200);</v>
      </c>
      <c r="E8" s="2" t="str">
        <f ca="1">"Beacon.Put(111,0,4"&amp;TEXT(E電入力!AA9,"000000")&amp;");"</f>
        <v>Beacon.Put(111,0,4003315);</v>
      </c>
      <c r="F8" s="2" t="str">
        <f ca="1">"Beacon.Put(111,0,5"&amp;TEXT(E電入力!AB9,"000000")&amp;");"</f>
        <v>Beacon.Put(111,0,5006200);</v>
      </c>
      <c r="G8" s="2" t="str">
        <f ca="1">"Beacon.Put(111,0,6"&amp;TEXT(E電入力!AC9,"000000")&amp;");"</f>
        <v>Beacon.Put(111,0,6006200);</v>
      </c>
      <c r="H8" s="2" t="str">
        <f ca="1">"Beacon.Put(112,0,1"&amp;TEXT(E電入力!AD9,"000000")&amp;");"</f>
        <v>Beacon.Put(112,0,1002830);</v>
      </c>
      <c r="I8" s="2" t="str">
        <f ca="1">"Beacon.Put(112,0,2"&amp;TEXT(E電入力!AE9,"000000")&amp;");"</f>
        <v>Beacon.Put(112,0,2000000);</v>
      </c>
      <c r="J8" s="2" t="str">
        <f ca="1">"Beacon.Put(112,0,3"&amp;TEXT(E電入力!AF9,"000000")&amp;");"</f>
        <v>Beacon.Put(112,0,3000000);</v>
      </c>
      <c r="K8" s="2" t="str">
        <f ca="1">"Beacon.Put(112,0,4"&amp;TEXT(E電入力!AG9,"000000")&amp;");"</f>
        <v>Beacon.Put(112,0,4003345);</v>
      </c>
      <c r="L8" s="2" t="str">
        <f ca="1">"Beacon.Put(112,0,5"&amp;TEXT(E電入力!AH9,"000000")&amp;");"</f>
        <v>Beacon.Put(112,0,5000000);</v>
      </c>
      <c r="M8" s="2" t="str">
        <f ca="1">"Beacon.Put(112,0,6"&amp;TEXT(E電入力!AI9,"000000")&amp;");"</f>
        <v>Beacon.Put(112,0,6000000);</v>
      </c>
      <c r="N8" s="12"/>
      <c r="O8" s="12"/>
      <c r="P8" s="12"/>
      <c r="Q8" s="12"/>
      <c r="R8" s="12"/>
      <c r="S8" s="12"/>
      <c r="T8" s="12"/>
      <c r="U8" s="12"/>
      <c r="V8" s="12"/>
      <c r="W8" s="12"/>
      <c r="X8" s="12"/>
      <c r="Y8" s="12"/>
      <c r="Z8" s="12"/>
      <c r="AA8" s="12"/>
      <c r="AB8" s="12"/>
      <c r="AC8" s="12"/>
      <c r="AD8" s="12"/>
      <c r="AE8" s="12"/>
      <c r="AF8" s="12"/>
      <c r="AG8" s="12"/>
      <c r="AH8" s="12"/>
      <c r="AI8" s="12"/>
      <c r="AJ8" s="12"/>
      <c r="AK8" s="12"/>
      <c r="AL8" s="12"/>
    </row>
    <row r="9" spans="1:38">
      <c r="A9" s="2" t="str">
        <f>E電入力!C10&amp;"+25;"</f>
        <v>188425+25;</v>
      </c>
      <c r="B9" s="2" t="str">
        <f ca="1">"Beacon.Put(111,0,1"&amp;TEXT(E電入力!X10,"000000")&amp;");"</f>
        <v>Beacon.Put(111,0,1006200);</v>
      </c>
      <c r="C9" s="2" t="str">
        <f ca="1">"Beacon.Put(111,0,2"&amp;TEXT(E電入力!Y10,"000000")&amp;");"</f>
        <v>Beacon.Put(111,0,2006200);</v>
      </c>
      <c r="D9" s="2" t="str">
        <f ca="1">"Beacon.Put(111,0,3"&amp;TEXT(E電入力!Z10,"000000")&amp;");"</f>
        <v>Beacon.Put(111,0,3003315);</v>
      </c>
      <c r="E9" s="2" t="str">
        <f ca="1">"Beacon.Put(111,0,4"&amp;TEXT(E電入力!AA10,"000000")&amp;");"</f>
        <v>Beacon.Put(111,0,4006200);</v>
      </c>
      <c r="F9" s="2" t="str">
        <f ca="1">"Beacon.Put(111,0,5"&amp;TEXT(E電入力!AB10,"000000")&amp;");"</f>
        <v>Beacon.Put(111,0,5006200);</v>
      </c>
      <c r="G9" s="2" t="str">
        <f ca="1">"Beacon.Put(111,0,6"&amp;TEXT(E電入力!AC10,"000000")&amp;");"</f>
        <v>Beacon.Put(111,0,6006200);</v>
      </c>
      <c r="H9" s="2" t="str">
        <f ca="1">"Beacon.Put(112,0,1"&amp;TEXT(E電入力!AD10,"000000")&amp;");"</f>
        <v>Beacon.Put(112,0,1000000);</v>
      </c>
      <c r="I9" s="2" t="str">
        <f ca="1">"Beacon.Put(112,0,2"&amp;TEXT(E電入力!AE10,"000000")&amp;");"</f>
        <v>Beacon.Put(112,0,2000000);</v>
      </c>
      <c r="J9" s="2" t="str">
        <f ca="1">"Beacon.Put(112,0,3"&amp;TEXT(E電入力!AF10,"000000")&amp;");"</f>
        <v>Beacon.Put(112,0,3003345);</v>
      </c>
      <c r="K9" s="2" t="str">
        <f ca="1">"Beacon.Put(112,0,4"&amp;TEXT(E電入力!AG10,"000000")&amp;");"</f>
        <v>Beacon.Put(112,0,4000000);</v>
      </c>
      <c r="L9" s="2" t="str">
        <f ca="1">"Beacon.Put(112,0,5"&amp;TEXT(E電入力!AH10,"000000")&amp;");"</f>
        <v>Beacon.Put(112,0,5000000);</v>
      </c>
      <c r="M9" s="2" t="str">
        <f ca="1">"Beacon.Put(112,0,6"&amp;TEXT(E電入力!AI10,"000000")&amp;");"</f>
        <v>Beacon.Put(112,0,6000000);</v>
      </c>
      <c r="N9" s="12"/>
      <c r="O9" s="12"/>
      <c r="P9" s="12"/>
      <c r="Q9" s="12"/>
      <c r="R9" s="12"/>
      <c r="S9" s="12"/>
      <c r="T9" s="12"/>
      <c r="U9" s="12"/>
      <c r="V9" s="12"/>
      <c r="W9" s="12"/>
      <c r="X9" s="12"/>
      <c r="Y9" s="12"/>
      <c r="Z9" s="12"/>
      <c r="AA9" s="12"/>
      <c r="AB9" s="12"/>
      <c r="AC9" s="12"/>
      <c r="AD9" s="12"/>
      <c r="AE9" s="12"/>
      <c r="AF9" s="12"/>
      <c r="AG9" s="12"/>
      <c r="AH9" s="12"/>
      <c r="AI9" s="12"/>
      <c r="AJ9" s="12"/>
      <c r="AK9" s="12"/>
      <c r="AL9" s="12"/>
    </row>
    <row r="10" spans="1:38">
      <c r="A10" s="2" t="str">
        <f>E電入力!C11&amp;"+25;"</f>
        <v>190150+25;</v>
      </c>
      <c r="B10" s="2" t="str">
        <f ca="1">"Beacon.Put(111,0,1"&amp;TEXT(E電入力!X11,"000000")&amp;");"</f>
        <v>Beacon.Put(111,0,1006200);</v>
      </c>
      <c r="C10" s="2" t="str">
        <f ca="1">"Beacon.Put(111,0,2"&amp;TEXT(E電入力!Y11,"000000")&amp;");"</f>
        <v>Beacon.Put(111,0,2003315);</v>
      </c>
      <c r="D10" s="2" t="str">
        <f ca="1">"Beacon.Put(111,0,3"&amp;TEXT(E電入力!Z11,"000000")&amp;");"</f>
        <v>Beacon.Put(111,0,3006200);</v>
      </c>
      <c r="E10" s="2" t="str">
        <f ca="1">"Beacon.Put(111,0,4"&amp;TEXT(E電入力!AA11,"000000")&amp;");"</f>
        <v>Beacon.Put(111,0,4006200);</v>
      </c>
      <c r="F10" s="2" t="str">
        <f ca="1">"Beacon.Put(111,0,5"&amp;TEXT(E電入力!AB11,"000000")&amp;");"</f>
        <v>Beacon.Put(111,0,5006200);</v>
      </c>
      <c r="G10" s="2" t="str">
        <f ca="1">"Beacon.Put(111,0,6"&amp;TEXT(E電入力!AC11,"000000")&amp;");"</f>
        <v>Beacon.Put(111,0,6003960);</v>
      </c>
      <c r="H10" s="2" t="str">
        <f ca="1">"Beacon.Put(112,0,1"&amp;TEXT(E電入力!AD11,"000000")&amp;");"</f>
        <v>Beacon.Put(112,0,1000000);</v>
      </c>
      <c r="I10" s="2" t="str">
        <f ca="1">"Beacon.Put(112,0,2"&amp;TEXT(E電入力!AE11,"000000")&amp;");"</f>
        <v>Beacon.Put(112,0,2003345);</v>
      </c>
      <c r="J10" s="2" t="str">
        <f ca="1">"Beacon.Put(112,0,3"&amp;TEXT(E電入力!AF11,"000000")&amp;");"</f>
        <v>Beacon.Put(112,0,3000000);</v>
      </c>
      <c r="K10" s="2" t="str">
        <f ca="1">"Beacon.Put(112,0,4"&amp;TEXT(E電入力!AG11,"000000")&amp;");"</f>
        <v>Beacon.Put(112,0,4000000);</v>
      </c>
      <c r="L10" s="2" t="str">
        <f ca="1">"Beacon.Put(112,0,5"&amp;TEXT(E電入力!AH11,"000000")&amp;");"</f>
        <v>Beacon.Put(112,0,5000000);</v>
      </c>
      <c r="M10" s="2" t="str">
        <f ca="1">"Beacon.Put(112,0,6"&amp;TEXT(E電入力!AI11,"000000")&amp;");"</f>
        <v>Beacon.Put(112,0,6003930);</v>
      </c>
      <c r="N10" s="12"/>
      <c r="O10" s="12"/>
      <c r="P10" s="12"/>
      <c r="Q10" s="12"/>
      <c r="R10" s="12"/>
      <c r="S10" s="12"/>
      <c r="T10" s="12"/>
      <c r="U10" s="12"/>
      <c r="V10" s="12"/>
      <c r="W10" s="12"/>
      <c r="X10" s="12"/>
      <c r="Y10" s="12"/>
      <c r="Z10" s="12"/>
      <c r="AA10" s="12"/>
      <c r="AB10" s="12"/>
      <c r="AC10" s="12"/>
      <c r="AD10" s="12"/>
      <c r="AE10" s="12"/>
      <c r="AF10" s="12"/>
      <c r="AG10" s="12"/>
      <c r="AH10" s="12"/>
      <c r="AI10" s="12"/>
      <c r="AJ10" s="12"/>
      <c r="AK10" s="12"/>
      <c r="AL10" s="12"/>
    </row>
    <row r="11" spans="1:38">
      <c r="A11" s="2" t="str">
        <f>E電入力!C12&amp;"+25;"</f>
        <v>191625+25;</v>
      </c>
      <c r="B11" s="2" t="str">
        <f ca="1">"Beacon.Put(111,0,1"&amp;TEXT(E電入力!X12,"000000")&amp;");"</f>
        <v>Beacon.Put(111,0,1003315);</v>
      </c>
      <c r="C11" s="2" t="str">
        <f ca="1">"Beacon.Put(111,0,2"&amp;TEXT(E電入力!Y12,"000000")&amp;");"</f>
        <v>Beacon.Put(111,0,2006200);</v>
      </c>
      <c r="D11" s="2" t="str">
        <f ca="1">"Beacon.Put(111,0,3"&amp;TEXT(E電入力!Z12,"000000")&amp;");"</f>
        <v>Beacon.Put(111,0,3006200);</v>
      </c>
      <c r="E11" s="2" t="str">
        <f ca="1">"Beacon.Put(111,0,4"&amp;TEXT(E電入力!AA12,"000000")&amp;");"</f>
        <v>Beacon.Put(111,0,4006200);</v>
      </c>
      <c r="F11" s="2" t="str">
        <f ca="1">"Beacon.Put(111,0,5"&amp;TEXT(E電入力!AB12,"000000")&amp;");"</f>
        <v>Beacon.Put(111,0,5003960);</v>
      </c>
      <c r="G11" s="2" t="str">
        <f ca="1">"Beacon.Put(111,0,6"&amp;TEXT(E電入力!AC12,"000000")&amp;");"</f>
        <v>Beacon.Put(111,0,6006200);</v>
      </c>
      <c r="H11" s="2" t="str">
        <f ca="1">"Beacon.Put(112,0,1"&amp;TEXT(E電入力!AD12,"000000")&amp;");"</f>
        <v>Beacon.Put(112,0,1003345);</v>
      </c>
      <c r="I11" s="2" t="str">
        <f ca="1">"Beacon.Put(112,0,2"&amp;TEXT(E電入力!AE12,"000000")&amp;");"</f>
        <v>Beacon.Put(112,0,2000000);</v>
      </c>
      <c r="J11" s="2" t="str">
        <f ca="1">"Beacon.Put(112,0,3"&amp;TEXT(E電入力!AF12,"000000")&amp;");"</f>
        <v>Beacon.Put(112,0,3000000);</v>
      </c>
      <c r="K11" s="2" t="str">
        <f ca="1">"Beacon.Put(112,0,4"&amp;TEXT(E電入力!AG12,"000000")&amp;");"</f>
        <v>Beacon.Put(112,0,4000000);</v>
      </c>
      <c r="L11" s="2" t="str">
        <f ca="1">"Beacon.Put(112,0,5"&amp;TEXT(E電入力!AH12,"000000")&amp;");"</f>
        <v>Beacon.Put(112,0,5003930);</v>
      </c>
      <c r="M11" s="2" t="str">
        <f ca="1">"Beacon.Put(112,0,6"&amp;TEXT(E電入力!AI12,"000000")&amp;");"</f>
        <v>Beacon.Put(112,0,6000000);</v>
      </c>
      <c r="N11" s="12"/>
      <c r="O11" s="12"/>
      <c r="P11" s="12"/>
      <c r="Q11" s="12"/>
      <c r="R11" s="12"/>
      <c r="S11" s="12"/>
      <c r="T11" s="12"/>
      <c r="U11" s="12"/>
      <c r="V11" s="12"/>
      <c r="W11" s="12"/>
      <c r="X11" s="12"/>
      <c r="Y11" s="12"/>
      <c r="Z11" s="12"/>
      <c r="AA11" s="12"/>
      <c r="AB11" s="12"/>
      <c r="AC11" s="12"/>
      <c r="AD11" s="12"/>
      <c r="AE11" s="12"/>
      <c r="AF11" s="12"/>
      <c r="AG11" s="12"/>
      <c r="AH11" s="12"/>
      <c r="AI11" s="12"/>
      <c r="AJ11" s="12"/>
      <c r="AK11" s="12"/>
      <c r="AL11" s="12"/>
    </row>
    <row r="12" spans="1:38">
      <c r="A12" s="2" t="str">
        <f>E電入力!C13&amp;"+25;"</f>
        <v>193900+25;</v>
      </c>
      <c r="B12" s="2" t="str">
        <f ca="1">"Beacon.Put(111,0,1"&amp;TEXT(E電入力!X13,"000000")&amp;");"</f>
        <v>Beacon.Put(111,0,1006200);</v>
      </c>
      <c r="C12" s="2" t="str">
        <f ca="1">"Beacon.Put(111,0,2"&amp;TEXT(E電入力!Y13,"000000")&amp;");"</f>
        <v>Beacon.Put(111,0,2006200);</v>
      </c>
      <c r="D12" s="2" t="str">
        <f ca="1">"Beacon.Put(111,0,3"&amp;TEXT(E電入力!Z13,"000000")&amp;");"</f>
        <v>Beacon.Put(111,0,3006200);</v>
      </c>
      <c r="E12" s="2" t="str">
        <f ca="1">"Beacon.Put(111,0,4"&amp;TEXT(E電入力!AA13,"000000")&amp;");"</f>
        <v>Beacon.Put(111,0,4003960);</v>
      </c>
      <c r="F12" s="2" t="str">
        <f ca="1">"Beacon.Put(111,0,5"&amp;TEXT(E電入力!AB13,"000000")&amp;");"</f>
        <v>Beacon.Put(111,0,5006200);</v>
      </c>
      <c r="G12" s="2" t="str">
        <f ca="1">"Beacon.Put(111,0,6"&amp;TEXT(E電入力!AC13,"000000")&amp;");"</f>
        <v>Beacon.Put(111,0,6006200);</v>
      </c>
      <c r="H12" s="2" t="str">
        <f ca="1">"Beacon.Put(112,0,1"&amp;TEXT(E電入力!AD13,"000000")&amp;");"</f>
        <v>Beacon.Put(112,0,1000000);</v>
      </c>
      <c r="I12" s="2" t="str">
        <f ca="1">"Beacon.Put(112,0,2"&amp;TEXT(E電入力!AE13,"000000")&amp;");"</f>
        <v>Beacon.Put(112,0,2000000);</v>
      </c>
      <c r="J12" s="2" t="str">
        <f ca="1">"Beacon.Put(112,0,3"&amp;TEXT(E電入力!AF13,"000000")&amp;");"</f>
        <v>Beacon.Put(112,0,3000000);</v>
      </c>
      <c r="K12" s="2" t="str">
        <f ca="1">"Beacon.Put(112,0,4"&amp;TEXT(E電入力!AG13,"000000")&amp;");"</f>
        <v>Beacon.Put(112,0,4003930);</v>
      </c>
      <c r="L12" s="2" t="str">
        <f ca="1">"Beacon.Put(112,0,5"&amp;TEXT(E電入力!AH13,"000000")&amp;");"</f>
        <v>Beacon.Put(112,0,5000000);</v>
      </c>
      <c r="M12" s="2" t="str">
        <f ca="1">"Beacon.Put(112,0,6"&amp;TEXT(E電入力!AI13,"000000")&amp;");"</f>
        <v>Beacon.Put(112,0,6000000);</v>
      </c>
      <c r="N12" s="12"/>
      <c r="O12" s="12"/>
      <c r="P12" s="12"/>
      <c r="Q12" s="12"/>
      <c r="R12" s="12"/>
      <c r="S12" s="12"/>
      <c r="T12" s="12"/>
      <c r="U12" s="12"/>
      <c r="V12" s="12"/>
      <c r="W12" s="12"/>
      <c r="X12" s="12"/>
      <c r="Y12" s="12"/>
      <c r="Z12" s="12"/>
      <c r="AA12" s="12"/>
      <c r="AB12" s="12"/>
      <c r="AC12" s="12"/>
      <c r="AD12" s="12"/>
      <c r="AE12" s="12"/>
      <c r="AF12" s="12"/>
      <c r="AG12" s="12"/>
      <c r="AH12" s="12"/>
      <c r="AI12" s="12"/>
      <c r="AJ12" s="12"/>
      <c r="AK12" s="12"/>
      <c r="AL12" s="12"/>
    </row>
    <row r="13" spans="1:38">
      <c r="A13" s="2" t="str">
        <f>E電入力!C14&amp;"+25;"</f>
        <v>195600+25;</v>
      </c>
      <c r="B13" s="2" t="str">
        <f ca="1">"Beacon.Put(111,0,1"&amp;TEXT(E電入力!X14,"000000")&amp;");"</f>
        <v>Beacon.Put(111,0,1006200);</v>
      </c>
      <c r="C13" s="2" t="str">
        <f ca="1">"Beacon.Put(111,0,2"&amp;TEXT(E電入力!Y14,"000000")&amp;");"</f>
        <v>Beacon.Put(111,0,2006200);</v>
      </c>
      <c r="D13" s="2" t="str">
        <f ca="1">"Beacon.Put(111,0,3"&amp;TEXT(E電入力!Z14,"000000")&amp;");"</f>
        <v>Beacon.Put(111,0,3003960);</v>
      </c>
      <c r="E13" s="2" t="str">
        <f ca="1">"Beacon.Put(111,0,4"&amp;TEXT(E電入力!AA14,"000000")&amp;");"</f>
        <v>Beacon.Put(111,0,4006200);</v>
      </c>
      <c r="F13" s="2" t="str">
        <f ca="1">"Beacon.Put(111,0,5"&amp;TEXT(E電入力!AB14,"000000")&amp;");"</f>
        <v>Beacon.Put(111,0,5006200);</v>
      </c>
      <c r="G13" s="2" t="str">
        <f ca="1">"Beacon.Put(111,0,6"&amp;TEXT(E電入力!AC14,"000000")&amp;");"</f>
        <v>Beacon.Put(111,0,6006200);</v>
      </c>
      <c r="H13" s="2" t="str">
        <f ca="1">"Beacon.Put(112,0,1"&amp;TEXT(E電入力!AD14,"000000")&amp;");"</f>
        <v>Beacon.Put(112,0,1000000);</v>
      </c>
      <c r="I13" s="2" t="str">
        <f ca="1">"Beacon.Put(112,0,2"&amp;TEXT(E電入力!AE14,"000000")&amp;");"</f>
        <v>Beacon.Put(112,0,2000000);</v>
      </c>
      <c r="J13" s="2" t="str">
        <f ca="1">"Beacon.Put(112,0,3"&amp;TEXT(E電入力!AF14,"000000")&amp;");"</f>
        <v>Beacon.Put(112,0,3003930);</v>
      </c>
      <c r="K13" s="2" t="str">
        <f ca="1">"Beacon.Put(112,0,4"&amp;TEXT(E電入力!AG14,"000000")&amp;");"</f>
        <v>Beacon.Put(112,0,4000000);</v>
      </c>
      <c r="L13" s="2" t="str">
        <f ca="1">"Beacon.Put(112,0,5"&amp;TEXT(E電入力!AH14,"000000")&amp;");"</f>
        <v>Beacon.Put(112,0,5000000);</v>
      </c>
      <c r="M13" s="2" t="str">
        <f ca="1">"Beacon.Put(112,0,6"&amp;TEXT(E電入力!AI14,"000000")&amp;");"</f>
        <v>Beacon.Put(112,0,6000000);</v>
      </c>
      <c r="N13" s="12"/>
      <c r="O13" s="12"/>
      <c r="P13" s="12"/>
      <c r="Q13" s="12"/>
      <c r="R13" s="12"/>
      <c r="S13" s="12"/>
      <c r="T13" s="12"/>
      <c r="U13" s="12"/>
      <c r="V13" s="12"/>
      <c r="W13" s="12"/>
      <c r="X13" s="12"/>
      <c r="Y13" s="12"/>
      <c r="Z13" s="12"/>
      <c r="AA13" s="12"/>
      <c r="AB13" s="12"/>
      <c r="AC13" s="12"/>
      <c r="AD13" s="12"/>
      <c r="AE13" s="12"/>
      <c r="AF13" s="12"/>
      <c r="AG13" s="12"/>
      <c r="AH13" s="12"/>
      <c r="AI13" s="12"/>
      <c r="AJ13" s="12"/>
      <c r="AK13" s="12"/>
      <c r="AL13" s="12"/>
    </row>
    <row r="14" spans="1:38">
      <c r="A14" s="2" t="str">
        <f>E電入力!C15&amp;"+25;"</f>
        <v>197325+25;</v>
      </c>
      <c r="B14" s="2" t="str">
        <f ca="1">"Beacon.Put(111,0,1"&amp;TEXT(E電入力!X15,"000000")&amp;");"</f>
        <v>Beacon.Put(111,0,1006200);</v>
      </c>
      <c r="C14" s="2" t="str">
        <f ca="1">"Beacon.Put(111,0,2"&amp;TEXT(E電入力!Y15,"000000")&amp;");"</f>
        <v>Beacon.Put(111,0,2003960);</v>
      </c>
      <c r="D14" s="2" t="str">
        <f ca="1">"Beacon.Put(111,0,3"&amp;TEXT(E電入力!Z15,"000000")&amp;");"</f>
        <v>Beacon.Put(111,0,3006200);</v>
      </c>
      <c r="E14" s="2" t="str">
        <f ca="1">"Beacon.Put(111,0,4"&amp;TEXT(E電入力!AA15,"000000")&amp;");"</f>
        <v>Beacon.Put(111,0,4006200);</v>
      </c>
      <c r="F14" s="2" t="str">
        <f ca="1">"Beacon.Put(111,0,5"&amp;TEXT(E電入力!AB15,"000000")&amp;");"</f>
        <v>Beacon.Put(111,0,5006200);</v>
      </c>
      <c r="G14" s="2" t="str">
        <f ca="1">"Beacon.Put(111,0,6"&amp;TEXT(E電入力!AC15,"000000")&amp;");"</f>
        <v>Beacon.Put(111,0,6006200);</v>
      </c>
      <c r="H14" s="2" t="str">
        <f ca="1">"Beacon.Put(112,0,1"&amp;TEXT(E電入力!AD15,"000000")&amp;");"</f>
        <v>Beacon.Put(112,0,1000000);</v>
      </c>
      <c r="I14" s="2" t="str">
        <f ca="1">"Beacon.Put(112,0,2"&amp;TEXT(E電入力!AE15,"000000")&amp;");"</f>
        <v>Beacon.Put(112,0,2003930);</v>
      </c>
      <c r="J14" s="2" t="str">
        <f ca="1">"Beacon.Put(112,0,3"&amp;TEXT(E電入力!AF15,"000000")&amp;");"</f>
        <v>Beacon.Put(112,0,3000000);</v>
      </c>
      <c r="K14" s="2" t="str">
        <f ca="1">"Beacon.Put(112,0,4"&amp;TEXT(E電入力!AG15,"000000")&amp;");"</f>
        <v>Beacon.Put(112,0,4000000);</v>
      </c>
      <c r="L14" s="2" t="str">
        <f ca="1">"Beacon.Put(112,0,5"&amp;TEXT(E電入力!AH15,"000000")&amp;");"</f>
        <v>Beacon.Put(112,0,5000000);</v>
      </c>
      <c r="M14" s="2" t="str">
        <f ca="1">"Beacon.Put(112,0,6"&amp;TEXT(E電入力!AI15,"000000")&amp;");"</f>
        <v>Beacon.Put(112,0,6000000);</v>
      </c>
      <c r="N14" s="12"/>
      <c r="O14" s="12"/>
      <c r="P14" s="12"/>
      <c r="Q14" s="12"/>
      <c r="R14" s="12"/>
      <c r="S14" s="12"/>
      <c r="T14" s="12"/>
      <c r="U14" s="12"/>
      <c r="V14" s="12"/>
      <c r="W14" s="12"/>
      <c r="X14" s="12"/>
      <c r="Y14" s="12"/>
      <c r="Z14" s="12"/>
      <c r="AA14" s="12"/>
      <c r="AB14" s="12"/>
      <c r="AC14" s="12"/>
      <c r="AD14" s="12"/>
      <c r="AE14" s="12"/>
      <c r="AF14" s="12"/>
      <c r="AG14" s="12"/>
      <c r="AH14" s="12"/>
      <c r="AI14" s="12"/>
      <c r="AJ14" s="12"/>
      <c r="AK14" s="12"/>
      <c r="AL14" s="12"/>
    </row>
    <row r="15" spans="1:38">
      <c r="A15" s="2" t="str">
        <f>E電入力!C16&amp;"+25;"</f>
        <v>198925+25;</v>
      </c>
      <c r="B15" s="2" t="str">
        <f ca="1">"Beacon.Put(111,0,1"&amp;TEXT(E電入力!X16,"000000")&amp;");"</f>
        <v>Beacon.Put(111,0,1003960);</v>
      </c>
      <c r="C15" s="2" t="str">
        <f ca="1">"Beacon.Put(111,0,2"&amp;TEXT(E電入力!Y16,"000000")&amp;");"</f>
        <v>Beacon.Put(111,0,2006200);</v>
      </c>
      <c r="D15" s="2" t="str">
        <f ca="1">"Beacon.Put(111,0,3"&amp;TEXT(E電入力!Z16,"000000")&amp;");"</f>
        <v>Beacon.Put(111,0,3006200);</v>
      </c>
      <c r="E15" s="2" t="str">
        <f ca="1">"Beacon.Put(111,0,4"&amp;TEXT(E電入力!AA16,"000000")&amp;");"</f>
        <v>Beacon.Put(111,0,4006200);</v>
      </c>
      <c r="F15" s="2" t="str">
        <f ca="1">"Beacon.Put(111,0,5"&amp;TEXT(E電入力!AB16,"000000")&amp;");"</f>
        <v>Beacon.Put(111,0,5006200);</v>
      </c>
      <c r="G15" s="2" t="str">
        <f ca="1">"Beacon.Put(111,0,6"&amp;TEXT(E電入力!AC16,"000000")&amp;");"</f>
        <v>Beacon.Put(111,0,6006200);</v>
      </c>
      <c r="H15" s="2" t="str">
        <f ca="1">"Beacon.Put(112,0,1"&amp;TEXT(E電入力!AD16,"000000")&amp;");"</f>
        <v>Beacon.Put(112,0,1003930);</v>
      </c>
      <c r="I15" s="2" t="str">
        <f ca="1">"Beacon.Put(112,0,2"&amp;TEXT(E電入力!AE16,"000000")&amp;");"</f>
        <v>Beacon.Put(112,0,2000000);</v>
      </c>
      <c r="J15" s="2" t="str">
        <f ca="1">"Beacon.Put(112,0,3"&amp;TEXT(E電入力!AF16,"000000")&amp;");"</f>
        <v>Beacon.Put(112,0,3000000);</v>
      </c>
      <c r="K15" s="2" t="str">
        <f ca="1">"Beacon.Put(112,0,4"&amp;TEXT(E電入力!AG16,"000000")&amp;");"</f>
        <v>Beacon.Put(112,0,4000000);</v>
      </c>
      <c r="L15" s="2" t="str">
        <f ca="1">"Beacon.Put(112,0,5"&amp;TEXT(E電入力!AH16,"000000")&amp;");"</f>
        <v>Beacon.Put(112,0,5000000);</v>
      </c>
      <c r="M15" s="2" t="str">
        <f ca="1">"Beacon.Put(112,0,6"&amp;TEXT(E電入力!AI16,"000000")&amp;");"</f>
        <v>Beacon.Put(112,0,6000000);</v>
      </c>
      <c r="N15" s="12"/>
      <c r="O15" s="12"/>
      <c r="P15" s="12"/>
      <c r="Q15" s="12"/>
      <c r="R15" s="12"/>
      <c r="S15" s="12"/>
      <c r="T15" s="12"/>
      <c r="U15" s="12"/>
      <c r="V15" s="12"/>
      <c r="W15" s="12"/>
      <c r="X15" s="12"/>
      <c r="Y15" s="12"/>
      <c r="Z15" s="12"/>
      <c r="AA15" s="12"/>
      <c r="AB15" s="12"/>
      <c r="AC15" s="12"/>
      <c r="AD15" s="12"/>
      <c r="AE15" s="12"/>
      <c r="AF15" s="12"/>
      <c r="AG15" s="12"/>
      <c r="AH15" s="12"/>
      <c r="AI15" s="12"/>
      <c r="AJ15" s="12"/>
      <c r="AK15" s="12"/>
      <c r="AL15" s="12"/>
    </row>
    <row r="16" spans="1:38">
      <c r="A16" s="2" t="str">
        <f>E電入力!C17&amp;"+25;"</f>
        <v>200475+25;</v>
      </c>
      <c r="B16" s="2" t="str">
        <f ca="1">"Beacon.Put(111,0,1"&amp;TEXT(E電入力!X17,"000000")&amp;");"</f>
        <v>Beacon.Put(111,0,1006200);</v>
      </c>
      <c r="C16" s="2" t="str">
        <f ca="1">"Beacon.Put(111,0,2"&amp;TEXT(E電入力!Y17,"000000")&amp;");"</f>
        <v>Beacon.Put(111,0,2006200);</v>
      </c>
      <c r="D16" s="2" t="str">
        <f ca="1">"Beacon.Put(111,0,3"&amp;TEXT(E電入力!Z17,"000000")&amp;");"</f>
        <v>Beacon.Put(111,0,3006200);</v>
      </c>
      <c r="E16" s="2" t="str">
        <f ca="1">"Beacon.Put(111,0,4"&amp;TEXT(E電入力!AA17,"000000")&amp;");"</f>
        <v>Beacon.Put(111,0,4006200);</v>
      </c>
      <c r="F16" s="2" t="str">
        <f ca="1">"Beacon.Put(111,0,5"&amp;TEXT(E電入力!AB17,"000000")&amp;");"</f>
        <v>Beacon.Put(111,0,5006200);</v>
      </c>
      <c r="G16" s="2" t="str">
        <f ca="1">"Beacon.Put(111,0,6"&amp;TEXT(E電入力!AC17,"000000")&amp;");"</f>
        <v>Beacon.Put(111,0,6004630);</v>
      </c>
      <c r="H16" s="2" t="str">
        <f ca="1">"Beacon.Put(112,0,1"&amp;TEXT(E電入力!AD17,"000000")&amp;");"</f>
        <v>Beacon.Put(112,0,1000000);</v>
      </c>
      <c r="I16" s="2" t="str">
        <f ca="1">"Beacon.Put(112,0,2"&amp;TEXT(E電入力!AE17,"000000")&amp;");"</f>
        <v>Beacon.Put(112,0,2000000);</v>
      </c>
      <c r="J16" s="2" t="str">
        <f ca="1">"Beacon.Put(112,0,3"&amp;TEXT(E電入力!AF17,"000000")&amp;");"</f>
        <v>Beacon.Put(112,0,3000000);</v>
      </c>
      <c r="K16" s="2" t="str">
        <f ca="1">"Beacon.Put(112,0,4"&amp;TEXT(E電入力!AG17,"000000")&amp;");"</f>
        <v>Beacon.Put(112,0,4000000);</v>
      </c>
      <c r="L16" s="2" t="str">
        <f ca="1">"Beacon.Put(112,0,5"&amp;TEXT(E電入力!AH17,"000000")&amp;");"</f>
        <v>Beacon.Put(112,0,5000000);</v>
      </c>
      <c r="M16" s="2" t="str">
        <f ca="1">"Beacon.Put(112,0,6"&amp;TEXT(E電入力!AI17,"000000")&amp;");"</f>
        <v>Beacon.Put(112,0,6004760);</v>
      </c>
      <c r="N16" s="12"/>
      <c r="O16" s="12"/>
      <c r="P16" s="12"/>
      <c r="Q16" s="12"/>
      <c r="R16" s="12"/>
      <c r="S16" s="12"/>
      <c r="T16" s="12"/>
      <c r="U16" s="12"/>
      <c r="V16" s="12"/>
      <c r="W16" s="12"/>
      <c r="X16" s="12"/>
      <c r="Y16" s="12"/>
      <c r="Z16" s="12"/>
      <c r="AA16" s="12"/>
      <c r="AB16" s="12"/>
      <c r="AC16" s="12"/>
      <c r="AD16" s="12"/>
      <c r="AE16" s="12"/>
      <c r="AF16" s="12"/>
      <c r="AG16" s="12"/>
      <c r="AH16" s="12"/>
      <c r="AI16" s="12"/>
      <c r="AJ16" s="12"/>
      <c r="AK16" s="12"/>
      <c r="AL16" s="12"/>
    </row>
    <row r="17" spans="1:38">
      <c r="A17" s="2" t="str">
        <f>E電入力!C18&amp;"+25;"</f>
        <v>202075+25;</v>
      </c>
      <c r="B17" s="2" t="str">
        <f ca="1">"Beacon.Put(111,0,1"&amp;TEXT(E電入力!X18,"000000")&amp;");"</f>
        <v>Beacon.Put(111,0,1006200);</v>
      </c>
      <c r="C17" s="2" t="str">
        <f ca="1">"Beacon.Put(111,0,2"&amp;TEXT(E電入力!Y18,"000000")&amp;");"</f>
        <v>Beacon.Put(111,0,2006200);</v>
      </c>
      <c r="D17" s="2" t="str">
        <f ca="1">"Beacon.Put(111,0,3"&amp;TEXT(E電入力!Z18,"000000")&amp;");"</f>
        <v>Beacon.Put(111,0,3006200);</v>
      </c>
      <c r="E17" s="2" t="str">
        <f ca="1">"Beacon.Put(111,0,4"&amp;TEXT(E電入力!AA18,"000000")&amp;");"</f>
        <v>Beacon.Put(111,0,4006200);</v>
      </c>
      <c r="F17" s="2" t="str">
        <f ca="1">"Beacon.Put(111,0,5"&amp;TEXT(E電入力!AB18,"000000")&amp;");"</f>
        <v>Beacon.Put(111,0,5004630);</v>
      </c>
      <c r="G17" s="2" t="str">
        <f ca="1">"Beacon.Put(111,0,6"&amp;TEXT(E電入力!AC18,"000000")&amp;");"</f>
        <v>Beacon.Put(111,0,6005160);</v>
      </c>
      <c r="H17" s="2" t="str">
        <f ca="1">"Beacon.Put(112,0,1"&amp;TEXT(E電入力!AD18,"000000")&amp;");"</f>
        <v>Beacon.Put(112,0,1000000);</v>
      </c>
      <c r="I17" s="2" t="str">
        <f ca="1">"Beacon.Put(112,0,2"&amp;TEXT(E電入力!AE18,"000000")&amp;");"</f>
        <v>Beacon.Put(112,0,2000000);</v>
      </c>
      <c r="J17" s="2" t="str">
        <f ca="1">"Beacon.Put(112,0,3"&amp;TEXT(E電入力!AF18,"000000")&amp;");"</f>
        <v>Beacon.Put(112,0,3000000);</v>
      </c>
      <c r="K17" s="2" t="str">
        <f ca="1">"Beacon.Put(112,0,4"&amp;TEXT(E電入力!AG18,"000000")&amp;");"</f>
        <v>Beacon.Put(112,0,4000000);</v>
      </c>
      <c r="L17" s="2" t="str">
        <f ca="1">"Beacon.Put(112,0,5"&amp;TEXT(E電入力!AH18,"000000")&amp;");"</f>
        <v>Beacon.Put(112,0,5004760);</v>
      </c>
      <c r="M17" s="2" t="str">
        <f ca="1">"Beacon.Put(112,0,6"&amp;TEXT(E電入力!AI18,"000000")&amp;");"</f>
        <v>Beacon.Put(112,0,6005130);</v>
      </c>
      <c r="N17" s="12"/>
      <c r="O17" s="12"/>
      <c r="P17" s="12"/>
      <c r="Q17" s="12"/>
      <c r="R17" s="12"/>
      <c r="S17" s="12"/>
      <c r="T17" s="12"/>
      <c r="U17" s="12"/>
      <c r="V17" s="12"/>
      <c r="W17" s="12"/>
      <c r="X17" s="12"/>
      <c r="Y17" s="12"/>
      <c r="Z17" s="12"/>
      <c r="AA17" s="12"/>
      <c r="AB17" s="12"/>
      <c r="AC17" s="12"/>
      <c r="AD17" s="12"/>
      <c r="AE17" s="12"/>
      <c r="AF17" s="12"/>
      <c r="AG17" s="12"/>
      <c r="AH17" s="12"/>
      <c r="AI17" s="12"/>
      <c r="AJ17" s="12"/>
      <c r="AK17" s="12"/>
      <c r="AL17" s="12"/>
    </row>
    <row r="18" spans="1:38">
      <c r="A18" s="2" t="str">
        <f>E電入力!C19&amp;"+25;"</f>
        <v>203845+25;</v>
      </c>
      <c r="B18" s="2" t="str">
        <f ca="1">"Beacon.Put(111,0,1"&amp;TEXT(E電入力!X19,"000000")&amp;");"</f>
        <v>Beacon.Put(111,0,1006200);</v>
      </c>
      <c r="C18" s="2" t="str">
        <f ca="1">"Beacon.Put(111,0,2"&amp;TEXT(E電入力!Y19,"000000")&amp;");"</f>
        <v>Beacon.Put(111,0,2006200);</v>
      </c>
      <c r="D18" s="2" t="str">
        <f ca="1">"Beacon.Put(111,0,3"&amp;TEXT(E電入力!Z19,"000000")&amp;");"</f>
        <v>Beacon.Put(111,0,3006200);</v>
      </c>
      <c r="E18" s="2" t="str">
        <f ca="1">"Beacon.Put(111,0,4"&amp;TEXT(E電入力!AA19,"000000")&amp;");"</f>
        <v>Beacon.Put(111,0,4004630);</v>
      </c>
      <c r="F18" s="2" t="str">
        <f ca="1">"Beacon.Put(111,0,5"&amp;TEXT(E電入力!AB19,"000000")&amp;");"</f>
        <v>Beacon.Put(111,0,5005160);</v>
      </c>
      <c r="G18" s="2" t="str">
        <f ca="1">"Beacon.Put(111,0,6"&amp;TEXT(E電入力!AC19,"000000")&amp;");"</f>
        <v>Beacon.Put(111,0,6005530);</v>
      </c>
      <c r="H18" s="2" t="str">
        <f ca="1">"Beacon.Put(112,0,1"&amp;TEXT(E電入力!AD19,"000000")&amp;");"</f>
        <v>Beacon.Put(112,0,1000000);</v>
      </c>
      <c r="I18" s="2" t="str">
        <f ca="1">"Beacon.Put(112,0,2"&amp;TEXT(E電入力!AE19,"000000")&amp;");"</f>
        <v>Beacon.Put(112,0,2000000);</v>
      </c>
      <c r="J18" s="2" t="str">
        <f ca="1">"Beacon.Put(112,0,3"&amp;TEXT(E電入力!AF19,"000000")&amp;");"</f>
        <v>Beacon.Put(112,0,3000000);</v>
      </c>
      <c r="K18" s="2" t="str">
        <f ca="1">"Beacon.Put(112,0,4"&amp;TEXT(E電入力!AG19,"000000")&amp;");"</f>
        <v>Beacon.Put(112,0,4004760);</v>
      </c>
      <c r="L18" s="2" t="str">
        <f ca="1">"Beacon.Put(112,0,5"&amp;TEXT(E電入力!AH19,"000000")&amp;");"</f>
        <v>Beacon.Put(112,0,5005130);</v>
      </c>
      <c r="M18" s="2" t="str">
        <f ca="1">"Beacon.Put(112,0,6"&amp;TEXT(E電入力!AI19,"000000")&amp;");"</f>
        <v>Beacon.Put(112,0,6005660);</v>
      </c>
      <c r="N18" s="12"/>
      <c r="O18" s="12"/>
      <c r="P18" s="12"/>
      <c r="Q18" s="12"/>
      <c r="R18" s="12"/>
      <c r="S18" s="12"/>
      <c r="T18" s="12"/>
      <c r="U18" s="12"/>
      <c r="V18" s="12"/>
      <c r="W18" s="12"/>
      <c r="X18" s="12"/>
      <c r="Y18" s="12"/>
      <c r="Z18" s="12"/>
      <c r="AA18" s="12"/>
      <c r="AB18" s="12"/>
      <c r="AC18" s="12"/>
      <c r="AD18" s="12"/>
      <c r="AE18" s="12"/>
      <c r="AF18" s="12"/>
      <c r="AG18" s="12"/>
      <c r="AH18" s="12"/>
      <c r="AI18" s="12"/>
      <c r="AJ18" s="12"/>
      <c r="AK18" s="12"/>
      <c r="AL18" s="12"/>
    </row>
    <row r="19" spans="1:38">
      <c r="A19" s="2" t="str">
        <f>E電入力!C20&amp;"+25;"</f>
        <v>205325+25;</v>
      </c>
      <c r="B19" s="2" t="str">
        <f ca="1">"Beacon.Put(111,0,1"&amp;TEXT(E電入力!X20,"000000")&amp;");"</f>
        <v>Beacon.Put(111,0,1006200);</v>
      </c>
      <c r="C19" s="2" t="str">
        <f ca="1">"Beacon.Put(111,0,2"&amp;TEXT(E電入力!Y20,"000000")&amp;");"</f>
        <v>Beacon.Put(111,0,2006200);</v>
      </c>
      <c r="D19" s="2" t="str">
        <f ca="1">"Beacon.Put(111,0,3"&amp;TEXT(E電入力!Z20,"000000")&amp;");"</f>
        <v>Beacon.Put(111,0,3004630);</v>
      </c>
      <c r="E19" s="2" t="str">
        <f ca="1">"Beacon.Put(111,0,4"&amp;TEXT(E電入力!AA20,"000000")&amp;");"</f>
        <v>Beacon.Put(111,0,4005160);</v>
      </c>
      <c r="F19" s="2" t="str">
        <f ca="1">"Beacon.Put(111,0,5"&amp;TEXT(E電入力!AB20,"000000")&amp;");"</f>
        <v>Beacon.Put(111,0,5005530);</v>
      </c>
      <c r="G19" s="2" t="str">
        <f ca="1">"Beacon.Put(111,0,6"&amp;TEXT(E電入力!AC20,"000000")&amp;");"</f>
        <v>Beacon.Put(111,0,6006030);</v>
      </c>
      <c r="H19" s="2" t="str">
        <f ca="1">"Beacon.Put(112,0,1"&amp;TEXT(E電入力!AD20,"000000")&amp;");"</f>
        <v>Beacon.Put(112,0,1000000);</v>
      </c>
      <c r="I19" s="2" t="str">
        <f ca="1">"Beacon.Put(112,0,2"&amp;TEXT(E電入力!AE20,"000000")&amp;");"</f>
        <v>Beacon.Put(112,0,2000000);</v>
      </c>
      <c r="J19" s="2" t="str">
        <f ca="1">"Beacon.Put(112,0,3"&amp;TEXT(E電入力!AF20,"000000")&amp;");"</f>
        <v>Beacon.Put(112,0,3004760);</v>
      </c>
      <c r="K19" s="2" t="str">
        <f ca="1">"Beacon.Put(112,0,4"&amp;TEXT(E電入力!AG20,"000000")&amp;");"</f>
        <v>Beacon.Put(112,0,4005130);</v>
      </c>
      <c r="L19" s="2" t="str">
        <f ca="1">"Beacon.Put(112,0,5"&amp;TEXT(E電入力!AH20,"000000")&amp;");"</f>
        <v>Beacon.Put(112,0,5005660);</v>
      </c>
      <c r="M19" s="2" t="str">
        <f ca="1">"Beacon.Put(112,0,6"&amp;TEXT(E電入力!AI20,"000000")&amp;");"</f>
        <v>Beacon.Put(112,0,6000160);</v>
      </c>
      <c r="N19" s="12"/>
      <c r="O19" s="12"/>
      <c r="P19" s="12"/>
      <c r="Q19" s="12"/>
      <c r="R19" s="12"/>
      <c r="S19" s="12"/>
      <c r="T19" s="12"/>
      <c r="U19" s="12"/>
      <c r="V19" s="12"/>
      <c r="W19" s="12"/>
      <c r="X19" s="12"/>
      <c r="Y19" s="12"/>
      <c r="Z19" s="12"/>
      <c r="AA19" s="12"/>
      <c r="AB19" s="12"/>
      <c r="AC19" s="12"/>
      <c r="AD19" s="12"/>
      <c r="AE19" s="12"/>
      <c r="AF19" s="12"/>
      <c r="AG19" s="12"/>
      <c r="AH19" s="12"/>
      <c r="AI19" s="12"/>
      <c r="AJ19" s="12"/>
      <c r="AK19" s="12"/>
      <c r="AL19" s="12"/>
    </row>
    <row r="20" spans="1:38">
      <c r="A20" s="2" t="str">
        <f>E電入力!C21&amp;"+25;"</f>
        <v>206725+25;</v>
      </c>
      <c r="B20" s="2" t="str">
        <f ca="1">"Beacon.Put(111,0,1"&amp;TEXT(E電入力!X21,"000000")&amp;");"</f>
        <v>Beacon.Put(111,0,1006200);</v>
      </c>
      <c r="C20" s="2" t="str">
        <f ca="1">"Beacon.Put(111,0,2"&amp;TEXT(E電入力!Y21,"000000")&amp;");"</f>
        <v>Beacon.Put(111,0,2004630);</v>
      </c>
      <c r="D20" s="2" t="str">
        <f ca="1">"Beacon.Put(111,0,3"&amp;TEXT(E電入力!Z21,"000000")&amp;");"</f>
        <v>Beacon.Put(111,0,3005160);</v>
      </c>
      <c r="E20" s="2" t="str">
        <f ca="1">"Beacon.Put(111,0,4"&amp;TEXT(E電入力!AA21,"000000")&amp;");"</f>
        <v>Beacon.Put(111,0,4005530);</v>
      </c>
      <c r="F20" s="2" t="str">
        <f ca="1">"Beacon.Put(111,0,5"&amp;TEXT(E電入力!AB21,"000000")&amp;");"</f>
        <v>Beacon.Put(111,0,5006030);</v>
      </c>
      <c r="G20" s="2" t="str">
        <f ca="1">"Beacon.Put(111,0,6"&amp;TEXT(E電入力!AC21,"000000")&amp;");"</f>
        <v>Beacon.Put(111,0,6000000);</v>
      </c>
      <c r="H20" s="2" t="str">
        <f ca="1">"Beacon.Put(112,0,1"&amp;TEXT(E電入力!AD21,"000000")&amp;");"</f>
        <v>Beacon.Put(112,0,1000000);</v>
      </c>
      <c r="I20" s="2" t="str">
        <f ca="1">"Beacon.Put(112,0,2"&amp;TEXT(E電入力!AE21,"000000")&amp;");"</f>
        <v>Beacon.Put(112,0,2004760);</v>
      </c>
      <c r="J20" s="2" t="str">
        <f ca="1">"Beacon.Put(112,0,3"&amp;TEXT(E電入力!AF21,"000000")&amp;");"</f>
        <v>Beacon.Put(112,0,3005130);</v>
      </c>
      <c r="K20" s="2" t="str">
        <f ca="1">"Beacon.Put(112,0,4"&amp;TEXT(E電入力!AG21,"000000")&amp;");"</f>
        <v>Beacon.Put(112,0,4005660);</v>
      </c>
      <c r="L20" s="2" t="str">
        <f ca="1">"Beacon.Put(112,0,5"&amp;TEXT(E電入力!AH21,"000000")&amp;");"</f>
        <v>Beacon.Put(112,0,5000160);</v>
      </c>
      <c r="M20" s="2" t="str">
        <f ca="1">"Beacon.Put(112,0,6"&amp;TEXT(E電入力!AI21,"000000")&amp;");"</f>
        <v>Beacon.Put(112,0,6000000);</v>
      </c>
      <c r="N20" s="12"/>
      <c r="O20" s="12"/>
      <c r="P20" s="12"/>
      <c r="Q20" s="12"/>
      <c r="R20" s="12"/>
      <c r="S20" s="12"/>
      <c r="T20" s="12"/>
      <c r="U20" s="12"/>
      <c r="V20" s="12"/>
      <c r="W20" s="12"/>
      <c r="X20" s="12"/>
      <c r="Y20" s="12"/>
      <c r="Z20" s="12"/>
      <c r="AA20" s="12"/>
      <c r="AB20" s="12"/>
      <c r="AC20" s="12"/>
      <c r="AD20" s="12"/>
      <c r="AE20" s="12"/>
      <c r="AF20" s="12"/>
      <c r="AG20" s="12"/>
      <c r="AH20" s="12"/>
      <c r="AI20" s="12"/>
      <c r="AJ20" s="12"/>
      <c r="AK20" s="12"/>
      <c r="AL20" s="12"/>
    </row>
    <row r="21" spans="1:38">
      <c r="A21" s="2" t="str">
        <f>E電入力!C22&amp;"+25;"</f>
        <v>208225+25;</v>
      </c>
      <c r="B21" s="2" t="str">
        <f ca="1">"Beacon.Put(111,0,1"&amp;TEXT(E電入力!X22,"000000")&amp;");"</f>
        <v>Beacon.Put(111,0,1004630);</v>
      </c>
      <c r="C21" s="2" t="str">
        <f ca="1">"Beacon.Put(111,0,2"&amp;TEXT(E電入力!Y22,"000000")&amp;");"</f>
        <v>Beacon.Put(111,0,2005160);</v>
      </c>
      <c r="D21" s="2" t="str">
        <f ca="1">"Beacon.Put(111,0,3"&amp;TEXT(E電入力!Z22,"000000")&amp;");"</f>
        <v>Beacon.Put(111,0,3005530);</v>
      </c>
      <c r="E21" s="2" t="str">
        <f ca="1">"Beacon.Put(111,0,4"&amp;TEXT(E電入力!AA22,"000000")&amp;");"</f>
        <v>Beacon.Put(111,0,4006030);</v>
      </c>
      <c r="F21" s="2" t="str">
        <f ca="1">"Beacon.Put(111,0,5"&amp;TEXT(E電入力!AB22,"000000")&amp;");"</f>
        <v>Beacon.Put(111,0,5000000);</v>
      </c>
      <c r="G21" s="2" t="str">
        <f ca="1">"Beacon.Put(111,0,6"&amp;TEXT(E電入力!AC22,"000000")&amp;");"</f>
        <v>Beacon.Put(111,0,6000560);</v>
      </c>
      <c r="H21" s="2" t="str">
        <f ca="1">"Beacon.Put(112,0,1"&amp;TEXT(E電入力!AD22,"000000")&amp;");"</f>
        <v>Beacon.Put(112,0,1004760);</v>
      </c>
      <c r="I21" s="2" t="str">
        <f ca="1">"Beacon.Put(112,0,2"&amp;TEXT(E電入力!AE22,"000000")&amp;");"</f>
        <v>Beacon.Put(112,0,2005130);</v>
      </c>
      <c r="J21" s="2" t="str">
        <f ca="1">"Beacon.Put(112,0,3"&amp;TEXT(E電入力!AF22,"000000")&amp;");"</f>
        <v>Beacon.Put(112,0,3005660);</v>
      </c>
      <c r="K21" s="2" t="str">
        <f ca="1">"Beacon.Put(112,0,4"&amp;TEXT(E電入力!AG22,"000000")&amp;");"</f>
        <v>Beacon.Put(112,0,4000160);</v>
      </c>
      <c r="L21" s="2" t="str">
        <f ca="1">"Beacon.Put(112,0,5"&amp;TEXT(E電入力!AH22,"000000")&amp;");"</f>
        <v>Beacon.Put(112,0,5000000);</v>
      </c>
      <c r="M21" s="2" t="str">
        <f ca="1">"Beacon.Put(112,0,6"&amp;TEXT(E電入力!AI22,"000000")&amp;");"</f>
        <v>Beacon.Put(112,0,6000000);</v>
      </c>
      <c r="N21" s="12"/>
      <c r="O21" s="12"/>
      <c r="P21" s="12"/>
      <c r="Q21" s="12"/>
      <c r="R21" s="12"/>
      <c r="S21" s="12"/>
      <c r="T21" s="12"/>
      <c r="U21" s="12"/>
      <c r="V21" s="12"/>
      <c r="W21" s="12"/>
      <c r="X21" s="12"/>
      <c r="Y21" s="12"/>
      <c r="Z21" s="12"/>
      <c r="AA21" s="12"/>
      <c r="AB21" s="12"/>
      <c r="AC21" s="12"/>
      <c r="AD21" s="12"/>
      <c r="AE21" s="12"/>
      <c r="AF21" s="12"/>
      <c r="AG21" s="12"/>
      <c r="AH21" s="12"/>
      <c r="AI21" s="12"/>
      <c r="AJ21" s="12"/>
      <c r="AK21" s="12"/>
      <c r="AL21" s="12"/>
    </row>
    <row r="22" spans="1:38">
      <c r="A22" s="2" t="str">
        <f>E電入力!C23&amp;"+25;"</f>
        <v>212675+25;</v>
      </c>
      <c r="B22" s="2" t="str">
        <f ca="1">"Beacon.Put(111,0,1"&amp;TEXT(E電入力!X23,"000000")&amp;");"</f>
        <v>Beacon.Put(111,0,1005160);</v>
      </c>
      <c r="C22" s="2" t="str">
        <f ca="1">"Beacon.Put(111,0,2"&amp;TEXT(E電入力!Y23,"000000")&amp;");"</f>
        <v>Beacon.Put(111,0,2005530);</v>
      </c>
      <c r="D22" s="2" t="str">
        <f ca="1">"Beacon.Put(111,0,3"&amp;TEXT(E電入力!Z23,"000000")&amp;");"</f>
        <v>Beacon.Put(111,0,3006030);</v>
      </c>
      <c r="E22" s="2" t="str">
        <f ca="1">"Beacon.Put(111,0,4"&amp;TEXT(E電入力!AA23,"000000")&amp;");"</f>
        <v>Beacon.Put(111,0,4000000);</v>
      </c>
      <c r="F22" s="2" t="str">
        <f ca="1">"Beacon.Put(111,0,5"&amp;TEXT(E電入力!AB23,"000000")&amp;");"</f>
        <v>Beacon.Put(111,0,5000560);</v>
      </c>
      <c r="G22" s="2" t="str">
        <f ca="1">"Beacon.Put(111,0,6"&amp;TEXT(E電入力!AC23,"000000")&amp;");"</f>
        <v>Beacon.Put(111,0,6000000);</v>
      </c>
      <c r="H22" s="2" t="str">
        <f ca="1">"Beacon.Put(112,0,1"&amp;TEXT(E電入力!AD23,"000000")&amp;");"</f>
        <v>Beacon.Put(112,0,1005130);</v>
      </c>
      <c r="I22" s="2" t="str">
        <f ca="1">"Beacon.Put(112,0,2"&amp;TEXT(E電入力!AE23,"000000")&amp;");"</f>
        <v>Beacon.Put(112,0,2005660);</v>
      </c>
      <c r="J22" s="2" t="str">
        <f ca="1">"Beacon.Put(112,0,3"&amp;TEXT(E電入力!AF23,"000000")&amp;");"</f>
        <v>Beacon.Put(112,0,3000160);</v>
      </c>
      <c r="K22" s="2" t="str">
        <f ca="1">"Beacon.Put(112,0,4"&amp;TEXT(E電入力!AG23,"000000")&amp;");"</f>
        <v>Beacon.Put(112,0,4000000);</v>
      </c>
      <c r="L22" s="2" t="str">
        <f ca="1">"Beacon.Put(112,0,5"&amp;TEXT(E電入力!AH23,"000000")&amp;");"</f>
        <v>Beacon.Put(112,0,5000000);</v>
      </c>
      <c r="M22" s="2" t="str">
        <f ca="1">"Beacon.Put(112,0,6"&amp;TEXT(E電入力!AI23,"000000")&amp;");"</f>
        <v>Beacon.Put(112,0,6000000);</v>
      </c>
      <c r="N22" s="12"/>
      <c r="O22" s="12"/>
      <c r="P22" s="12"/>
      <c r="Q22" s="12"/>
      <c r="R22" s="12"/>
      <c r="S22" s="12"/>
      <c r="T22" s="12"/>
      <c r="U22" s="12"/>
      <c r="V22" s="12"/>
      <c r="W22" s="12"/>
      <c r="X22" s="12"/>
      <c r="Y22" s="12"/>
      <c r="Z22" s="12"/>
      <c r="AA22" s="12"/>
      <c r="AB22" s="12"/>
      <c r="AC22" s="12"/>
      <c r="AD22" s="12"/>
      <c r="AE22" s="12"/>
      <c r="AF22" s="12"/>
      <c r="AG22" s="12"/>
      <c r="AH22" s="12"/>
      <c r="AI22" s="12"/>
      <c r="AJ22" s="12"/>
      <c r="AK22" s="12"/>
      <c r="AL22" s="12"/>
    </row>
    <row r="23" spans="1:38">
      <c r="A23" s="2" t="str">
        <f>E電入力!C24&amp;"+25;"</f>
        <v>216375+25;</v>
      </c>
      <c r="B23" s="2" t="str">
        <f ca="1">"Beacon.Put(111,0,1"&amp;TEXT(E電入力!X24,"000000")&amp;");"</f>
        <v>Beacon.Put(111,0,1004630);</v>
      </c>
      <c r="C23" s="2" t="str">
        <f ca="1">"Beacon.Put(111,0,2"&amp;TEXT(E電入力!Y24,"000000")&amp;");"</f>
        <v>Beacon.Put(111,0,2005530);</v>
      </c>
      <c r="D23" s="2" t="str">
        <f ca="1">"Beacon.Put(111,0,3"&amp;TEXT(E電入力!Z24,"000000")&amp;");"</f>
        <v>Beacon.Put(111,0,3006030);</v>
      </c>
      <c r="E23" s="2" t="str">
        <f ca="1">"Beacon.Put(111,0,4"&amp;TEXT(E電入力!AA24,"000000")&amp;");"</f>
        <v>Beacon.Put(111,0,4000000);</v>
      </c>
      <c r="F23" s="2" t="str">
        <f ca="1">"Beacon.Put(111,0,5"&amp;TEXT(E電入力!AB24,"000000")&amp;");"</f>
        <v>Beacon.Put(111,0,5000560);</v>
      </c>
      <c r="G23" s="2" t="str">
        <f ca="1">"Beacon.Put(111,0,6"&amp;TEXT(E電入力!AC24,"000000")&amp;");"</f>
        <v>Beacon.Put(111,0,6000000);</v>
      </c>
      <c r="H23" s="2" t="str">
        <f ca="1">"Beacon.Put(112,0,1"&amp;TEXT(E電入力!AD24,"000000")&amp;");"</f>
        <v>Beacon.Put(112,0,1005130);</v>
      </c>
      <c r="I23" s="2" t="str">
        <f ca="1">"Beacon.Put(112,0,2"&amp;TEXT(E電入力!AE24,"000000")&amp;");"</f>
        <v>Beacon.Put(112,0,2005660);</v>
      </c>
      <c r="J23" s="2" t="str">
        <f ca="1">"Beacon.Put(112,0,3"&amp;TEXT(E電入力!AF24,"000000")&amp;");"</f>
        <v>Beacon.Put(112,0,3000160);</v>
      </c>
      <c r="K23" s="2" t="str">
        <f ca="1">"Beacon.Put(112,0,4"&amp;TEXT(E電入力!AG24,"000000")&amp;");"</f>
        <v>Beacon.Put(112,0,4000000);</v>
      </c>
      <c r="L23" s="2" t="str">
        <f ca="1">"Beacon.Put(112,0,5"&amp;TEXT(E電入力!AH24,"000000")&amp;");"</f>
        <v>Beacon.Put(112,0,5000000);</v>
      </c>
      <c r="M23" s="2" t="str">
        <f ca="1">"Beacon.Put(112,0,6"&amp;TEXT(E電入力!AI24,"000000")&amp;");"</f>
        <v>Beacon.Put(112,0,6000000);</v>
      </c>
      <c r="N23" s="12"/>
      <c r="O23" s="12"/>
      <c r="P23" s="12"/>
      <c r="Q23" s="12"/>
      <c r="R23" s="12"/>
      <c r="S23" s="12"/>
      <c r="T23" s="12"/>
      <c r="U23" s="12"/>
      <c r="V23" s="12"/>
      <c r="W23" s="12"/>
      <c r="X23" s="12"/>
      <c r="Y23" s="12"/>
      <c r="Z23" s="12"/>
      <c r="AA23" s="12"/>
      <c r="AB23" s="12"/>
      <c r="AC23" s="12"/>
      <c r="AD23" s="12"/>
      <c r="AE23" s="12"/>
      <c r="AF23" s="12"/>
      <c r="AG23" s="12"/>
      <c r="AH23" s="12"/>
      <c r="AI23" s="12"/>
      <c r="AJ23" s="12"/>
      <c r="AK23" s="12"/>
      <c r="AL23" s="12"/>
    </row>
    <row r="24" spans="1:38">
      <c r="A24" s="2" t="str">
        <f>E電入力!C25&amp;"+25;"</f>
        <v>220540+25;</v>
      </c>
      <c r="B24" s="2" t="str">
        <f ca="1">"Beacon.Put(111,0,1"&amp;TEXT(E電入力!X25,"000000")&amp;");"</f>
        <v>Beacon.Put(111,0,1005160);</v>
      </c>
      <c r="C24" s="2" t="str">
        <f ca="1">"Beacon.Put(111,0,2"&amp;TEXT(E電入力!Y25,"000000")&amp;");"</f>
        <v>Beacon.Put(111,0,2005530);</v>
      </c>
      <c r="D24" s="2" t="str">
        <f ca="1">"Beacon.Put(111,0,3"&amp;TEXT(E電入力!Z25,"000000")&amp;");"</f>
        <v>Beacon.Put(111,0,3006030);</v>
      </c>
      <c r="E24" s="2" t="str">
        <f ca="1">"Beacon.Put(111,0,4"&amp;TEXT(E電入力!AA25,"000000")&amp;");"</f>
        <v>Beacon.Put(111,0,4000000);</v>
      </c>
      <c r="F24" s="2" t="str">
        <f ca="1">"Beacon.Put(111,0,5"&amp;TEXT(E電入力!AB25,"000000")&amp;");"</f>
        <v>Beacon.Put(111,0,5000560);</v>
      </c>
      <c r="G24" s="2" t="str">
        <f ca="1">"Beacon.Put(111,0,6"&amp;TEXT(E電入力!AC25,"000000")&amp;");"</f>
        <v>Beacon.Put(111,0,6000000);</v>
      </c>
      <c r="H24" s="2" t="str">
        <f ca="1">"Beacon.Put(112,0,1"&amp;TEXT(E電入力!AD25,"000000")&amp;");"</f>
        <v>Beacon.Put(112,0,1005130);</v>
      </c>
      <c r="I24" s="2" t="str">
        <f ca="1">"Beacon.Put(112,0,2"&amp;TEXT(E電入力!AE25,"000000")&amp;");"</f>
        <v>Beacon.Put(112,0,2005660);</v>
      </c>
      <c r="J24" s="2" t="str">
        <f ca="1">"Beacon.Put(112,0,3"&amp;TEXT(E電入力!AF25,"000000")&amp;");"</f>
        <v>Beacon.Put(112,0,3000160);</v>
      </c>
      <c r="K24" s="2" t="str">
        <f ca="1">"Beacon.Put(112,0,4"&amp;TEXT(E電入力!AG25,"000000")&amp;");"</f>
        <v>Beacon.Put(112,0,4000000);</v>
      </c>
      <c r="L24" s="2" t="str">
        <f ca="1">"Beacon.Put(112,0,5"&amp;TEXT(E電入力!AH25,"000000")&amp;");"</f>
        <v>Beacon.Put(112,0,5000000);</v>
      </c>
      <c r="M24" s="2" t="str">
        <f ca="1">"Beacon.Put(112,0,6"&amp;TEXT(E電入力!AI25,"000000")&amp;");"</f>
        <v>Beacon.Put(112,0,6000000);</v>
      </c>
      <c r="N24" s="12"/>
      <c r="O24" s="12"/>
      <c r="P24" s="12"/>
      <c r="Q24" s="12"/>
      <c r="R24" s="12"/>
      <c r="S24" s="12"/>
      <c r="T24" s="12"/>
      <c r="U24" s="12"/>
      <c r="V24" s="12"/>
      <c r="W24" s="12"/>
      <c r="X24" s="12"/>
      <c r="Y24" s="12"/>
      <c r="Z24" s="12"/>
      <c r="AA24" s="12"/>
      <c r="AB24" s="12"/>
      <c r="AC24" s="12"/>
      <c r="AD24" s="12"/>
      <c r="AE24" s="12"/>
      <c r="AF24" s="12"/>
      <c r="AG24" s="12"/>
      <c r="AH24" s="12"/>
      <c r="AI24" s="12"/>
      <c r="AJ24" s="12"/>
      <c r="AK24" s="12"/>
      <c r="AL24" s="12"/>
    </row>
    <row r="25" spans="1:38">
      <c r="A25" s="2" t="str">
        <f>E電入力!C26&amp;"+25;"</f>
        <v>221770+25;</v>
      </c>
      <c r="B25" s="2" t="str">
        <f ca="1">"Beacon.Put(111,0,1"&amp;TEXT(E電入力!X26,"000000")&amp;");"</f>
        <v>Beacon.Put(111,0,1004630);</v>
      </c>
      <c r="C25" s="2" t="str">
        <f ca="1">"Beacon.Put(111,0,2"&amp;TEXT(E電入力!Y26,"000000")&amp;");"</f>
        <v>Beacon.Put(111,0,2005530);</v>
      </c>
      <c r="D25" s="2" t="str">
        <f ca="1">"Beacon.Put(111,0,3"&amp;TEXT(E電入力!Z26,"000000")&amp;");"</f>
        <v>Beacon.Put(111,0,3006030);</v>
      </c>
      <c r="E25" s="2" t="str">
        <f ca="1">"Beacon.Put(111,0,4"&amp;TEXT(E電入力!AA26,"000000")&amp;");"</f>
        <v>Beacon.Put(111,0,4000000);</v>
      </c>
      <c r="F25" s="2" t="str">
        <f ca="1">"Beacon.Put(111,0,5"&amp;TEXT(E電入力!AB26,"000000")&amp;");"</f>
        <v>Beacon.Put(111,0,5000560);</v>
      </c>
      <c r="G25" s="2" t="str">
        <f ca="1">"Beacon.Put(111,0,6"&amp;TEXT(E電入力!AC26,"000000")&amp;");"</f>
        <v>Beacon.Put(111,0,6000000);</v>
      </c>
      <c r="H25" s="2" t="str">
        <f ca="1">"Beacon.Put(112,0,1"&amp;TEXT(E電入力!AD26,"000000")&amp;");"</f>
        <v>Beacon.Put(112,0,1005130);</v>
      </c>
      <c r="I25" s="2" t="str">
        <f ca="1">"Beacon.Put(112,0,2"&amp;TEXT(E電入力!AE26,"000000")&amp;");"</f>
        <v>Beacon.Put(112,0,2005660);</v>
      </c>
      <c r="J25" s="2" t="str">
        <f ca="1">"Beacon.Put(112,0,3"&amp;TEXT(E電入力!AF26,"000000")&amp;");"</f>
        <v>Beacon.Put(112,0,3000160);</v>
      </c>
      <c r="K25" s="2" t="str">
        <f ca="1">"Beacon.Put(112,0,4"&amp;TEXT(E電入力!AG26,"000000")&amp;");"</f>
        <v>Beacon.Put(112,0,4000000);</v>
      </c>
      <c r="L25" s="2" t="str">
        <f ca="1">"Beacon.Put(112,0,5"&amp;TEXT(E電入力!AH26,"000000")&amp;");"</f>
        <v>Beacon.Put(112,0,5000000);</v>
      </c>
      <c r="M25" s="2" t="str">
        <f ca="1">"Beacon.Put(112,0,6"&amp;TEXT(E電入力!AI26,"000000")&amp;");"</f>
        <v>Beacon.Put(112,0,6000000);</v>
      </c>
      <c r="N25" s="12"/>
      <c r="O25" s="12"/>
      <c r="P25" s="12"/>
      <c r="Q25" s="12"/>
      <c r="R25" s="12"/>
      <c r="S25" s="12"/>
      <c r="T25" s="12"/>
      <c r="U25" s="12"/>
      <c r="V25" s="12"/>
      <c r="W25" s="12"/>
      <c r="X25" s="12"/>
      <c r="Y25" s="12"/>
      <c r="Z25" s="12"/>
      <c r="AA25" s="12"/>
      <c r="AB25" s="12"/>
      <c r="AC25" s="12"/>
      <c r="AD25" s="12"/>
      <c r="AE25" s="12"/>
      <c r="AF25" s="12"/>
      <c r="AG25" s="12"/>
      <c r="AH25" s="12"/>
      <c r="AI25" s="12"/>
      <c r="AJ25" s="12"/>
      <c r="AK25" s="12"/>
      <c r="AL25" s="12"/>
    </row>
    <row r="26" spans="1:38">
      <c r="A26" s="2" t="str">
        <f>E電入力!C27&amp;"+25;"</f>
        <v>223075+25;</v>
      </c>
      <c r="B26" s="2" t="str">
        <f ca="1">"Beacon.Put(111,0,1"&amp;TEXT(E電入力!X27,"000000")&amp;");"</f>
        <v>Beacon.Put(111,0,1005160);</v>
      </c>
      <c r="C26" s="2" t="str">
        <f ca="1">"Beacon.Put(111,0,2"&amp;TEXT(E電入力!Y27,"000000")&amp;");"</f>
        <v>Beacon.Put(111,0,2005530);</v>
      </c>
      <c r="D26" s="2" t="str">
        <f ca="1">"Beacon.Put(111,0,3"&amp;TEXT(E電入力!Z27,"000000")&amp;");"</f>
        <v>Beacon.Put(111,0,3006030);</v>
      </c>
      <c r="E26" s="2" t="str">
        <f ca="1">"Beacon.Put(111,0,4"&amp;TEXT(E電入力!AA27,"000000")&amp;");"</f>
        <v>Beacon.Put(111,0,4000000);</v>
      </c>
      <c r="F26" s="2" t="str">
        <f ca="1">"Beacon.Put(111,0,5"&amp;TEXT(E電入力!AB27,"000000")&amp;");"</f>
        <v>Beacon.Put(111,0,5000560);</v>
      </c>
      <c r="G26" s="2" t="str">
        <f ca="1">"Beacon.Put(111,0,6"&amp;TEXT(E電入力!AC27,"000000")&amp;");"</f>
        <v>Beacon.Put(111,0,6000000);</v>
      </c>
      <c r="H26" s="2" t="str">
        <f ca="1">"Beacon.Put(112,0,1"&amp;TEXT(E電入力!AD27,"000000")&amp;");"</f>
        <v>Beacon.Put(112,0,1005130);</v>
      </c>
      <c r="I26" s="2" t="str">
        <f ca="1">"Beacon.Put(112,0,2"&amp;TEXT(E電入力!AE27,"000000")&amp;");"</f>
        <v>Beacon.Put(112,0,2005660);</v>
      </c>
      <c r="J26" s="2" t="str">
        <f ca="1">"Beacon.Put(112,0,3"&amp;TEXT(E電入力!AF27,"000000")&amp;");"</f>
        <v>Beacon.Put(112,0,3000160);</v>
      </c>
      <c r="K26" s="2" t="str">
        <f ca="1">"Beacon.Put(112,0,4"&amp;TEXT(E電入力!AG27,"000000")&amp;");"</f>
        <v>Beacon.Put(112,0,4000000);</v>
      </c>
      <c r="L26" s="2" t="str">
        <f ca="1">"Beacon.Put(112,0,5"&amp;TEXT(E電入力!AH27,"000000")&amp;");"</f>
        <v>Beacon.Put(112,0,5000000);</v>
      </c>
      <c r="M26" s="2" t="str">
        <f ca="1">"Beacon.Put(112,0,6"&amp;TEXT(E電入力!AI27,"000000")&amp;");"</f>
        <v>Beacon.Put(112,0,6000000);</v>
      </c>
      <c r="N26" s="12"/>
      <c r="O26" s="12"/>
      <c r="P26" s="12"/>
      <c r="Q26" s="12"/>
      <c r="R26" s="12"/>
      <c r="S26" s="12"/>
      <c r="T26" s="12"/>
      <c r="U26" s="12"/>
      <c r="V26" s="12"/>
      <c r="W26" s="12"/>
      <c r="X26" s="12"/>
      <c r="Y26" s="12"/>
      <c r="Z26" s="12"/>
      <c r="AA26" s="12"/>
      <c r="AB26" s="12"/>
      <c r="AC26" s="12"/>
      <c r="AD26" s="12"/>
      <c r="AE26" s="12"/>
      <c r="AF26" s="12"/>
      <c r="AG26" s="12"/>
      <c r="AH26" s="12"/>
      <c r="AI26" s="12"/>
      <c r="AJ26" s="12"/>
      <c r="AK26" s="12"/>
      <c r="AL26" s="12"/>
    </row>
    <row r="27" spans="1:38">
      <c r="A27" s="2" t="str">
        <f>E電入力!C28&amp;"+25;"</f>
        <v>+25;</v>
      </c>
      <c r="B27" s="2" t="str">
        <f ca="1">"Beacon.Put(111,0,1"&amp;TEXT(E電入力!X28,"000000")&amp;");"</f>
        <v>Beacon.Put(111,0,1004630);</v>
      </c>
      <c r="C27" s="2" t="str">
        <f ca="1">"Beacon.Put(111,0,2"&amp;TEXT(E電入力!Y28,"000000")&amp;");"</f>
        <v>Beacon.Put(111,0,2005530);</v>
      </c>
      <c r="D27" s="2" t="str">
        <f ca="1">"Beacon.Put(111,0,3"&amp;TEXT(E電入力!Z28,"000000")&amp;");"</f>
        <v>Beacon.Put(111,0,3006030);</v>
      </c>
      <c r="E27" s="2" t="str">
        <f ca="1">"Beacon.Put(111,0,4"&amp;TEXT(E電入力!AA28,"000000")&amp;");"</f>
        <v>Beacon.Put(111,0,4000000);</v>
      </c>
      <c r="F27" s="2" t="str">
        <f ca="1">"Beacon.Put(111,0,5"&amp;TEXT(E電入力!AB28,"000000")&amp;");"</f>
        <v>Beacon.Put(111,0,5000560);</v>
      </c>
      <c r="G27" s="2" t="str">
        <f ca="1">"Beacon.Put(111,0,6"&amp;TEXT(E電入力!AC28,"000000")&amp;");"</f>
        <v>Beacon.Put(111,0,6000000);</v>
      </c>
      <c r="H27" s="2" t="str">
        <f ca="1">"Beacon.Put(112,0,1"&amp;TEXT(E電入力!AD28,"000000")&amp;");"</f>
        <v>Beacon.Put(112,0,1005130);</v>
      </c>
      <c r="I27" s="2" t="str">
        <f ca="1">"Beacon.Put(112,0,2"&amp;TEXT(E電入力!AE28,"000000")&amp;");"</f>
        <v>Beacon.Put(112,0,2005660);</v>
      </c>
      <c r="J27" s="2" t="str">
        <f ca="1">"Beacon.Put(112,0,3"&amp;TEXT(E電入力!AF28,"000000")&amp;");"</f>
        <v>Beacon.Put(112,0,3000160);</v>
      </c>
      <c r="K27" s="2" t="str">
        <f ca="1">"Beacon.Put(112,0,4"&amp;TEXT(E電入力!AG28,"000000")&amp;");"</f>
        <v>Beacon.Put(112,0,4000000);</v>
      </c>
      <c r="L27" s="2" t="str">
        <f ca="1">"Beacon.Put(112,0,5"&amp;TEXT(E電入力!AH28,"000000")&amp;");"</f>
        <v>Beacon.Put(112,0,5000000);</v>
      </c>
      <c r="M27" s="2" t="str">
        <f ca="1">"Beacon.Put(112,0,6"&amp;TEXT(E電入力!AI28,"000000")&amp;");"</f>
        <v>Beacon.Put(112,0,6000000);</v>
      </c>
      <c r="N27" s="12"/>
      <c r="O27" s="12"/>
      <c r="P27" s="12"/>
      <c r="Q27" s="12"/>
      <c r="R27" s="12"/>
      <c r="S27" s="12"/>
      <c r="T27" s="12"/>
      <c r="U27" s="12"/>
      <c r="V27" s="12"/>
      <c r="W27" s="12"/>
      <c r="X27" s="12"/>
      <c r="Y27" s="12"/>
      <c r="Z27" s="12"/>
      <c r="AA27" s="12"/>
      <c r="AB27" s="12"/>
      <c r="AC27" s="12"/>
      <c r="AD27" s="12"/>
      <c r="AE27" s="12"/>
      <c r="AF27" s="12"/>
      <c r="AG27" s="12"/>
      <c r="AH27" s="12"/>
      <c r="AI27" s="12"/>
      <c r="AJ27" s="12"/>
      <c r="AK27" s="12"/>
      <c r="AL27" s="12"/>
    </row>
    <row r="28" spans="1:38">
      <c r="A28" s="2" t="str">
        <f>E電入力!C29&amp;"+25;"</f>
        <v>+25;</v>
      </c>
      <c r="B28" s="2" t="str">
        <f ca="1">"Beacon.Put(111,0,1"&amp;TEXT(E電入力!X29,"000000")&amp;");"</f>
        <v>Beacon.Put(111,0,1005160);</v>
      </c>
      <c r="C28" s="2" t="str">
        <f ca="1">"Beacon.Put(111,0,2"&amp;TEXT(E電入力!Y29,"000000")&amp;");"</f>
        <v>Beacon.Put(111,0,2005530);</v>
      </c>
      <c r="D28" s="2" t="str">
        <f ca="1">"Beacon.Put(111,0,3"&amp;TEXT(E電入力!Z29,"000000")&amp;");"</f>
        <v>Beacon.Put(111,0,3006030);</v>
      </c>
      <c r="E28" s="2" t="str">
        <f ca="1">"Beacon.Put(111,0,4"&amp;TEXT(E電入力!AA29,"000000")&amp;");"</f>
        <v>Beacon.Put(111,0,4000000);</v>
      </c>
      <c r="F28" s="2" t="str">
        <f ca="1">"Beacon.Put(111,0,5"&amp;TEXT(E電入力!AB29,"000000")&amp;");"</f>
        <v>Beacon.Put(111,0,5000560);</v>
      </c>
      <c r="G28" s="2" t="str">
        <f ca="1">"Beacon.Put(111,0,6"&amp;TEXT(E電入力!AC29,"000000")&amp;");"</f>
        <v>Beacon.Put(111,0,6000000);</v>
      </c>
      <c r="H28" s="2" t="str">
        <f ca="1">"Beacon.Put(112,0,1"&amp;TEXT(E電入力!AD29,"000000")&amp;");"</f>
        <v>Beacon.Put(112,0,1005130);</v>
      </c>
      <c r="I28" s="2" t="str">
        <f ca="1">"Beacon.Put(112,0,2"&amp;TEXT(E電入力!AE29,"000000")&amp;");"</f>
        <v>Beacon.Put(112,0,2005660);</v>
      </c>
      <c r="J28" s="2" t="str">
        <f ca="1">"Beacon.Put(112,0,3"&amp;TEXT(E電入力!AF29,"000000")&amp;");"</f>
        <v>Beacon.Put(112,0,3000160);</v>
      </c>
      <c r="K28" s="2" t="str">
        <f ca="1">"Beacon.Put(112,0,4"&amp;TEXT(E電入力!AG29,"000000")&amp;");"</f>
        <v>Beacon.Put(112,0,4000000);</v>
      </c>
      <c r="L28" s="2" t="str">
        <f ca="1">"Beacon.Put(112,0,5"&amp;TEXT(E電入力!AH29,"000000")&amp;");"</f>
        <v>Beacon.Put(112,0,5000000);</v>
      </c>
      <c r="M28" s="2" t="str">
        <f ca="1">"Beacon.Put(112,0,6"&amp;TEXT(E電入力!AI29,"000000")&amp;");"</f>
        <v>Beacon.Put(112,0,6000000);</v>
      </c>
      <c r="N28" s="12"/>
      <c r="O28" s="12"/>
      <c r="P28" s="12"/>
      <c r="Q28" s="12"/>
      <c r="R28" s="12"/>
      <c r="S28" s="12"/>
      <c r="T28" s="12"/>
      <c r="U28" s="12"/>
      <c r="V28" s="12"/>
      <c r="W28" s="12"/>
      <c r="X28" s="12"/>
      <c r="Y28" s="12"/>
      <c r="Z28" s="12"/>
      <c r="AA28" s="12"/>
      <c r="AB28" s="12"/>
      <c r="AC28" s="12"/>
      <c r="AD28" s="12"/>
      <c r="AE28" s="12"/>
      <c r="AF28" s="12"/>
      <c r="AG28" s="12"/>
      <c r="AH28" s="12"/>
      <c r="AI28" s="12"/>
      <c r="AJ28" s="12"/>
      <c r="AK28" s="12"/>
      <c r="AL28" s="12"/>
    </row>
    <row r="29" spans="1:38">
      <c r="A29" s="2" t="str">
        <f>E電入力!C30&amp;"+25;"</f>
        <v>+25;</v>
      </c>
      <c r="B29" s="2" t="str">
        <f ca="1">"Beacon.Put(111,0,1"&amp;TEXT(E電入力!X30,"000000")&amp;");"</f>
        <v>Beacon.Put(111,0,1004630);</v>
      </c>
      <c r="C29" s="2" t="str">
        <f ca="1">"Beacon.Put(111,0,2"&amp;TEXT(E電入力!Y30,"000000")&amp;");"</f>
        <v>Beacon.Put(111,0,2005530);</v>
      </c>
      <c r="D29" s="2" t="str">
        <f ca="1">"Beacon.Put(111,0,3"&amp;TEXT(E電入力!Z30,"000000")&amp;");"</f>
        <v>Beacon.Put(111,0,3006030);</v>
      </c>
      <c r="E29" s="2" t="str">
        <f ca="1">"Beacon.Put(111,0,4"&amp;TEXT(E電入力!AA30,"000000")&amp;");"</f>
        <v>Beacon.Put(111,0,4000000);</v>
      </c>
      <c r="F29" s="2" t="str">
        <f ca="1">"Beacon.Put(111,0,5"&amp;TEXT(E電入力!AB30,"000000")&amp;");"</f>
        <v>Beacon.Put(111,0,5000560);</v>
      </c>
      <c r="G29" s="2" t="str">
        <f ca="1">"Beacon.Put(111,0,6"&amp;TEXT(E電入力!AC30,"000000")&amp;");"</f>
        <v>Beacon.Put(111,0,6000000);</v>
      </c>
      <c r="H29" s="2" t="str">
        <f ca="1">"Beacon.Put(112,0,1"&amp;TEXT(E電入力!AD30,"000000")&amp;");"</f>
        <v>Beacon.Put(112,0,1005130);</v>
      </c>
      <c r="I29" s="2" t="str">
        <f ca="1">"Beacon.Put(112,0,2"&amp;TEXT(E電入力!AE30,"000000")&amp;");"</f>
        <v>Beacon.Put(112,0,2005660);</v>
      </c>
      <c r="J29" s="2" t="str">
        <f ca="1">"Beacon.Put(112,0,3"&amp;TEXT(E電入力!AF30,"000000")&amp;");"</f>
        <v>Beacon.Put(112,0,3000160);</v>
      </c>
      <c r="K29" s="2" t="str">
        <f ca="1">"Beacon.Put(112,0,4"&amp;TEXT(E電入力!AG30,"000000")&amp;");"</f>
        <v>Beacon.Put(112,0,4000000);</v>
      </c>
      <c r="L29" s="2" t="str">
        <f ca="1">"Beacon.Put(112,0,5"&amp;TEXT(E電入力!AH30,"000000")&amp;");"</f>
        <v>Beacon.Put(112,0,5000000);</v>
      </c>
      <c r="M29" s="2" t="str">
        <f ca="1">"Beacon.Put(112,0,6"&amp;TEXT(E電入力!AI30,"000000")&amp;");"</f>
        <v>Beacon.Put(112,0,6000000);</v>
      </c>
      <c r="N29" s="12"/>
      <c r="O29" s="12"/>
      <c r="P29" s="12"/>
      <c r="Q29" s="12"/>
      <c r="R29" s="12"/>
      <c r="S29" s="12"/>
      <c r="T29" s="12"/>
      <c r="U29" s="12"/>
      <c r="V29" s="12"/>
      <c r="W29" s="12"/>
      <c r="X29" s="12"/>
      <c r="Y29" s="12"/>
      <c r="Z29" s="12"/>
      <c r="AA29" s="12"/>
      <c r="AB29" s="12"/>
      <c r="AC29" s="12"/>
      <c r="AD29" s="12"/>
      <c r="AE29" s="12"/>
      <c r="AF29" s="12"/>
      <c r="AG29" s="12"/>
      <c r="AH29" s="12"/>
      <c r="AI29" s="12"/>
      <c r="AJ29" s="12"/>
      <c r="AK29" s="12"/>
      <c r="AL29" s="12"/>
    </row>
    <row r="30" spans="1:38">
      <c r="A30" s="2" t="str">
        <f>E電入力!C31&amp;"+25;"</f>
        <v>+25;</v>
      </c>
      <c r="B30" s="2" t="str">
        <f ca="1">"Beacon.Put(111,0,1"&amp;TEXT(E電入力!X31,"000000")&amp;");"</f>
        <v>Beacon.Put(111,0,1005160);</v>
      </c>
      <c r="C30" s="2" t="str">
        <f ca="1">"Beacon.Put(111,0,2"&amp;TEXT(E電入力!Y31,"000000")&amp;");"</f>
        <v>Beacon.Put(111,0,2005530);</v>
      </c>
      <c r="D30" s="2" t="str">
        <f ca="1">"Beacon.Put(111,0,3"&amp;TEXT(E電入力!Z31,"000000")&amp;");"</f>
        <v>Beacon.Put(111,0,3006030);</v>
      </c>
      <c r="E30" s="2" t="str">
        <f ca="1">"Beacon.Put(111,0,4"&amp;TEXT(E電入力!AA31,"000000")&amp;");"</f>
        <v>Beacon.Put(111,0,4000000);</v>
      </c>
      <c r="F30" s="2" t="str">
        <f ca="1">"Beacon.Put(111,0,5"&amp;TEXT(E電入力!AB31,"000000")&amp;");"</f>
        <v>Beacon.Put(111,0,5000560);</v>
      </c>
      <c r="G30" s="2" t="str">
        <f ca="1">"Beacon.Put(111,0,6"&amp;TEXT(E電入力!AC31,"000000")&amp;");"</f>
        <v>Beacon.Put(111,0,6000000);</v>
      </c>
      <c r="H30" s="2" t="str">
        <f ca="1">"Beacon.Put(112,0,1"&amp;TEXT(E電入力!AD31,"000000")&amp;");"</f>
        <v>Beacon.Put(112,0,1005130);</v>
      </c>
      <c r="I30" s="2" t="str">
        <f ca="1">"Beacon.Put(112,0,2"&amp;TEXT(E電入力!AE31,"000000")&amp;");"</f>
        <v>Beacon.Put(112,0,2005660);</v>
      </c>
      <c r="J30" s="2" t="str">
        <f ca="1">"Beacon.Put(112,0,3"&amp;TEXT(E電入力!AF31,"000000")&amp;");"</f>
        <v>Beacon.Put(112,0,3000160);</v>
      </c>
      <c r="K30" s="2" t="str">
        <f ca="1">"Beacon.Put(112,0,4"&amp;TEXT(E電入力!AG31,"000000")&amp;");"</f>
        <v>Beacon.Put(112,0,4000000);</v>
      </c>
      <c r="L30" s="2" t="str">
        <f ca="1">"Beacon.Put(112,0,5"&amp;TEXT(E電入力!AH31,"000000")&amp;");"</f>
        <v>Beacon.Put(112,0,5000000);</v>
      </c>
      <c r="M30" s="2" t="str">
        <f ca="1">"Beacon.Put(112,0,6"&amp;TEXT(E電入力!AI31,"000000")&amp;");"</f>
        <v>Beacon.Put(112,0,6000000);</v>
      </c>
      <c r="N30" s="12"/>
      <c r="O30" s="12"/>
      <c r="P30" s="12"/>
      <c r="Q30" s="12"/>
      <c r="R30" s="12"/>
      <c r="S30" s="12"/>
      <c r="T30" s="12"/>
      <c r="U30" s="12"/>
      <c r="V30" s="12"/>
      <c r="W30" s="12"/>
      <c r="X30" s="12"/>
      <c r="Y30" s="12"/>
      <c r="Z30" s="12"/>
      <c r="AA30" s="12"/>
      <c r="AB30" s="12"/>
      <c r="AC30" s="12"/>
      <c r="AD30" s="12"/>
      <c r="AE30" s="12"/>
      <c r="AF30" s="12"/>
      <c r="AG30" s="12"/>
      <c r="AH30" s="12"/>
      <c r="AI30" s="12"/>
      <c r="AJ30" s="12"/>
      <c r="AK30" s="12"/>
      <c r="AL30" s="12"/>
    </row>
    <row r="31" spans="1:38">
      <c r="A31" s="2" t="str">
        <f>E電入力!C32&amp;"+25;"</f>
        <v>+25;</v>
      </c>
      <c r="B31" s="2" t="str">
        <f ca="1">"Beacon.Put(111,0,1"&amp;TEXT(E電入力!X32,"000000")&amp;");"</f>
        <v>Beacon.Put(111,0,1004630);</v>
      </c>
      <c r="C31" s="2" t="str">
        <f ca="1">"Beacon.Put(111,0,2"&amp;TEXT(E電入力!Y32,"000000")&amp;");"</f>
        <v>Beacon.Put(111,0,2005530);</v>
      </c>
      <c r="D31" s="2" t="str">
        <f ca="1">"Beacon.Put(111,0,3"&amp;TEXT(E電入力!Z32,"000000")&amp;");"</f>
        <v>Beacon.Put(111,0,3006030);</v>
      </c>
      <c r="E31" s="2" t="str">
        <f ca="1">"Beacon.Put(111,0,4"&amp;TEXT(E電入力!AA32,"000000")&amp;");"</f>
        <v>Beacon.Put(111,0,4000000);</v>
      </c>
      <c r="F31" s="2" t="str">
        <f ca="1">"Beacon.Put(111,0,5"&amp;TEXT(E電入力!AB32,"000000")&amp;");"</f>
        <v>Beacon.Put(111,0,5000560);</v>
      </c>
      <c r="G31" s="2" t="str">
        <f ca="1">"Beacon.Put(111,0,6"&amp;TEXT(E電入力!AC32,"000000")&amp;");"</f>
        <v>Beacon.Put(111,0,6000000);</v>
      </c>
      <c r="H31" s="2" t="str">
        <f ca="1">"Beacon.Put(112,0,1"&amp;TEXT(E電入力!AD32,"000000")&amp;");"</f>
        <v>Beacon.Put(112,0,1005130);</v>
      </c>
      <c r="I31" s="2" t="str">
        <f ca="1">"Beacon.Put(112,0,2"&amp;TEXT(E電入力!AE32,"000000")&amp;");"</f>
        <v>Beacon.Put(112,0,2005660);</v>
      </c>
      <c r="J31" s="2" t="str">
        <f ca="1">"Beacon.Put(112,0,3"&amp;TEXT(E電入力!AF32,"000000")&amp;");"</f>
        <v>Beacon.Put(112,0,3000160);</v>
      </c>
      <c r="K31" s="2" t="str">
        <f ca="1">"Beacon.Put(112,0,4"&amp;TEXT(E電入力!AG32,"000000")&amp;");"</f>
        <v>Beacon.Put(112,0,4000000);</v>
      </c>
      <c r="L31" s="2" t="str">
        <f ca="1">"Beacon.Put(112,0,5"&amp;TEXT(E電入力!AH32,"000000")&amp;");"</f>
        <v>Beacon.Put(112,0,5000000);</v>
      </c>
      <c r="M31" s="2" t="str">
        <f ca="1">"Beacon.Put(112,0,6"&amp;TEXT(E電入力!AI32,"000000")&amp;");"</f>
        <v>Beacon.Put(112,0,6000000);</v>
      </c>
      <c r="N31" s="12"/>
      <c r="O31" s="12"/>
      <c r="P31" s="12"/>
      <c r="Q31" s="12"/>
      <c r="R31" s="12"/>
      <c r="S31" s="12"/>
      <c r="T31" s="12"/>
      <c r="U31" s="12"/>
      <c r="V31" s="12"/>
      <c r="W31" s="12"/>
      <c r="X31" s="12"/>
      <c r="Y31" s="12"/>
      <c r="Z31" s="12"/>
      <c r="AA31" s="12"/>
      <c r="AB31" s="12"/>
      <c r="AC31" s="12"/>
      <c r="AD31" s="12"/>
      <c r="AE31" s="12"/>
      <c r="AF31" s="12"/>
      <c r="AG31" s="12"/>
      <c r="AH31" s="12"/>
      <c r="AI31" s="12"/>
      <c r="AJ31" s="12"/>
      <c r="AK31" s="12"/>
      <c r="AL31" s="12"/>
    </row>
    <row r="32" spans="1:38">
      <c r="A32" s="2" t="str">
        <f>E電入力!C33&amp;"+25;"</f>
        <v>+25;</v>
      </c>
      <c r="B32" s="2" t="str">
        <f ca="1">"Beacon.Put(111,0,1"&amp;TEXT(E電入力!X33,"000000")&amp;");"</f>
        <v>Beacon.Put(111,0,1005160);</v>
      </c>
      <c r="C32" s="2" t="str">
        <f ca="1">"Beacon.Put(111,0,2"&amp;TEXT(E電入力!Y33,"000000")&amp;");"</f>
        <v>Beacon.Put(111,0,2005530);</v>
      </c>
      <c r="D32" s="2" t="str">
        <f ca="1">"Beacon.Put(111,0,3"&amp;TEXT(E電入力!Z33,"000000")&amp;");"</f>
        <v>Beacon.Put(111,0,3006030);</v>
      </c>
      <c r="E32" s="2" t="str">
        <f ca="1">"Beacon.Put(111,0,4"&amp;TEXT(E電入力!AA33,"000000")&amp;");"</f>
        <v>Beacon.Put(111,0,4000000);</v>
      </c>
      <c r="F32" s="2" t="str">
        <f ca="1">"Beacon.Put(111,0,5"&amp;TEXT(E電入力!AB33,"000000")&amp;");"</f>
        <v>Beacon.Put(111,0,5000560);</v>
      </c>
      <c r="G32" s="2" t="str">
        <f ca="1">"Beacon.Put(111,0,6"&amp;TEXT(E電入力!AC33,"000000")&amp;");"</f>
        <v>Beacon.Put(111,0,6000000);</v>
      </c>
      <c r="H32" s="2" t="str">
        <f ca="1">"Beacon.Put(112,0,1"&amp;TEXT(E電入力!AD33,"000000")&amp;");"</f>
        <v>Beacon.Put(112,0,1005130);</v>
      </c>
      <c r="I32" s="2" t="str">
        <f ca="1">"Beacon.Put(112,0,2"&amp;TEXT(E電入力!AE33,"000000")&amp;");"</f>
        <v>Beacon.Put(112,0,2005660);</v>
      </c>
      <c r="J32" s="2" t="str">
        <f ca="1">"Beacon.Put(112,0,3"&amp;TEXT(E電入力!AF33,"000000")&amp;");"</f>
        <v>Beacon.Put(112,0,3000160);</v>
      </c>
      <c r="K32" s="2" t="str">
        <f ca="1">"Beacon.Put(112,0,4"&amp;TEXT(E電入力!AG33,"000000")&amp;");"</f>
        <v>Beacon.Put(112,0,4000000);</v>
      </c>
      <c r="L32" s="2" t="str">
        <f ca="1">"Beacon.Put(112,0,5"&amp;TEXT(E電入力!AH33,"000000")&amp;");"</f>
        <v>Beacon.Put(112,0,5000000);</v>
      </c>
      <c r="M32" s="2" t="str">
        <f ca="1">"Beacon.Put(112,0,6"&amp;TEXT(E電入力!AI33,"000000")&amp;");"</f>
        <v>Beacon.Put(112,0,6000000);</v>
      </c>
      <c r="N32" s="12"/>
      <c r="O32" s="12"/>
      <c r="P32" s="12"/>
      <c r="Q32" s="12"/>
      <c r="R32" s="12"/>
      <c r="S32" s="12"/>
      <c r="T32" s="12"/>
      <c r="U32" s="12"/>
      <c r="V32" s="12"/>
      <c r="W32" s="12"/>
      <c r="X32" s="12"/>
      <c r="Y32" s="12"/>
      <c r="Z32" s="12"/>
      <c r="AA32" s="12"/>
      <c r="AB32" s="12"/>
      <c r="AC32" s="12"/>
      <c r="AD32" s="12"/>
      <c r="AE32" s="12"/>
      <c r="AF32" s="12"/>
      <c r="AG32" s="12"/>
      <c r="AH32" s="12"/>
      <c r="AI32" s="12"/>
      <c r="AJ32" s="12"/>
      <c r="AK32" s="12"/>
      <c r="AL32" s="12"/>
    </row>
    <row r="33" spans="1:38">
      <c r="A33" s="2" t="str">
        <f>E電入力!C34&amp;"+25;"</f>
        <v>+25;</v>
      </c>
      <c r="B33" s="2" t="str">
        <f ca="1">"Beacon.Put(111,0,1"&amp;TEXT(E電入力!X34,"000000")&amp;");"</f>
        <v>Beacon.Put(111,0,1004630);</v>
      </c>
      <c r="C33" s="2" t="str">
        <f ca="1">"Beacon.Put(111,0,2"&amp;TEXT(E電入力!Y34,"000000")&amp;");"</f>
        <v>Beacon.Put(111,0,2005530);</v>
      </c>
      <c r="D33" s="2" t="str">
        <f ca="1">"Beacon.Put(111,0,3"&amp;TEXT(E電入力!Z34,"000000")&amp;");"</f>
        <v>Beacon.Put(111,0,3006030);</v>
      </c>
      <c r="E33" s="2" t="str">
        <f ca="1">"Beacon.Put(111,0,4"&amp;TEXT(E電入力!AA34,"000000")&amp;");"</f>
        <v>Beacon.Put(111,0,4000000);</v>
      </c>
      <c r="F33" s="2" t="str">
        <f ca="1">"Beacon.Put(111,0,5"&amp;TEXT(E電入力!AB34,"000000")&amp;");"</f>
        <v>Beacon.Put(111,0,5000560);</v>
      </c>
      <c r="G33" s="2" t="str">
        <f ca="1">"Beacon.Put(111,0,6"&amp;TEXT(E電入力!AC34,"000000")&amp;");"</f>
        <v>Beacon.Put(111,0,6000000);</v>
      </c>
      <c r="H33" s="2" t="str">
        <f ca="1">"Beacon.Put(112,0,1"&amp;TEXT(E電入力!AD34,"000000")&amp;");"</f>
        <v>Beacon.Put(112,0,1005130);</v>
      </c>
      <c r="I33" s="2" t="str">
        <f ca="1">"Beacon.Put(112,0,2"&amp;TEXT(E電入力!AE34,"000000")&amp;");"</f>
        <v>Beacon.Put(112,0,2005660);</v>
      </c>
      <c r="J33" s="2" t="str">
        <f ca="1">"Beacon.Put(112,0,3"&amp;TEXT(E電入力!AF34,"000000")&amp;");"</f>
        <v>Beacon.Put(112,0,3000160);</v>
      </c>
      <c r="K33" s="2" t="str">
        <f ca="1">"Beacon.Put(112,0,4"&amp;TEXT(E電入力!AG34,"000000")&amp;");"</f>
        <v>Beacon.Put(112,0,4000000);</v>
      </c>
      <c r="L33" s="2" t="str">
        <f ca="1">"Beacon.Put(112,0,5"&amp;TEXT(E電入力!AH34,"000000")&amp;");"</f>
        <v>Beacon.Put(112,0,5000000);</v>
      </c>
      <c r="M33" s="2" t="str">
        <f ca="1">"Beacon.Put(112,0,6"&amp;TEXT(E電入力!AI34,"000000")&amp;");"</f>
        <v>Beacon.Put(112,0,6000000);</v>
      </c>
      <c r="N33" s="12"/>
      <c r="O33" s="12"/>
      <c r="P33" s="12"/>
      <c r="Q33" s="12"/>
      <c r="R33" s="12"/>
      <c r="S33" s="12"/>
      <c r="T33" s="12"/>
      <c r="U33" s="12"/>
      <c r="V33" s="12"/>
      <c r="W33" s="12"/>
      <c r="X33" s="12"/>
      <c r="Y33" s="12"/>
      <c r="Z33" s="12"/>
      <c r="AA33" s="12"/>
      <c r="AB33" s="12"/>
      <c r="AC33" s="12"/>
      <c r="AD33" s="12"/>
      <c r="AE33" s="12"/>
      <c r="AF33" s="12"/>
      <c r="AG33" s="12"/>
      <c r="AH33" s="12"/>
      <c r="AI33" s="12"/>
      <c r="AJ33" s="12"/>
      <c r="AK33" s="12"/>
      <c r="AL33" s="12"/>
    </row>
    <row r="34" spans="1:38">
      <c r="A34" s="2" t="str">
        <f>E電入力!C35&amp;"+25;"</f>
        <v>+25;</v>
      </c>
      <c r="B34" s="2" t="str">
        <f ca="1">"Beacon.Put(111,0,1"&amp;TEXT(E電入力!X35,"000000")&amp;");"</f>
        <v>Beacon.Put(111,0,1005160);</v>
      </c>
      <c r="C34" s="2" t="str">
        <f ca="1">"Beacon.Put(111,0,2"&amp;TEXT(E電入力!Y35,"000000")&amp;");"</f>
        <v>Beacon.Put(111,0,2005530);</v>
      </c>
      <c r="D34" s="2" t="str">
        <f ca="1">"Beacon.Put(111,0,3"&amp;TEXT(E電入力!Z35,"000000")&amp;");"</f>
        <v>Beacon.Put(111,0,3006030);</v>
      </c>
      <c r="E34" s="2" t="str">
        <f ca="1">"Beacon.Put(111,0,4"&amp;TEXT(E電入力!AA35,"000000")&amp;");"</f>
        <v>Beacon.Put(111,0,4000000);</v>
      </c>
      <c r="F34" s="2" t="str">
        <f ca="1">"Beacon.Put(111,0,5"&amp;TEXT(E電入力!AB35,"000000")&amp;");"</f>
        <v>Beacon.Put(111,0,5000560);</v>
      </c>
      <c r="G34" s="2" t="str">
        <f ca="1">"Beacon.Put(111,0,6"&amp;TEXT(E電入力!AC35,"000000")&amp;");"</f>
        <v>Beacon.Put(111,0,6000000);</v>
      </c>
      <c r="H34" s="2" t="str">
        <f ca="1">"Beacon.Put(112,0,1"&amp;TEXT(E電入力!AD35,"000000")&amp;");"</f>
        <v>Beacon.Put(112,0,1005130);</v>
      </c>
      <c r="I34" s="2" t="str">
        <f ca="1">"Beacon.Put(112,0,2"&amp;TEXT(E電入力!AE35,"000000")&amp;");"</f>
        <v>Beacon.Put(112,0,2005660);</v>
      </c>
      <c r="J34" s="2" t="str">
        <f ca="1">"Beacon.Put(112,0,3"&amp;TEXT(E電入力!AF35,"000000")&amp;");"</f>
        <v>Beacon.Put(112,0,3000160);</v>
      </c>
      <c r="K34" s="2" t="str">
        <f ca="1">"Beacon.Put(112,0,4"&amp;TEXT(E電入力!AG35,"000000")&amp;");"</f>
        <v>Beacon.Put(112,0,4000000);</v>
      </c>
      <c r="L34" s="2" t="str">
        <f ca="1">"Beacon.Put(112,0,5"&amp;TEXT(E電入力!AH35,"000000")&amp;");"</f>
        <v>Beacon.Put(112,0,5000000);</v>
      </c>
      <c r="M34" s="2" t="str">
        <f ca="1">"Beacon.Put(112,0,6"&amp;TEXT(E電入力!AI35,"000000")&amp;");"</f>
        <v>Beacon.Put(112,0,6000000);</v>
      </c>
      <c r="N34" s="12"/>
      <c r="O34" s="12"/>
      <c r="P34" s="12"/>
      <c r="Q34" s="12"/>
      <c r="R34" s="12"/>
      <c r="S34" s="12"/>
      <c r="T34" s="12"/>
      <c r="U34" s="12"/>
      <c r="V34" s="12"/>
      <c r="W34" s="12"/>
      <c r="X34" s="12"/>
      <c r="Y34" s="12"/>
      <c r="Z34" s="12"/>
      <c r="AA34" s="12"/>
      <c r="AB34" s="12"/>
      <c r="AC34" s="12"/>
      <c r="AD34" s="12"/>
      <c r="AE34" s="12"/>
      <c r="AF34" s="12"/>
      <c r="AG34" s="12"/>
      <c r="AH34" s="12"/>
      <c r="AI34" s="12"/>
      <c r="AJ34" s="12"/>
      <c r="AK34" s="12"/>
      <c r="AL34" s="12"/>
    </row>
    <row r="35" spans="1:38">
      <c r="A35" s="2" t="str">
        <f>E電入力!C36&amp;"+25;"</f>
        <v>+25;</v>
      </c>
      <c r="B35" s="2" t="str">
        <f ca="1">"Beacon.Put(111,0,1"&amp;TEXT(E電入力!X36,"000000")&amp;");"</f>
        <v>Beacon.Put(111,0,1004630);</v>
      </c>
      <c r="C35" s="2" t="str">
        <f ca="1">"Beacon.Put(111,0,2"&amp;TEXT(E電入力!Y36,"000000")&amp;");"</f>
        <v>Beacon.Put(111,0,2005530);</v>
      </c>
      <c r="D35" s="2" t="str">
        <f ca="1">"Beacon.Put(111,0,3"&amp;TEXT(E電入力!Z36,"000000")&amp;");"</f>
        <v>Beacon.Put(111,0,3006030);</v>
      </c>
      <c r="E35" s="2" t="str">
        <f ca="1">"Beacon.Put(111,0,4"&amp;TEXT(E電入力!AA36,"000000")&amp;");"</f>
        <v>Beacon.Put(111,0,4000000);</v>
      </c>
      <c r="F35" s="2" t="str">
        <f ca="1">"Beacon.Put(111,0,5"&amp;TEXT(E電入力!AB36,"000000")&amp;");"</f>
        <v>Beacon.Put(111,0,5000560);</v>
      </c>
      <c r="G35" s="2" t="str">
        <f ca="1">"Beacon.Put(111,0,6"&amp;TEXT(E電入力!AC36,"000000")&amp;");"</f>
        <v>Beacon.Put(111,0,6000000);</v>
      </c>
      <c r="H35" s="2" t="str">
        <f ca="1">"Beacon.Put(112,0,1"&amp;TEXT(E電入力!AD36,"000000")&amp;");"</f>
        <v>Beacon.Put(112,0,1005130);</v>
      </c>
      <c r="I35" s="2" t="str">
        <f ca="1">"Beacon.Put(112,0,2"&amp;TEXT(E電入力!AE36,"000000")&amp;");"</f>
        <v>Beacon.Put(112,0,2005660);</v>
      </c>
      <c r="J35" s="2" t="str">
        <f ca="1">"Beacon.Put(112,0,3"&amp;TEXT(E電入力!AF36,"000000")&amp;");"</f>
        <v>Beacon.Put(112,0,3000160);</v>
      </c>
      <c r="K35" s="2" t="str">
        <f ca="1">"Beacon.Put(112,0,4"&amp;TEXT(E電入力!AG36,"000000")&amp;");"</f>
        <v>Beacon.Put(112,0,4000000);</v>
      </c>
      <c r="L35" s="2" t="str">
        <f ca="1">"Beacon.Put(112,0,5"&amp;TEXT(E電入力!AH36,"000000")&amp;");"</f>
        <v>Beacon.Put(112,0,5000000);</v>
      </c>
      <c r="M35" s="2" t="str">
        <f ca="1">"Beacon.Put(112,0,6"&amp;TEXT(E電入力!AI36,"000000")&amp;");"</f>
        <v>Beacon.Put(112,0,6000000);</v>
      </c>
      <c r="N35" s="12"/>
      <c r="O35" s="12"/>
      <c r="P35" s="12"/>
      <c r="Q35" s="12"/>
      <c r="R35" s="12"/>
      <c r="S35" s="12"/>
      <c r="T35" s="12"/>
      <c r="U35" s="12"/>
      <c r="V35" s="12"/>
      <c r="W35" s="12"/>
      <c r="X35" s="12"/>
      <c r="Y35" s="12"/>
      <c r="Z35" s="12"/>
      <c r="AA35" s="12"/>
      <c r="AB35" s="12"/>
      <c r="AC35" s="12"/>
      <c r="AD35" s="12"/>
      <c r="AE35" s="12"/>
      <c r="AF35" s="12"/>
      <c r="AG35" s="12"/>
      <c r="AH35" s="12"/>
      <c r="AI35" s="12"/>
      <c r="AJ35" s="12"/>
      <c r="AK35" s="12"/>
      <c r="AL35" s="12"/>
    </row>
    <row r="36" spans="1:38">
      <c r="A36" s="2" t="str">
        <f>E電入力!C37&amp;"+25;"</f>
        <v>+25;</v>
      </c>
      <c r="B36" s="2" t="str">
        <f ca="1">"Beacon.Put(111,0,1"&amp;TEXT(E電入力!X37,"000000")&amp;");"</f>
        <v>Beacon.Put(111,0,1005160);</v>
      </c>
      <c r="C36" s="2" t="str">
        <f ca="1">"Beacon.Put(111,0,2"&amp;TEXT(E電入力!Y37,"000000")&amp;");"</f>
        <v>Beacon.Put(111,0,2005530);</v>
      </c>
      <c r="D36" s="2" t="str">
        <f ca="1">"Beacon.Put(111,0,3"&amp;TEXT(E電入力!Z37,"000000")&amp;");"</f>
        <v>Beacon.Put(111,0,3006030);</v>
      </c>
      <c r="E36" s="2" t="str">
        <f ca="1">"Beacon.Put(111,0,4"&amp;TEXT(E電入力!AA37,"000000")&amp;");"</f>
        <v>Beacon.Put(111,0,4000000);</v>
      </c>
      <c r="F36" s="2" t="str">
        <f ca="1">"Beacon.Put(111,0,5"&amp;TEXT(E電入力!AB37,"000000")&amp;");"</f>
        <v>Beacon.Put(111,0,5000560);</v>
      </c>
      <c r="G36" s="2" t="str">
        <f ca="1">"Beacon.Put(111,0,6"&amp;TEXT(E電入力!AC37,"000000")&amp;");"</f>
        <v>Beacon.Put(111,0,6000000);</v>
      </c>
      <c r="H36" s="2" t="str">
        <f ca="1">"Beacon.Put(112,0,1"&amp;TEXT(E電入力!AD37,"000000")&amp;");"</f>
        <v>Beacon.Put(112,0,1005130);</v>
      </c>
      <c r="I36" s="2" t="str">
        <f ca="1">"Beacon.Put(112,0,2"&amp;TEXT(E電入力!AE37,"000000")&amp;");"</f>
        <v>Beacon.Put(112,0,2005660);</v>
      </c>
      <c r="J36" s="2" t="str">
        <f ca="1">"Beacon.Put(112,0,3"&amp;TEXT(E電入力!AF37,"000000")&amp;");"</f>
        <v>Beacon.Put(112,0,3000160);</v>
      </c>
      <c r="K36" s="2" t="str">
        <f ca="1">"Beacon.Put(112,0,4"&amp;TEXT(E電入力!AG37,"000000")&amp;");"</f>
        <v>Beacon.Put(112,0,4000000);</v>
      </c>
      <c r="L36" s="2" t="str">
        <f ca="1">"Beacon.Put(112,0,5"&amp;TEXT(E電入力!AH37,"000000")&amp;");"</f>
        <v>Beacon.Put(112,0,5000000);</v>
      </c>
      <c r="M36" s="2" t="str">
        <f ca="1">"Beacon.Put(112,0,6"&amp;TEXT(E電入力!AI37,"000000")&amp;");"</f>
        <v>Beacon.Put(112,0,6000000);</v>
      </c>
      <c r="N36" s="12"/>
      <c r="O36" s="12"/>
      <c r="P36" s="12"/>
      <c r="Q36" s="12"/>
      <c r="R36" s="12"/>
      <c r="S36" s="12"/>
      <c r="T36" s="12"/>
      <c r="U36" s="12"/>
      <c r="V36" s="12"/>
      <c r="W36" s="12"/>
      <c r="X36" s="12"/>
      <c r="Y36" s="12"/>
      <c r="Z36" s="12"/>
      <c r="AA36" s="12"/>
      <c r="AB36" s="12"/>
      <c r="AC36" s="12"/>
      <c r="AD36" s="12"/>
      <c r="AE36" s="12"/>
      <c r="AF36" s="12"/>
      <c r="AG36" s="12"/>
      <c r="AH36" s="12"/>
      <c r="AI36" s="12"/>
      <c r="AJ36" s="12"/>
      <c r="AK36" s="12"/>
      <c r="AL36" s="12"/>
    </row>
    <row r="37" spans="1:38">
      <c r="A37" s="2" t="str">
        <f>E電入力!C38&amp;"+25;"</f>
        <v>+25;</v>
      </c>
      <c r="B37" s="2" t="str">
        <f ca="1">"Beacon.Put(111,0,1"&amp;TEXT(E電入力!X38,"000000")&amp;");"</f>
        <v>Beacon.Put(111,0,1004630);</v>
      </c>
      <c r="C37" s="2" t="str">
        <f ca="1">"Beacon.Put(111,0,2"&amp;TEXT(E電入力!Y38,"000000")&amp;");"</f>
        <v>Beacon.Put(111,0,2005530);</v>
      </c>
      <c r="D37" s="2" t="str">
        <f ca="1">"Beacon.Put(111,0,3"&amp;TEXT(E電入力!Z38,"000000")&amp;");"</f>
        <v>Beacon.Put(111,0,3006030);</v>
      </c>
      <c r="E37" s="2" t="str">
        <f ca="1">"Beacon.Put(111,0,4"&amp;TEXT(E電入力!AA38,"000000")&amp;");"</f>
        <v>Beacon.Put(111,0,4000000);</v>
      </c>
      <c r="F37" s="2" t="str">
        <f ca="1">"Beacon.Put(111,0,5"&amp;TEXT(E電入力!AB38,"000000")&amp;");"</f>
        <v>Beacon.Put(111,0,5000560);</v>
      </c>
      <c r="G37" s="2" t="str">
        <f ca="1">"Beacon.Put(111,0,6"&amp;TEXT(E電入力!AC38,"000000")&amp;");"</f>
        <v>Beacon.Put(111,0,6000000);</v>
      </c>
      <c r="H37" s="2" t="str">
        <f ca="1">"Beacon.Put(112,0,1"&amp;TEXT(E電入力!AD38,"000000")&amp;");"</f>
        <v>Beacon.Put(112,0,1005130);</v>
      </c>
      <c r="I37" s="2" t="str">
        <f ca="1">"Beacon.Put(112,0,2"&amp;TEXT(E電入力!AE38,"000000")&amp;");"</f>
        <v>Beacon.Put(112,0,2005660);</v>
      </c>
      <c r="J37" s="2" t="str">
        <f ca="1">"Beacon.Put(112,0,3"&amp;TEXT(E電入力!AF38,"000000")&amp;");"</f>
        <v>Beacon.Put(112,0,3000160);</v>
      </c>
      <c r="K37" s="2" t="str">
        <f ca="1">"Beacon.Put(112,0,4"&amp;TEXT(E電入力!AG38,"000000")&amp;");"</f>
        <v>Beacon.Put(112,0,4000000);</v>
      </c>
      <c r="L37" s="2" t="str">
        <f ca="1">"Beacon.Put(112,0,5"&amp;TEXT(E電入力!AH38,"000000")&amp;");"</f>
        <v>Beacon.Put(112,0,5000000);</v>
      </c>
      <c r="M37" s="2" t="str">
        <f ca="1">"Beacon.Put(112,0,6"&amp;TEXT(E電入力!AI38,"000000")&amp;");"</f>
        <v>Beacon.Put(112,0,6000000);</v>
      </c>
      <c r="N37" s="12"/>
      <c r="O37" s="12"/>
      <c r="P37" s="12"/>
      <c r="Q37" s="12"/>
      <c r="R37" s="12"/>
      <c r="S37" s="12"/>
      <c r="T37" s="12"/>
      <c r="U37" s="12"/>
      <c r="V37" s="12"/>
      <c r="W37" s="12"/>
      <c r="X37" s="12"/>
      <c r="Y37" s="12"/>
      <c r="Z37" s="12"/>
      <c r="AA37" s="12"/>
      <c r="AB37" s="12"/>
      <c r="AC37" s="12"/>
      <c r="AD37" s="12"/>
      <c r="AE37" s="12"/>
      <c r="AF37" s="12"/>
      <c r="AG37" s="12"/>
      <c r="AH37" s="12"/>
      <c r="AI37" s="12"/>
      <c r="AJ37" s="12"/>
      <c r="AK37" s="12"/>
      <c r="AL37" s="12"/>
    </row>
    <row r="38" spans="1:38">
      <c r="A38" s="2" t="str">
        <f>E電入力!C39&amp;"+25;"</f>
        <v>+25;</v>
      </c>
      <c r="B38" s="2" t="str">
        <f ca="1">"Beacon.Put(111,0,1"&amp;TEXT(E電入力!X39,"000000")&amp;");"</f>
        <v>Beacon.Put(111,0,1005160);</v>
      </c>
      <c r="C38" s="2" t="str">
        <f ca="1">"Beacon.Put(111,0,2"&amp;TEXT(E電入力!Y39,"000000")&amp;");"</f>
        <v>Beacon.Put(111,0,2005530);</v>
      </c>
      <c r="D38" s="2" t="str">
        <f ca="1">"Beacon.Put(111,0,3"&amp;TEXT(E電入力!Z39,"000000")&amp;");"</f>
        <v>Beacon.Put(111,0,3006030);</v>
      </c>
      <c r="E38" s="2" t="str">
        <f ca="1">"Beacon.Put(111,0,4"&amp;TEXT(E電入力!AA39,"000000")&amp;");"</f>
        <v>Beacon.Put(111,0,4000000);</v>
      </c>
      <c r="F38" s="2" t="str">
        <f ca="1">"Beacon.Put(111,0,5"&amp;TEXT(E電入力!AB39,"000000")&amp;");"</f>
        <v>Beacon.Put(111,0,5000560);</v>
      </c>
      <c r="G38" s="2" t="str">
        <f ca="1">"Beacon.Put(111,0,6"&amp;TEXT(E電入力!AC39,"000000")&amp;");"</f>
        <v>Beacon.Put(111,0,6000000);</v>
      </c>
      <c r="H38" s="2" t="str">
        <f ca="1">"Beacon.Put(112,0,1"&amp;TEXT(E電入力!AD39,"000000")&amp;");"</f>
        <v>Beacon.Put(112,0,1005130);</v>
      </c>
      <c r="I38" s="2" t="str">
        <f ca="1">"Beacon.Put(112,0,2"&amp;TEXT(E電入力!AE39,"000000")&amp;");"</f>
        <v>Beacon.Put(112,0,2005660);</v>
      </c>
      <c r="J38" s="2" t="str">
        <f ca="1">"Beacon.Put(112,0,3"&amp;TEXT(E電入力!AF39,"000000")&amp;");"</f>
        <v>Beacon.Put(112,0,3000160);</v>
      </c>
      <c r="K38" s="2" t="str">
        <f ca="1">"Beacon.Put(112,0,4"&amp;TEXT(E電入力!AG39,"000000")&amp;");"</f>
        <v>Beacon.Put(112,0,4000000);</v>
      </c>
      <c r="L38" s="2" t="str">
        <f ca="1">"Beacon.Put(112,0,5"&amp;TEXT(E電入力!AH39,"000000")&amp;");"</f>
        <v>Beacon.Put(112,0,5000000);</v>
      </c>
      <c r="M38" s="2" t="str">
        <f ca="1">"Beacon.Put(112,0,6"&amp;TEXT(E電入力!AI39,"000000")&amp;");"</f>
        <v>Beacon.Put(112,0,6000000);</v>
      </c>
      <c r="N38" s="12"/>
      <c r="O38" s="12"/>
      <c r="P38" s="12"/>
      <c r="Q38" s="12"/>
      <c r="R38" s="12"/>
      <c r="S38" s="12"/>
      <c r="T38" s="12"/>
      <c r="U38" s="12"/>
      <c r="V38" s="12"/>
      <c r="W38" s="12"/>
      <c r="X38" s="12"/>
      <c r="Y38" s="12"/>
      <c r="Z38" s="12"/>
      <c r="AA38" s="12"/>
      <c r="AB38" s="12"/>
      <c r="AC38" s="12"/>
      <c r="AD38" s="12"/>
      <c r="AE38" s="12"/>
      <c r="AF38" s="12"/>
      <c r="AG38" s="12"/>
      <c r="AH38" s="12"/>
      <c r="AI38" s="12"/>
      <c r="AJ38" s="12"/>
      <c r="AK38" s="12"/>
      <c r="AL38" s="12"/>
    </row>
    <row r="39" spans="1:38">
      <c r="A39" s="2" t="str">
        <f>E電入力!C40&amp;"+25;"</f>
        <v>+25;</v>
      </c>
      <c r="B39" s="2" t="str">
        <f ca="1">"Beacon.Put(111,0,1"&amp;TEXT(E電入力!X40,"000000")&amp;");"</f>
        <v>Beacon.Put(111,0,1004630);</v>
      </c>
      <c r="C39" s="2" t="str">
        <f ca="1">"Beacon.Put(111,0,2"&amp;TEXT(E電入力!Y40,"000000")&amp;");"</f>
        <v>Beacon.Put(111,0,2005530);</v>
      </c>
      <c r="D39" s="2" t="str">
        <f ca="1">"Beacon.Put(111,0,3"&amp;TEXT(E電入力!Z40,"000000")&amp;");"</f>
        <v>Beacon.Put(111,0,3006030);</v>
      </c>
      <c r="E39" s="2" t="str">
        <f ca="1">"Beacon.Put(111,0,4"&amp;TEXT(E電入力!AA40,"000000")&amp;");"</f>
        <v>Beacon.Put(111,0,4000000);</v>
      </c>
      <c r="F39" s="2" t="str">
        <f ca="1">"Beacon.Put(111,0,5"&amp;TEXT(E電入力!AB40,"000000")&amp;");"</f>
        <v>Beacon.Put(111,0,5000560);</v>
      </c>
      <c r="G39" s="2" t="str">
        <f ca="1">"Beacon.Put(111,0,6"&amp;TEXT(E電入力!AC40,"000000")&amp;");"</f>
        <v>Beacon.Put(111,0,6000000);</v>
      </c>
      <c r="H39" s="2" t="str">
        <f ca="1">"Beacon.Put(112,0,1"&amp;TEXT(E電入力!AD40,"000000")&amp;");"</f>
        <v>Beacon.Put(112,0,1005130);</v>
      </c>
      <c r="I39" s="2" t="str">
        <f ca="1">"Beacon.Put(112,0,2"&amp;TEXT(E電入力!AE40,"000000")&amp;");"</f>
        <v>Beacon.Put(112,0,2005660);</v>
      </c>
      <c r="J39" s="2" t="str">
        <f ca="1">"Beacon.Put(112,0,3"&amp;TEXT(E電入力!AF40,"000000")&amp;");"</f>
        <v>Beacon.Put(112,0,3000160);</v>
      </c>
      <c r="K39" s="2" t="str">
        <f ca="1">"Beacon.Put(112,0,4"&amp;TEXT(E電入力!AG40,"000000")&amp;");"</f>
        <v>Beacon.Put(112,0,4000000);</v>
      </c>
      <c r="L39" s="2" t="str">
        <f ca="1">"Beacon.Put(112,0,5"&amp;TEXT(E電入力!AH40,"000000")&amp;");"</f>
        <v>Beacon.Put(112,0,5000000);</v>
      </c>
      <c r="M39" s="2" t="str">
        <f ca="1">"Beacon.Put(112,0,6"&amp;TEXT(E電入力!AI40,"000000")&amp;");"</f>
        <v>Beacon.Put(112,0,6000000);</v>
      </c>
      <c r="N39" s="12"/>
      <c r="O39" s="12"/>
      <c r="P39" s="12"/>
      <c r="Q39" s="12"/>
      <c r="R39" s="12"/>
      <c r="S39" s="12"/>
      <c r="T39" s="12"/>
      <c r="U39" s="12"/>
      <c r="V39" s="12"/>
      <c r="W39" s="12"/>
      <c r="X39" s="12"/>
      <c r="Y39" s="12"/>
      <c r="Z39" s="12"/>
      <c r="AA39" s="12"/>
      <c r="AB39" s="12"/>
      <c r="AC39" s="12"/>
      <c r="AD39" s="12"/>
      <c r="AE39" s="12"/>
      <c r="AF39" s="12"/>
      <c r="AG39" s="12"/>
      <c r="AH39" s="12"/>
      <c r="AI39" s="12"/>
      <c r="AJ39" s="12"/>
      <c r="AK39" s="12"/>
      <c r="AL39" s="12"/>
    </row>
    <row r="40" spans="1:38">
      <c r="A40" s="2" t="str">
        <f>E電入力!C41&amp;"+25;"</f>
        <v>+25;</v>
      </c>
      <c r="B40" s="2" t="str">
        <f ca="1">"Beacon.Put(111,0,1"&amp;TEXT(E電入力!X41,"000000")&amp;");"</f>
        <v>Beacon.Put(111,0,1005160);</v>
      </c>
      <c r="C40" s="2" t="str">
        <f ca="1">"Beacon.Put(111,0,2"&amp;TEXT(E電入力!Y41,"000000")&amp;");"</f>
        <v>Beacon.Put(111,0,2005530);</v>
      </c>
      <c r="D40" s="2" t="str">
        <f ca="1">"Beacon.Put(111,0,3"&amp;TEXT(E電入力!Z41,"000000")&amp;");"</f>
        <v>Beacon.Put(111,0,3006030);</v>
      </c>
      <c r="E40" s="2" t="str">
        <f ca="1">"Beacon.Put(111,0,4"&amp;TEXT(E電入力!AA41,"000000")&amp;");"</f>
        <v>Beacon.Put(111,0,4000000);</v>
      </c>
      <c r="F40" s="2" t="str">
        <f ca="1">"Beacon.Put(111,0,5"&amp;TEXT(E電入力!AB41,"000000")&amp;");"</f>
        <v>Beacon.Put(111,0,5000560);</v>
      </c>
      <c r="G40" s="2" t="str">
        <f ca="1">"Beacon.Put(111,0,6"&amp;TEXT(E電入力!AC41,"000000")&amp;");"</f>
        <v>Beacon.Put(111,0,6000000);</v>
      </c>
      <c r="H40" s="2" t="str">
        <f ca="1">"Beacon.Put(112,0,1"&amp;TEXT(E電入力!AD41,"000000")&amp;");"</f>
        <v>Beacon.Put(112,0,1005130);</v>
      </c>
      <c r="I40" s="2" t="str">
        <f ca="1">"Beacon.Put(112,0,2"&amp;TEXT(E電入力!AE41,"000000")&amp;");"</f>
        <v>Beacon.Put(112,0,2005660);</v>
      </c>
      <c r="J40" s="2" t="str">
        <f ca="1">"Beacon.Put(112,0,3"&amp;TEXT(E電入力!AF41,"000000")&amp;");"</f>
        <v>Beacon.Put(112,0,3000160);</v>
      </c>
      <c r="K40" s="2" t="str">
        <f ca="1">"Beacon.Put(112,0,4"&amp;TEXT(E電入力!AG41,"000000")&amp;");"</f>
        <v>Beacon.Put(112,0,4000000);</v>
      </c>
      <c r="L40" s="2" t="str">
        <f ca="1">"Beacon.Put(112,0,5"&amp;TEXT(E電入力!AH41,"000000")&amp;");"</f>
        <v>Beacon.Put(112,0,5000000);</v>
      </c>
      <c r="M40" s="2" t="str">
        <f ca="1">"Beacon.Put(112,0,6"&amp;TEXT(E電入力!AI41,"000000")&amp;");"</f>
        <v>Beacon.Put(112,0,6000000);</v>
      </c>
      <c r="N40" s="12"/>
      <c r="O40" s="12"/>
      <c r="P40" s="12"/>
      <c r="Q40" s="12"/>
      <c r="R40" s="12"/>
      <c r="S40" s="12"/>
      <c r="T40" s="12"/>
      <c r="U40" s="12"/>
      <c r="V40" s="12"/>
      <c r="W40" s="12"/>
      <c r="X40" s="12"/>
      <c r="Y40" s="12"/>
      <c r="Z40" s="12"/>
      <c r="AA40" s="12"/>
      <c r="AB40" s="12"/>
      <c r="AC40" s="12"/>
      <c r="AD40" s="12"/>
      <c r="AE40" s="12"/>
      <c r="AF40" s="12"/>
      <c r="AG40" s="12"/>
      <c r="AH40" s="12"/>
      <c r="AI40" s="12"/>
      <c r="AJ40" s="12"/>
      <c r="AK40" s="12"/>
      <c r="AL40" s="12"/>
    </row>
    <row r="41" spans="1:38">
      <c r="A41" s="2" t="str">
        <f>E電入力!C42&amp;"+25;"</f>
        <v>+25;</v>
      </c>
      <c r="B41" s="2" t="str">
        <f ca="1">"Beacon.Put(111,0,1"&amp;TEXT(E電入力!X42,"000000")&amp;");"</f>
        <v>Beacon.Put(111,0,1004630);</v>
      </c>
      <c r="C41" s="2" t="str">
        <f ca="1">"Beacon.Put(111,0,2"&amp;TEXT(E電入力!Y42,"000000")&amp;");"</f>
        <v>Beacon.Put(111,0,2005530);</v>
      </c>
      <c r="D41" s="2" t="str">
        <f ca="1">"Beacon.Put(111,0,3"&amp;TEXT(E電入力!Z42,"000000")&amp;");"</f>
        <v>Beacon.Put(111,0,3006030);</v>
      </c>
      <c r="E41" s="2" t="str">
        <f ca="1">"Beacon.Put(111,0,4"&amp;TEXT(E電入力!AA42,"000000")&amp;");"</f>
        <v>Beacon.Put(111,0,4000000);</v>
      </c>
      <c r="F41" s="2" t="str">
        <f ca="1">"Beacon.Put(111,0,5"&amp;TEXT(E電入力!AB42,"000000")&amp;");"</f>
        <v>Beacon.Put(111,0,5000560);</v>
      </c>
      <c r="G41" s="2" t="str">
        <f ca="1">"Beacon.Put(111,0,6"&amp;TEXT(E電入力!AC42,"000000")&amp;");"</f>
        <v>Beacon.Put(111,0,6000000);</v>
      </c>
      <c r="H41" s="2" t="str">
        <f ca="1">"Beacon.Put(112,0,1"&amp;TEXT(E電入力!AD42,"000000")&amp;");"</f>
        <v>Beacon.Put(112,0,1005130);</v>
      </c>
      <c r="I41" s="2" t="str">
        <f ca="1">"Beacon.Put(112,0,2"&amp;TEXT(E電入力!AE42,"000000")&amp;");"</f>
        <v>Beacon.Put(112,0,2005660);</v>
      </c>
      <c r="J41" s="2" t="str">
        <f ca="1">"Beacon.Put(112,0,3"&amp;TEXT(E電入力!AF42,"000000")&amp;");"</f>
        <v>Beacon.Put(112,0,3000160);</v>
      </c>
      <c r="K41" s="2" t="str">
        <f ca="1">"Beacon.Put(112,0,4"&amp;TEXT(E電入力!AG42,"000000")&amp;");"</f>
        <v>Beacon.Put(112,0,4000000);</v>
      </c>
      <c r="L41" s="2" t="str">
        <f ca="1">"Beacon.Put(112,0,5"&amp;TEXT(E電入力!AH42,"000000")&amp;");"</f>
        <v>Beacon.Put(112,0,5000000);</v>
      </c>
      <c r="M41" s="2" t="str">
        <f ca="1">"Beacon.Put(112,0,6"&amp;TEXT(E電入力!AI42,"000000")&amp;");"</f>
        <v>Beacon.Put(112,0,6000000);</v>
      </c>
      <c r="N41" s="12"/>
      <c r="O41" s="12"/>
      <c r="P41" s="12"/>
      <c r="Q41" s="12"/>
      <c r="R41" s="12"/>
      <c r="S41" s="12"/>
      <c r="T41" s="12"/>
      <c r="U41" s="12"/>
      <c r="V41" s="12"/>
      <c r="W41" s="12"/>
      <c r="X41" s="12"/>
      <c r="Y41" s="12"/>
      <c r="Z41" s="12"/>
      <c r="AA41" s="12"/>
      <c r="AB41" s="12"/>
      <c r="AC41" s="12"/>
      <c r="AD41" s="12"/>
      <c r="AE41" s="12"/>
      <c r="AF41" s="12"/>
      <c r="AG41" s="12"/>
      <c r="AH41" s="12"/>
      <c r="AI41" s="12"/>
      <c r="AJ41" s="12"/>
      <c r="AK41" s="12"/>
      <c r="AL41" s="12"/>
    </row>
    <row r="42" spans="1:38">
      <c r="A42" s="2" t="str">
        <f>E電入力!C43&amp;"+25;"</f>
        <v>+25;</v>
      </c>
      <c r="B42" s="2" t="str">
        <f ca="1">"Beacon.Put(111,0,1"&amp;TEXT(E電入力!X43,"000000")&amp;");"</f>
        <v>Beacon.Put(111,0,1005160);</v>
      </c>
      <c r="C42" s="2" t="str">
        <f ca="1">"Beacon.Put(111,0,2"&amp;TEXT(E電入力!Y43,"000000")&amp;");"</f>
        <v>Beacon.Put(111,0,2005530);</v>
      </c>
      <c r="D42" s="2" t="str">
        <f ca="1">"Beacon.Put(111,0,3"&amp;TEXT(E電入力!Z43,"000000")&amp;");"</f>
        <v>Beacon.Put(111,0,3006030);</v>
      </c>
      <c r="E42" s="2" t="str">
        <f ca="1">"Beacon.Put(111,0,4"&amp;TEXT(E電入力!AA43,"000000")&amp;");"</f>
        <v>Beacon.Put(111,0,4000000);</v>
      </c>
      <c r="F42" s="2" t="str">
        <f ca="1">"Beacon.Put(111,0,5"&amp;TEXT(E電入力!AB43,"000000")&amp;");"</f>
        <v>Beacon.Put(111,0,5000560);</v>
      </c>
      <c r="G42" s="2" t="str">
        <f ca="1">"Beacon.Put(111,0,6"&amp;TEXT(E電入力!AC43,"000000")&amp;");"</f>
        <v>Beacon.Put(111,0,6000000);</v>
      </c>
      <c r="H42" s="2" t="str">
        <f ca="1">"Beacon.Put(112,0,1"&amp;TEXT(E電入力!AD43,"000000")&amp;");"</f>
        <v>Beacon.Put(112,0,1005130);</v>
      </c>
      <c r="I42" s="2" t="str">
        <f ca="1">"Beacon.Put(112,0,2"&amp;TEXT(E電入力!AE43,"000000")&amp;");"</f>
        <v>Beacon.Put(112,0,2005660);</v>
      </c>
      <c r="J42" s="2" t="str">
        <f ca="1">"Beacon.Put(112,0,3"&amp;TEXT(E電入力!AF43,"000000")&amp;");"</f>
        <v>Beacon.Put(112,0,3000160);</v>
      </c>
      <c r="K42" s="2" t="str">
        <f ca="1">"Beacon.Put(112,0,4"&amp;TEXT(E電入力!AG43,"000000")&amp;");"</f>
        <v>Beacon.Put(112,0,4000000);</v>
      </c>
      <c r="L42" s="2" t="str">
        <f ca="1">"Beacon.Put(112,0,5"&amp;TEXT(E電入力!AH43,"000000")&amp;");"</f>
        <v>Beacon.Put(112,0,5000000);</v>
      </c>
      <c r="M42" s="2" t="str">
        <f ca="1">"Beacon.Put(112,0,6"&amp;TEXT(E電入力!AI43,"000000")&amp;");"</f>
        <v>Beacon.Put(112,0,6000000);</v>
      </c>
      <c r="N42" s="12"/>
      <c r="O42" s="12"/>
      <c r="P42" s="12"/>
      <c r="Q42" s="12"/>
      <c r="R42" s="12"/>
      <c r="S42" s="12"/>
      <c r="T42" s="12"/>
      <c r="U42" s="12"/>
      <c r="V42" s="12"/>
      <c r="W42" s="12"/>
      <c r="X42" s="12"/>
      <c r="Y42" s="12"/>
      <c r="Z42" s="12"/>
      <c r="AA42" s="12"/>
      <c r="AB42" s="12"/>
      <c r="AC42" s="12"/>
      <c r="AD42" s="12"/>
      <c r="AE42" s="12"/>
      <c r="AF42" s="12"/>
      <c r="AG42" s="12"/>
      <c r="AH42" s="12"/>
      <c r="AI42" s="12"/>
      <c r="AJ42" s="12"/>
      <c r="AK42" s="12"/>
      <c r="AL42" s="12"/>
    </row>
    <row r="43" spans="1:38">
      <c r="A43" s="2" t="str">
        <f>E電入力!C44&amp;"+25;"</f>
        <v>+25;</v>
      </c>
      <c r="B43" s="2" t="str">
        <f ca="1">"Beacon.Put(111,0,1"&amp;TEXT(E電入力!X44,"000000")&amp;");"</f>
        <v>Beacon.Put(111,0,1004630);</v>
      </c>
      <c r="C43" s="2" t="str">
        <f ca="1">"Beacon.Put(111,0,2"&amp;TEXT(E電入力!Y44,"000000")&amp;");"</f>
        <v>Beacon.Put(111,0,2005530);</v>
      </c>
      <c r="D43" s="2" t="str">
        <f ca="1">"Beacon.Put(111,0,3"&amp;TEXT(E電入力!Z44,"000000")&amp;");"</f>
        <v>Beacon.Put(111,0,3006030);</v>
      </c>
      <c r="E43" s="2" t="str">
        <f ca="1">"Beacon.Put(111,0,4"&amp;TEXT(E電入力!AA44,"000000")&amp;");"</f>
        <v>Beacon.Put(111,0,4000000);</v>
      </c>
      <c r="F43" s="2" t="str">
        <f ca="1">"Beacon.Put(111,0,5"&amp;TEXT(E電入力!AB44,"000000")&amp;");"</f>
        <v>Beacon.Put(111,0,5000560);</v>
      </c>
      <c r="G43" s="2" t="str">
        <f ca="1">"Beacon.Put(111,0,6"&amp;TEXT(E電入力!AC44,"000000")&amp;");"</f>
        <v>Beacon.Put(111,0,6000000);</v>
      </c>
      <c r="H43" s="2" t="str">
        <f ca="1">"Beacon.Put(112,0,1"&amp;TEXT(E電入力!AD44,"000000")&amp;");"</f>
        <v>Beacon.Put(112,0,1005130);</v>
      </c>
      <c r="I43" s="2" t="str">
        <f ca="1">"Beacon.Put(112,0,2"&amp;TEXT(E電入力!AE44,"000000")&amp;");"</f>
        <v>Beacon.Put(112,0,2005660);</v>
      </c>
      <c r="J43" s="2" t="str">
        <f ca="1">"Beacon.Put(112,0,3"&amp;TEXT(E電入力!AF44,"000000")&amp;");"</f>
        <v>Beacon.Put(112,0,3000160);</v>
      </c>
      <c r="K43" s="2" t="str">
        <f ca="1">"Beacon.Put(112,0,4"&amp;TEXT(E電入力!AG44,"000000")&amp;");"</f>
        <v>Beacon.Put(112,0,4000000);</v>
      </c>
      <c r="L43" s="2" t="str">
        <f ca="1">"Beacon.Put(112,0,5"&amp;TEXT(E電入力!AH44,"000000")&amp;");"</f>
        <v>Beacon.Put(112,0,5000000);</v>
      </c>
      <c r="M43" s="2" t="str">
        <f ca="1">"Beacon.Put(112,0,6"&amp;TEXT(E電入力!AI44,"000000")&amp;");"</f>
        <v>Beacon.Put(112,0,6000000);</v>
      </c>
      <c r="N43" s="12"/>
      <c r="O43" s="12"/>
      <c r="P43" s="12"/>
      <c r="Q43" s="12"/>
      <c r="R43" s="12"/>
      <c r="S43" s="12"/>
      <c r="T43" s="12"/>
      <c r="U43" s="12"/>
      <c r="V43" s="12"/>
      <c r="W43" s="12"/>
      <c r="X43" s="12"/>
      <c r="Y43" s="12"/>
      <c r="Z43" s="12"/>
      <c r="AA43" s="12"/>
      <c r="AB43" s="12"/>
      <c r="AC43" s="12"/>
      <c r="AD43" s="12"/>
      <c r="AE43" s="12"/>
      <c r="AF43" s="12"/>
      <c r="AG43" s="12"/>
      <c r="AH43" s="12"/>
      <c r="AI43" s="12"/>
      <c r="AJ43" s="12"/>
      <c r="AK43" s="12"/>
      <c r="AL43" s="12"/>
    </row>
    <row r="44" spans="1:38">
      <c r="A44" s="2" t="str">
        <f>E電入力!C45&amp;"+25;"</f>
        <v>+25;</v>
      </c>
      <c r="B44" s="2" t="str">
        <f ca="1">"Beacon.Put(111,0,1"&amp;TEXT(E電入力!X45,"000000")&amp;");"</f>
        <v>Beacon.Put(111,0,1005160);</v>
      </c>
      <c r="C44" s="2" t="str">
        <f ca="1">"Beacon.Put(111,0,2"&amp;TEXT(E電入力!Y45,"000000")&amp;");"</f>
        <v>Beacon.Put(111,0,2005530);</v>
      </c>
      <c r="D44" s="2" t="str">
        <f ca="1">"Beacon.Put(111,0,3"&amp;TEXT(E電入力!Z45,"000000")&amp;");"</f>
        <v>Beacon.Put(111,0,3006030);</v>
      </c>
      <c r="E44" s="2" t="str">
        <f ca="1">"Beacon.Put(111,0,4"&amp;TEXT(E電入力!AA45,"000000")&amp;");"</f>
        <v>Beacon.Put(111,0,4000000);</v>
      </c>
      <c r="F44" s="2" t="str">
        <f ca="1">"Beacon.Put(111,0,5"&amp;TEXT(E電入力!AB45,"000000")&amp;");"</f>
        <v>Beacon.Put(111,0,5000560);</v>
      </c>
      <c r="G44" s="2" t="str">
        <f ca="1">"Beacon.Put(111,0,6"&amp;TEXT(E電入力!AC45,"000000")&amp;");"</f>
        <v>Beacon.Put(111,0,6000000);</v>
      </c>
      <c r="H44" s="2" t="str">
        <f ca="1">"Beacon.Put(112,0,1"&amp;TEXT(E電入力!AD45,"000000")&amp;");"</f>
        <v>Beacon.Put(112,0,1005130);</v>
      </c>
      <c r="I44" s="2" t="str">
        <f ca="1">"Beacon.Put(112,0,2"&amp;TEXT(E電入力!AE45,"000000")&amp;");"</f>
        <v>Beacon.Put(112,0,2005660);</v>
      </c>
      <c r="J44" s="2" t="str">
        <f ca="1">"Beacon.Put(112,0,3"&amp;TEXT(E電入力!AF45,"000000")&amp;");"</f>
        <v>Beacon.Put(112,0,3000160);</v>
      </c>
      <c r="K44" s="2" t="str">
        <f ca="1">"Beacon.Put(112,0,4"&amp;TEXT(E電入力!AG45,"000000")&amp;");"</f>
        <v>Beacon.Put(112,0,4000000);</v>
      </c>
      <c r="L44" s="2" t="str">
        <f ca="1">"Beacon.Put(112,0,5"&amp;TEXT(E電入力!AH45,"000000")&amp;");"</f>
        <v>Beacon.Put(112,0,5000000);</v>
      </c>
      <c r="M44" s="2" t="str">
        <f ca="1">"Beacon.Put(112,0,6"&amp;TEXT(E電入力!AI45,"000000")&amp;");"</f>
        <v>Beacon.Put(112,0,6000000);</v>
      </c>
      <c r="N44" s="12"/>
      <c r="O44" s="12"/>
      <c r="P44" s="12"/>
      <c r="Q44" s="12"/>
      <c r="R44" s="12"/>
      <c r="S44" s="12"/>
      <c r="T44" s="12"/>
      <c r="U44" s="12"/>
      <c r="V44" s="12"/>
      <c r="W44" s="12"/>
      <c r="X44" s="12"/>
      <c r="Y44" s="12"/>
      <c r="Z44" s="12"/>
      <c r="AA44" s="12"/>
      <c r="AB44" s="12"/>
      <c r="AC44" s="12"/>
      <c r="AD44" s="12"/>
      <c r="AE44" s="12"/>
      <c r="AF44" s="12"/>
      <c r="AG44" s="12"/>
      <c r="AH44" s="12"/>
      <c r="AI44" s="12"/>
      <c r="AJ44" s="12"/>
      <c r="AK44" s="12"/>
      <c r="AL44" s="12"/>
    </row>
    <row r="45" spans="1:38">
      <c r="A45" s="2" t="str">
        <f>E電入力!C46&amp;"+25;"</f>
        <v>+25;</v>
      </c>
      <c r="B45" s="2" t="str">
        <f ca="1">"Beacon.Put(111,0,1"&amp;TEXT(E電入力!X46,"000000")&amp;");"</f>
        <v>Beacon.Put(111,0,1004630);</v>
      </c>
      <c r="C45" s="2" t="str">
        <f ca="1">"Beacon.Put(111,0,2"&amp;TEXT(E電入力!Y46,"000000")&amp;");"</f>
        <v>Beacon.Put(111,0,2005530);</v>
      </c>
      <c r="D45" s="2" t="str">
        <f ca="1">"Beacon.Put(111,0,3"&amp;TEXT(E電入力!Z46,"000000")&amp;");"</f>
        <v>Beacon.Put(111,0,3006030);</v>
      </c>
      <c r="E45" s="2" t="str">
        <f ca="1">"Beacon.Put(111,0,4"&amp;TEXT(E電入力!AA46,"000000")&amp;");"</f>
        <v>Beacon.Put(111,0,4000000);</v>
      </c>
      <c r="F45" s="2" t="str">
        <f ca="1">"Beacon.Put(111,0,5"&amp;TEXT(E電入力!AB46,"000000")&amp;");"</f>
        <v>Beacon.Put(111,0,5000560);</v>
      </c>
      <c r="G45" s="2" t="str">
        <f ca="1">"Beacon.Put(111,0,6"&amp;TEXT(E電入力!AC46,"000000")&amp;");"</f>
        <v>Beacon.Put(111,0,6000000);</v>
      </c>
      <c r="H45" s="2" t="str">
        <f ca="1">"Beacon.Put(112,0,1"&amp;TEXT(E電入力!AD46,"000000")&amp;");"</f>
        <v>Beacon.Put(112,0,1005130);</v>
      </c>
      <c r="I45" s="2" t="str">
        <f ca="1">"Beacon.Put(112,0,2"&amp;TEXT(E電入力!AE46,"000000")&amp;");"</f>
        <v>Beacon.Put(112,0,2005660);</v>
      </c>
      <c r="J45" s="2" t="str">
        <f ca="1">"Beacon.Put(112,0,3"&amp;TEXT(E電入力!AF46,"000000")&amp;");"</f>
        <v>Beacon.Put(112,0,3000160);</v>
      </c>
      <c r="K45" s="2" t="str">
        <f ca="1">"Beacon.Put(112,0,4"&amp;TEXT(E電入力!AG46,"000000")&amp;");"</f>
        <v>Beacon.Put(112,0,4000000);</v>
      </c>
      <c r="L45" s="2" t="str">
        <f ca="1">"Beacon.Put(112,0,5"&amp;TEXT(E電入力!AH46,"000000")&amp;");"</f>
        <v>Beacon.Put(112,0,5000000);</v>
      </c>
      <c r="M45" s="2" t="str">
        <f ca="1">"Beacon.Put(112,0,6"&amp;TEXT(E電入力!AI46,"000000")&amp;");"</f>
        <v>Beacon.Put(112,0,6000000);</v>
      </c>
      <c r="N45" s="12"/>
      <c r="O45" s="12"/>
      <c r="P45" s="12"/>
      <c r="Q45" s="12"/>
      <c r="R45" s="12"/>
      <c r="S45" s="12"/>
      <c r="T45" s="12"/>
      <c r="U45" s="12"/>
      <c r="V45" s="12"/>
      <c r="W45" s="12"/>
      <c r="X45" s="12"/>
      <c r="Y45" s="12"/>
      <c r="Z45" s="12"/>
      <c r="AA45" s="12"/>
      <c r="AB45" s="12"/>
      <c r="AC45" s="12"/>
      <c r="AD45" s="12"/>
      <c r="AE45" s="12"/>
      <c r="AF45" s="12"/>
      <c r="AG45" s="12"/>
      <c r="AH45" s="12"/>
      <c r="AI45" s="12"/>
      <c r="AJ45" s="12"/>
      <c r="AK45" s="12"/>
      <c r="AL45" s="12"/>
    </row>
    <row r="46" spans="1:38">
      <c r="A46" s="2" t="str">
        <f>E電入力!C47&amp;"+25;"</f>
        <v>+25;</v>
      </c>
      <c r="B46" s="2" t="str">
        <f ca="1">"Beacon.Put(111,0,1"&amp;TEXT(E電入力!X47,"000000")&amp;");"</f>
        <v>Beacon.Put(111,0,1005160);</v>
      </c>
      <c r="C46" s="2" t="str">
        <f ca="1">"Beacon.Put(111,0,2"&amp;TEXT(E電入力!Y47,"000000")&amp;");"</f>
        <v>Beacon.Put(111,0,2005530);</v>
      </c>
      <c r="D46" s="2" t="str">
        <f ca="1">"Beacon.Put(111,0,3"&amp;TEXT(E電入力!Z47,"000000")&amp;");"</f>
        <v>Beacon.Put(111,0,3006030);</v>
      </c>
      <c r="E46" s="2" t="str">
        <f ca="1">"Beacon.Put(111,0,4"&amp;TEXT(E電入力!AA47,"000000")&amp;");"</f>
        <v>Beacon.Put(111,0,4000000);</v>
      </c>
      <c r="F46" s="2" t="str">
        <f ca="1">"Beacon.Put(111,0,5"&amp;TEXT(E電入力!AB47,"000000")&amp;");"</f>
        <v>Beacon.Put(111,0,5000560);</v>
      </c>
      <c r="G46" s="2" t="str">
        <f ca="1">"Beacon.Put(111,0,6"&amp;TEXT(E電入力!AC47,"000000")&amp;");"</f>
        <v>Beacon.Put(111,0,6000000);</v>
      </c>
      <c r="H46" s="2" t="str">
        <f ca="1">"Beacon.Put(112,0,1"&amp;TEXT(E電入力!AD47,"000000")&amp;");"</f>
        <v>Beacon.Put(112,0,1005130);</v>
      </c>
      <c r="I46" s="2" t="str">
        <f ca="1">"Beacon.Put(112,0,2"&amp;TEXT(E電入力!AE47,"000000")&amp;");"</f>
        <v>Beacon.Put(112,0,2005660);</v>
      </c>
      <c r="J46" s="2" t="str">
        <f ca="1">"Beacon.Put(112,0,3"&amp;TEXT(E電入力!AF47,"000000")&amp;");"</f>
        <v>Beacon.Put(112,0,3000160);</v>
      </c>
      <c r="K46" s="2" t="str">
        <f ca="1">"Beacon.Put(112,0,4"&amp;TEXT(E電入力!AG47,"000000")&amp;");"</f>
        <v>Beacon.Put(112,0,4000000);</v>
      </c>
      <c r="L46" s="2" t="str">
        <f ca="1">"Beacon.Put(112,0,5"&amp;TEXT(E電入力!AH47,"000000")&amp;");"</f>
        <v>Beacon.Put(112,0,5000000);</v>
      </c>
      <c r="M46" s="2" t="str">
        <f ca="1">"Beacon.Put(112,0,6"&amp;TEXT(E電入力!AI47,"000000")&amp;");"</f>
        <v>Beacon.Put(112,0,6000000);</v>
      </c>
      <c r="N46" s="12"/>
      <c r="O46" s="12"/>
      <c r="P46" s="12"/>
      <c r="Q46" s="12"/>
      <c r="R46" s="12"/>
      <c r="S46" s="12"/>
      <c r="T46" s="12"/>
      <c r="U46" s="12"/>
      <c r="V46" s="12"/>
      <c r="W46" s="12"/>
      <c r="X46" s="12"/>
      <c r="Y46" s="12"/>
      <c r="Z46" s="12"/>
      <c r="AA46" s="12"/>
      <c r="AB46" s="12"/>
      <c r="AC46" s="12"/>
      <c r="AD46" s="12"/>
      <c r="AE46" s="12"/>
      <c r="AF46" s="12"/>
      <c r="AG46" s="12"/>
      <c r="AH46" s="12"/>
      <c r="AI46" s="12"/>
      <c r="AJ46" s="12"/>
      <c r="AK46" s="12"/>
      <c r="AL46" s="12"/>
    </row>
    <row r="47" spans="1:38">
      <c r="A47" s="2" t="str">
        <f>E電入力!C48&amp;"+25;"</f>
        <v>+25;</v>
      </c>
      <c r="B47" s="2" t="str">
        <f ca="1">"Beacon.Put(111,0,1"&amp;TEXT(E電入力!X48,"000000")&amp;");"</f>
        <v>Beacon.Put(111,0,1004630);</v>
      </c>
      <c r="C47" s="2" t="str">
        <f ca="1">"Beacon.Put(111,0,2"&amp;TEXT(E電入力!Y48,"000000")&amp;");"</f>
        <v>Beacon.Put(111,0,2005530);</v>
      </c>
      <c r="D47" s="2" t="str">
        <f ca="1">"Beacon.Put(111,0,3"&amp;TEXT(E電入力!Z48,"000000")&amp;");"</f>
        <v>Beacon.Put(111,0,3006030);</v>
      </c>
      <c r="E47" s="2" t="str">
        <f ca="1">"Beacon.Put(111,0,4"&amp;TEXT(E電入力!AA48,"000000")&amp;");"</f>
        <v>Beacon.Put(111,0,4000000);</v>
      </c>
      <c r="F47" s="2" t="str">
        <f ca="1">"Beacon.Put(111,0,5"&amp;TEXT(E電入力!AB48,"000000")&amp;");"</f>
        <v>Beacon.Put(111,0,5000560);</v>
      </c>
      <c r="G47" s="2" t="str">
        <f ca="1">"Beacon.Put(111,0,6"&amp;TEXT(E電入力!AC48,"000000")&amp;");"</f>
        <v>Beacon.Put(111,0,6000000);</v>
      </c>
      <c r="H47" s="2" t="str">
        <f ca="1">"Beacon.Put(112,0,1"&amp;TEXT(E電入力!AD48,"000000")&amp;");"</f>
        <v>Beacon.Put(112,0,1005130);</v>
      </c>
      <c r="I47" s="2" t="str">
        <f ca="1">"Beacon.Put(112,0,2"&amp;TEXT(E電入力!AE48,"000000")&amp;");"</f>
        <v>Beacon.Put(112,0,2005660);</v>
      </c>
      <c r="J47" s="2" t="str">
        <f ca="1">"Beacon.Put(112,0,3"&amp;TEXT(E電入力!AF48,"000000")&amp;");"</f>
        <v>Beacon.Put(112,0,3000160);</v>
      </c>
      <c r="K47" s="2" t="str">
        <f ca="1">"Beacon.Put(112,0,4"&amp;TEXT(E電入力!AG48,"000000")&amp;");"</f>
        <v>Beacon.Put(112,0,4000000);</v>
      </c>
      <c r="L47" s="2" t="str">
        <f ca="1">"Beacon.Put(112,0,5"&amp;TEXT(E電入力!AH48,"000000")&amp;");"</f>
        <v>Beacon.Put(112,0,5000000);</v>
      </c>
      <c r="M47" s="2" t="str">
        <f ca="1">"Beacon.Put(112,0,6"&amp;TEXT(E電入力!AI48,"000000")&amp;");"</f>
        <v>Beacon.Put(112,0,6000000);</v>
      </c>
      <c r="N47" s="12"/>
      <c r="O47" s="12"/>
      <c r="P47" s="12"/>
      <c r="Q47" s="12"/>
      <c r="R47" s="12"/>
      <c r="S47" s="12"/>
      <c r="T47" s="12"/>
      <c r="U47" s="12"/>
      <c r="V47" s="12"/>
      <c r="W47" s="12"/>
      <c r="X47" s="12"/>
      <c r="Y47" s="12"/>
      <c r="Z47" s="12"/>
      <c r="AA47" s="12"/>
      <c r="AB47" s="12"/>
      <c r="AC47" s="12"/>
      <c r="AD47" s="12"/>
      <c r="AE47" s="12"/>
      <c r="AF47" s="12"/>
      <c r="AG47" s="12"/>
      <c r="AH47" s="12"/>
      <c r="AI47" s="12"/>
      <c r="AJ47" s="12"/>
      <c r="AK47" s="12"/>
      <c r="AL47" s="12"/>
    </row>
    <row r="48" spans="1:38">
      <c r="A48" s="2" t="str">
        <f>E電入力!C49&amp;"+25;"</f>
        <v>+25;</v>
      </c>
      <c r="B48" s="2" t="str">
        <f ca="1">"Beacon.Put(111,0,1"&amp;TEXT(E電入力!X49,"000000")&amp;");"</f>
        <v>Beacon.Put(111,0,1005160);</v>
      </c>
      <c r="C48" s="2" t="str">
        <f ca="1">"Beacon.Put(111,0,2"&amp;TEXT(E電入力!Y49,"000000")&amp;");"</f>
        <v>Beacon.Put(111,0,2005530);</v>
      </c>
      <c r="D48" s="2" t="str">
        <f ca="1">"Beacon.Put(111,0,3"&amp;TEXT(E電入力!Z49,"000000")&amp;");"</f>
        <v>Beacon.Put(111,0,3006030);</v>
      </c>
      <c r="E48" s="2" t="str">
        <f ca="1">"Beacon.Put(111,0,4"&amp;TEXT(E電入力!AA49,"000000")&amp;");"</f>
        <v>Beacon.Put(111,0,4000000);</v>
      </c>
      <c r="F48" s="2" t="str">
        <f ca="1">"Beacon.Put(111,0,5"&amp;TEXT(E電入力!AB49,"000000")&amp;");"</f>
        <v>Beacon.Put(111,0,5000560);</v>
      </c>
      <c r="G48" s="2" t="str">
        <f ca="1">"Beacon.Put(111,0,6"&amp;TEXT(E電入力!AC49,"000000")&amp;");"</f>
        <v>Beacon.Put(111,0,6000000);</v>
      </c>
      <c r="H48" s="2" t="str">
        <f ca="1">"Beacon.Put(112,0,1"&amp;TEXT(E電入力!AD49,"000000")&amp;");"</f>
        <v>Beacon.Put(112,0,1005130);</v>
      </c>
      <c r="I48" s="2" t="str">
        <f ca="1">"Beacon.Put(112,0,2"&amp;TEXT(E電入力!AE49,"000000")&amp;");"</f>
        <v>Beacon.Put(112,0,2005660);</v>
      </c>
      <c r="J48" s="2" t="str">
        <f ca="1">"Beacon.Put(112,0,3"&amp;TEXT(E電入力!AF49,"000000")&amp;");"</f>
        <v>Beacon.Put(112,0,3000160);</v>
      </c>
      <c r="K48" s="2" t="str">
        <f ca="1">"Beacon.Put(112,0,4"&amp;TEXT(E電入力!AG49,"000000")&amp;");"</f>
        <v>Beacon.Put(112,0,4000000);</v>
      </c>
      <c r="L48" s="2" t="str">
        <f ca="1">"Beacon.Put(112,0,5"&amp;TEXT(E電入力!AH49,"000000")&amp;");"</f>
        <v>Beacon.Put(112,0,5000000);</v>
      </c>
      <c r="M48" s="2" t="str">
        <f ca="1">"Beacon.Put(112,0,6"&amp;TEXT(E電入力!AI49,"000000")&amp;");"</f>
        <v>Beacon.Put(112,0,6000000);</v>
      </c>
      <c r="N48" s="12"/>
      <c r="O48" s="12"/>
      <c r="P48" s="12"/>
      <c r="Q48" s="12"/>
      <c r="R48" s="12"/>
      <c r="S48" s="12"/>
      <c r="T48" s="12"/>
      <c r="U48" s="12"/>
      <c r="V48" s="12"/>
      <c r="W48" s="12"/>
      <c r="X48" s="12"/>
      <c r="Y48" s="12"/>
      <c r="Z48" s="12"/>
      <c r="AA48" s="12"/>
      <c r="AB48" s="12"/>
      <c r="AC48" s="12"/>
      <c r="AD48" s="12"/>
      <c r="AE48" s="12"/>
      <c r="AF48" s="12"/>
      <c r="AG48" s="12"/>
      <c r="AH48" s="12"/>
      <c r="AI48" s="12"/>
      <c r="AJ48" s="12"/>
      <c r="AK48" s="12"/>
      <c r="AL48" s="12"/>
    </row>
    <row r="49" spans="1:38">
      <c r="A49" s="2" t="str">
        <f>E電入力!C50&amp;"+25;"</f>
        <v>+25;</v>
      </c>
      <c r="B49" s="2" t="str">
        <f ca="1">"Beacon.Put(111,0,1"&amp;TEXT(E電入力!X50,"000000")&amp;");"</f>
        <v>Beacon.Put(111,0,1004630);</v>
      </c>
      <c r="C49" s="2" t="str">
        <f ca="1">"Beacon.Put(111,0,2"&amp;TEXT(E電入力!Y50,"000000")&amp;");"</f>
        <v>Beacon.Put(111,0,2005530);</v>
      </c>
      <c r="D49" s="2" t="str">
        <f ca="1">"Beacon.Put(111,0,3"&amp;TEXT(E電入力!Z50,"000000")&amp;");"</f>
        <v>Beacon.Put(111,0,3006030);</v>
      </c>
      <c r="E49" s="2" t="str">
        <f ca="1">"Beacon.Put(111,0,4"&amp;TEXT(E電入力!AA50,"000000")&amp;");"</f>
        <v>Beacon.Put(111,0,4000000);</v>
      </c>
      <c r="F49" s="2" t="str">
        <f ca="1">"Beacon.Put(111,0,5"&amp;TEXT(E電入力!AB50,"000000")&amp;");"</f>
        <v>Beacon.Put(111,0,5000560);</v>
      </c>
      <c r="G49" s="2" t="str">
        <f ca="1">"Beacon.Put(111,0,6"&amp;TEXT(E電入力!AC50,"000000")&amp;");"</f>
        <v>Beacon.Put(111,0,6000000);</v>
      </c>
      <c r="H49" s="2" t="str">
        <f ca="1">"Beacon.Put(112,0,1"&amp;TEXT(E電入力!AD50,"000000")&amp;");"</f>
        <v>Beacon.Put(112,0,1005130);</v>
      </c>
      <c r="I49" s="2" t="str">
        <f ca="1">"Beacon.Put(112,0,2"&amp;TEXT(E電入力!AE50,"000000")&amp;");"</f>
        <v>Beacon.Put(112,0,2005660);</v>
      </c>
      <c r="J49" s="2" t="str">
        <f ca="1">"Beacon.Put(112,0,3"&amp;TEXT(E電入力!AF50,"000000")&amp;");"</f>
        <v>Beacon.Put(112,0,3000160);</v>
      </c>
      <c r="K49" s="2" t="str">
        <f ca="1">"Beacon.Put(112,0,4"&amp;TEXT(E電入力!AG50,"000000")&amp;");"</f>
        <v>Beacon.Put(112,0,4000000);</v>
      </c>
      <c r="L49" s="2" t="str">
        <f ca="1">"Beacon.Put(112,0,5"&amp;TEXT(E電入力!AH50,"000000")&amp;");"</f>
        <v>Beacon.Put(112,0,5000000);</v>
      </c>
      <c r="M49" s="2" t="str">
        <f ca="1">"Beacon.Put(112,0,6"&amp;TEXT(E電入力!AI50,"000000")&amp;");"</f>
        <v>Beacon.Put(112,0,6000000);</v>
      </c>
      <c r="N49" s="12"/>
      <c r="O49" s="12"/>
      <c r="P49" s="12"/>
      <c r="Q49" s="12"/>
      <c r="R49" s="12"/>
      <c r="S49" s="12"/>
      <c r="T49" s="12"/>
      <c r="U49" s="12"/>
      <c r="V49" s="12"/>
      <c r="W49" s="12"/>
      <c r="X49" s="12"/>
      <c r="Y49" s="12"/>
      <c r="Z49" s="12"/>
      <c r="AA49" s="12"/>
      <c r="AB49" s="12"/>
      <c r="AC49" s="12"/>
      <c r="AD49" s="12"/>
      <c r="AE49" s="12"/>
      <c r="AF49" s="12"/>
      <c r="AG49" s="12"/>
      <c r="AH49" s="12"/>
      <c r="AI49" s="12"/>
      <c r="AJ49" s="12"/>
      <c r="AK49" s="12"/>
      <c r="AL49" s="12"/>
    </row>
    <row r="50" spans="1:38">
      <c r="A50" s="2" t="str">
        <f>E電入力!C51&amp;"+25;"</f>
        <v>+25;</v>
      </c>
      <c r="B50" s="2" t="str">
        <f ca="1">"Beacon.Put(111,0,1"&amp;TEXT(E電入力!X51,"000000")&amp;");"</f>
        <v>Beacon.Put(111,0,1005160);</v>
      </c>
      <c r="C50" s="2" t="str">
        <f ca="1">"Beacon.Put(111,0,2"&amp;TEXT(E電入力!Y51,"000000")&amp;");"</f>
        <v>Beacon.Put(111,0,2005530);</v>
      </c>
      <c r="D50" s="2" t="str">
        <f ca="1">"Beacon.Put(111,0,3"&amp;TEXT(E電入力!Z51,"000000")&amp;");"</f>
        <v>Beacon.Put(111,0,3006030);</v>
      </c>
      <c r="E50" s="2" t="str">
        <f ca="1">"Beacon.Put(111,0,4"&amp;TEXT(E電入力!AA51,"000000")&amp;");"</f>
        <v>Beacon.Put(111,0,4000000);</v>
      </c>
      <c r="F50" s="2" t="str">
        <f ca="1">"Beacon.Put(111,0,5"&amp;TEXT(E電入力!AB51,"000000")&amp;");"</f>
        <v>Beacon.Put(111,0,5000560);</v>
      </c>
      <c r="G50" s="2" t="str">
        <f ca="1">"Beacon.Put(111,0,6"&amp;TEXT(E電入力!AC51,"000000")&amp;");"</f>
        <v>Beacon.Put(111,0,6000000);</v>
      </c>
      <c r="H50" s="2" t="str">
        <f ca="1">"Beacon.Put(112,0,1"&amp;TEXT(E電入力!AD51,"000000")&amp;");"</f>
        <v>Beacon.Put(112,0,1005130);</v>
      </c>
      <c r="I50" s="2" t="str">
        <f ca="1">"Beacon.Put(112,0,2"&amp;TEXT(E電入力!AE51,"000000")&amp;");"</f>
        <v>Beacon.Put(112,0,2005660);</v>
      </c>
      <c r="J50" s="2" t="str">
        <f ca="1">"Beacon.Put(112,0,3"&amp;TEXT(E電入力!AF51,"000000")&amp;");"</f>
        <v>Beacon.Put(112,0,3000160);</v>
      </c>
      <c r="K50" s="2" t="str">
        <f ca="1">"Beacon.Put(112,0,4"&amp;TEXT(E電入力!AG51,"000000")&amp;");"</f>
        <v>Beacon.Put(112,0,4000000);</v>
      </c>
      <c r="L50" s="2" t="str">
        <f ca="1">"Beacon.Put(112,0,5"&amp;TEXT(E電入力!AH51,"000000")&amp;");"</f>
        <v>Beacon.Put(112,0,5000000);</v>
      </c>
      <c r="M50" s="2" t="str">
        <f ca="1">"Beacon.Put(112,0,6"&amp;TEXT(E電入力!AI51,"000000")&amp;");"</f>
        <v>Beacon.Put(112,0,6000000);</v>
      </c>
      <c r="N50" s="12"/>
      <c r="O50" s="12"/>
      <c r="P50" s="12"/>
      <c r="Q50" s="12"/>
      <c r="R50" s="12"/>
      <c r="S50" s="12"/>
      <c r="T50" s="12"/>
      <c r="U50" s="12"/>
      <c r="V50" s="12"/>
      <c r="W50" s="12"/>
      <c r="X50" s="12"/>
      <c r="Y50" s="12"/>
      <c r="Z50" s="12"/>
      <c r="AA50" s="12"/>
      <c r="AB50" s="12"/>
      <c r="AC50" s="12"/>
      <c r="AD50" s="12"/>
      <c r="AE50" s="12"/>
      <c r="AF50" s="12"/>
      <c r="AG50" s="12"/>
      <c r="AH50" s="12"/>
      <c r="AI50" s="12"/>
      <c r="AJ50" s="12"/>
      <c r="AK50" s="12"/>
      <c r="AL50" s="12"/>
    </row>
    <row r="51" spans="1:38">
      <c r="A51" s="2" t="str">
        <f>E電入力!C52&amp;"+25;"</f>
        <v>+25;</v>
      </c>
      <c r="B51" s="2" t="str">
        <f ca="1">"Beacon.Put(111,0,1"&amp;TEXT(E電入力!X52,"000000")&amp;");"</f>
        <v>Beacon.Put(111,0,1004630);</v>
      </c>
      <c r="C51" s="2" t="str">
        <f ca="1">"Beacon.Put(111,0,2"&amp;TEXT(E電入力!Y52,"000000")&amp;");"</f>
        <v>Beacon.Put(111,0,2005530);</v>
      </c>
      <c r="D51" s="2" t="str">
        <f ca="1">"Beacon.Put(111,0,3"&amp;TEXT(E電入力!Z52,"000000")&amp;");"</f>
        <v>Beacon.Put(111,0,3006030);</v>
      </c>
      <c r="E51" s="2" t="str">
        <f ca="1">"Beacon.Put(111,0,4"&amp;TEXT(E電入力!AA52,"000000")&amp;");"</f>
        <v>Beacon.Put(111,0,4000000);</v>
      </c>
      <c r="F51" s="2" t="str">
        <f ca="1">"Beacon.Put(111,0,5"&amp;TEXT(E電入力!AB52,"000000")&amp;");"</f>
        <v>Beacon.Put(111,0,5000560);</v>
      </c>
      <c r="G51" s="2" t="str">
        <f ca="1">"Beacon.Put(111,0,6"&amp;TEXT(E電入力!AC52,"000000")&amp;");"</f>
        <v>Beacon.Put(111,0,6000000);</v>
      </c>
      <c r="H51" s="2" t="str">
        <f ca="1">"Beacon.Put(112,0,1"&amp;TEXT(E電入力!AD52,"000000")&amp;");"</f>
        <v>Beacon.Put(112,0,1005130);</v>
      </c>
      <c r="I51" s="2" t="str">
        <f ca="1">"Beacon.Put(112,0,2"&amp;TEXT(E電入力!AE52,"000000")&amp;");"</f>
        <v>Beacon.Put(112,0,2005660);</v>
      </c>
      <c r="J51" s="2" t="str">
        <f ca="1">"Beacon.Put(112,0,3"&amp;TEXT(E電入力!AF52,"000000")&amp;");"</f>
        <v>Beacon.Put(112,0,3000160);</v>
      </c>
      <c r="K51" s="2" t="str">
        <f ca="1">"Beacon.Put(112,0,4"&amp;TEXT(E電入力!AG52,"000000")&amp;");"</f>
        <v>Beacon.Put(112,0,4000000);</v>
      </c>
      <c r="L51" s="2" t="str">
        <f ca="1">"Beacon.Put(112,0,5"&amp;TEXT(E電入力!AH52,"000000")&amp;");"</f>
        <v>Beacon.Put(112,0,5000000);</v>
      </c>
      <c r="M51" s="2" t="str">
        <f ca="1">"Beacon.Put(112,0,6"&amp;TEXT(E電入力!AI52,"000000")&amp;");"</f>
        <v>Beacon.Put(112,0,6000000);</v>
      </c>
      <c r="N51" s="12"/>
      <c r="O51" s="12"/>
      <c r="P51" s="12"/>
      <c r="Q51" s="12"/>
      <c r="R51" s="12"/>
      <c r="S51" s="12"/>
      <c r="T51" s="12"/>
      <c r="U51" s="12"/>
      <c r="V51" s="12"/>
      <c r="W51" s="12"/>
      <c r="X51" s="12"/>
      <c r="Y51" s="12"/>
      <c r="Z51" s="12"/>
      <c r="AA51" s="12"/>
      <c r="AB51" s="12"/>
      <c r="AC51" s="12"/>
      <c r="AD51" s="12"/>
      <c r="AE51" s="12"/>
      <c r="AF51" s="12"/>
      <c r="AG51" s="12"/>
      <c r="AH51" s="12"/>
      <c r="AI51" s="12"/>
      <c r="AJ51" s="12"/>
      <c r="AK51" s="12"/>
      <c r="AL51" s="12"/>
    </row>
    <row r="52" spans="1:38">
      <c r="A52" s="2" t="str">
        <f>E電入力!C53&amp;"+25;"</f>
        <v>+25;</v>
      </c>
      <c r="B52" s="2" t="str">
        <f ca="1">"Beacon.Put(111,0,1"&amp;TEXT(E電入力!X53,"000000")&amp;");"</f>
        <v>Beacon.Put(111,0,1005160);</v>
      </c>
      <c r="C52" s="2" t="str">
        <f ca="1">"Beacon.Put(111,0,2"&amp;TEXT(E電入力!Y53,"000000")&amp;");"</f>
        <v>Beacon.Put(111,0,2005530);</v>
      </c>
      <c r="D52" s="2" t="str">
        <f ca="1">"Beacon.Put(111,0,3"&amp;TEXT(E電入力!Z53,"000000")&amp;");"</f>
        <v>Beacon.Put(111,0,3006030);</v>
      </c>
      <c r="E52" s="2" t="str">
        <f ca="1">"Beacon.Put(111,0,4"&amp;TEXT(E電入力!AA53,"000000")&amp;");"</f>
        <v>Beacon.Put(111,0,4000000);</v>
      </c>
      <c r="F52" s="2" t="str">
        <f ca="1">"Beacon.Put(111,0,5"&amp;TEXT(E電入力!AB53,"000000")&amp;");"</f>
        <v>Beacon.Put(111,0,5000560);</v>
      </c>
      <c r="G52" s="2" t="str">
        <f ca="1">"Beacon.Put(111,0,6"&amp;TEXT(E電入力!AC53,"000000")&amp;");"</f>
        <v>Beacon.Put(111,0,6000000);</v>
      </c>
      <c r="H52" s="2" t="str">
        <f ca="1">"Beacon.Put(112,0,1"&amp;TEXT(E電入力!AD53,"000000")&amp;");"</f>
        <v>Beacon.Put(112,0,1005130);</v>
      </c>
      <c r="I52" s="2" t="str">
        <f ca="1">"Beacon.Put(112,0,2"&amp;TEXT(E電入力!AE53,"000000")&amp;");"</f>
        <v>Beacon.Put(112,0,2005660);</v>
      </c>
      <c r="J52" s="2" t="str">
        <f ca="1">"Beacon.Put(112,0,3"&amp;TEXT(E電入力!AF53,"000000")&amp;");"</f>
        <v>Beacon.Put(112,0,3000160);</v>
      </c>
      <c r="K52" s="2" t="str">
        <f ca="1">"Beacon.Put(112,0,4"&amp;TEXT(E電入力!AG53,"000000")&amp;");"</f>
        <v>Beacon.Put(112,0,4000000);</v>
      </c>
      <c r="L52" s="2" t="str">
        <f ca="1">"Beacon.Put(112,0,5"&amp;TEXT(E電入力!AH53,"000000")&amp;");"</f>
        <v>Beacon.Put(112,0,5000000);</v>
      </c>
      <c r="M52" s="2" t="str">
        <f ca="1">"Beacon.Put(112,0,6"&amp;TEXT(E電入力!AI53,"000000")&amp;");"</f>
        <v>Beacon.Put(112,0,6000000);</v>
      </c>
      <c r="N52" s="12"/>
      <c r="O52" s="12"/>
      <c r="P52" s="12"/>
      <c r="Q52" s="12"/>
      <c r="R52" s="12"/>
      <c r="S52" s="12"/>
      <c r="T52" s="12"/>
      <c r="U52" s="12"/>
      <c r="V52" s="12"/>
      <c r="W52" s="12"/>
      <c r="X52" s="12"/>
      <c r="Y52" s="12"/>
      <c r="Z52" s="12"/>
      <c r="AA52" s="12"/>
      <c r="AB52" s="12"/>
      <c r="AC52" s="12"/>
      <c r="AD52" s="12"/>
      <c r="AE52" s="12"/>
      <c r="AF52" s="12"/>
      <c r="AG52" s="12"/>
      <c r="AH52" s="12"/>
      <c r="AI52" s="12"/>
      <c r="AJ52" s="12"/>
      <c r="AK52" s="12"/>
      <c r="AL52" s="12"/>
    </row>
    <row r="53" spans="1:38">
      <c r="A53" s="2" t="str">
        <f>E電入力!C54&amp;"+25;"</f>
        <v>+25;</v>
      </c>
      <c r="B53" s="2" t="str">
        <f ca="1">"Beacon.Put(111,0,1"&amp;TEXT(E電入力!X54,"000000")&amp;");"</f>
        <v>Beacon.Put(111,0,1004630);</v>
      </c>
      <c r="C53" s="2" t="str">
        <f ca="1">"Beacon.Put(111,0,2"&amp;TEXT(E電入力!Y54,"000000")&amp;");"</f>
        <v>Beacon.Put(111,0,2005530);</v>
      </c>
      <c r="D53" s="2" t="str">
        <f ca="1">"Beacon.Put(111,0,3"&amp;TEXT(E電入力!Z54,"000000")&amp;");"</f>
        <v>Beacon.Put(111,0,3006030);</v>
      </c>
      <c r="E53" s="2" t="str">
        <f ca="1">"Beacon.Put(111,0,4"&amp;TEXT(E電入力!AA54,"000000")&amp;");"</f>
        <v>Beacon.Put(111,0,4000000);</v>
      </c>
      <c r="F53" s="2" t="str">
        <f ca="1">"Beacon.Put(111,0,5"&amp;TEXT(E電入力!AB54,"000000")&amp;");"</f>
        <v>Beacon.Put(111,0,5000560);</v>
      </c>
      <c r="G53" s="2" t="str">
        <f ca="1">"Beacon.Put(111,0,6"&amp;TEXT(E電入力!AC54,"000000")&amp;");"</f>
        <v>Beacon.Put(111,0,6000000);</v>
      </c>
      <c r="H53" s="2" t="str">
        <f ca="1">"Beacon.Put(112,0,1"&amp;TEXT(E電入力!AD54,"000000")&amp;");"</f>
        <v>Beacon.Put(112,0,1005130);</v>
      </c>
      <c r="I53" s="2" t="str">
        <f ca="1">"Beacon.Put(112,0,2"&amp;TEXT(E電入力!AE54,"000000")&amp;");"</f>
        <v>Beacon.Put(112,0,2005660);</v>
      </c>
      <c r="J53" s="2" t="str">
        <f ca="1">"Beacon.Put(112,0,3"&amp;TEXT(E電入力!AF54,"000000")&amp;");"</f>
        <v>Beacon.Put(112,0,3000160);</v>
      </c>
      <c r="K53" s="2" t="str">
        <f ca="1">"Beacon.Put(112,0,4"&amp;TEXT(E電入力!AG54,"000000")&amp;");"</f>
        <v>Beacon.Put(112,0,4000000);</v>
      </c>
      <c r="L53" s="2" t="str">
        <f ca="1">"Beacon.Put(112,0,5"&amp;TEXT(E電入力!AH54,"000000")&amp;");"</f>
        <v>Beacon.Put(112,0,5000000);</v>
      </c>
      <c r="M53" s="2" t="str">
        <f ca="1">"Beacon.Put(112,0,6"&amp;TEXT(E電入力!AI54,"000000")&amp;");"</f>
        <v>Beacon.Put(112,0,6000000);</v>
      </c>
      <c r="N53" s="12"/>
      <c r="O53" s="12"/>
      <c r="P53" s="12"/>
      <c r="Q53" s="12"/>
      <c r="R53" s="12"/>
      <c r="S53" s="12"/>
      <c r="T53" s="12"/>
      <c r="U53" s="12"/>
      <c r="V53" s="12"/>
      <c r="W53" s="12"/>
      <c r="X53" s="12"/>
      <c r="Y53" s="12"/>
      <c r="Z53" s="12"/>
      <c r="AA53" s="12"/>
      <c r="AB53" s="12"/>
      <c r="AC53" s="12"/>
      <c r="AD53" s="12"/>
      <c r="AE53" s="12"/>
      <c r="AF53" s="12"/>
      <c r="AG53" s="12"/>
      <c r="AH53" s="12"/>
      <c r="AI53" s="12"/>
      <c r="AJ53" s="12"/>
      <c r="AK53" s="12"/>
      <c r="AL53" s="12"/>
    </row>
    <row r="54" spans="1:38">
      <c r="A54" s="2" t="str">
        <f>E電入力!C55&amp;"+25;"</f>
        <v>+25;</v>
      </c>
      <c r="B54" s="2" t="str">
        <f ca="1">"Beacon.Put(111,0,1"&amp;TEXT(E電入力!X55,"000000")&amp;");"</f>
        <v>Beacon.Put(111,0,1005160);</v>
      </c>
      <c r="C54" s="2" t="str">
        <f ca="1">"Beacon.Put(111,0,2"&amp;TEXT(E電入力!Y55,"000000")&amp;");"</f>
        <v>Beacon.Put(111,0,2005530);</v>
      </c>
      <c r="D54" s="2" t="str">
        <f ca="1">"Beacon.Put(111,0,3"&amp;TEXT(E電入力!Z55,"000000")&amp;");"</f>
        <v>Beacon.Put(111,0,3006030);</v>
      </c>
      <c r="E54" s="2" t="str">
        <f ca="1">"Beacon.Put(111,0,4"&amp;TEXT(E電入力!AA55,"000000")&amp;");"</f>
        <v>Beacon.Put(111,0,4000000);</v>
      </c>
      <c r="F54" s="2" t="str">
        <f ca="1">"Beacon.Put(111,0,5"&amp;TEXT(E電入力!AB55,"000000")&amp;");"</f>
        <v>Beacon.Put(111,0,5000560);</v>
      </c>
      <c r="G54" s="2" t="str">
        <f ca="1">"Beacon.Put(111,0,6"&amp;TEXT(E電入力!AC55,"000000")&amp;");"</f>
        <v>Beacon.Put(111,0,6000000);</v>
      </c>
      <c r="H54" s="2" t="str">
        <f ca="1">"Beacon.Put(112,0,1"&amp;TEXT(E電入力!AD55,"000000")&amp;");"</f>
        <v>Beacon.Put(112,0,1005130);</v>
      </c>
      <c r="I54" s="2" t="str">
        <f ca="1">"Beacon.Put(112,0,2"&amp;TEXT(E電入力!AE55,"000000")&amp;");"</f>
        <v>Beacon.Put(112,0,2005660);</v>
      </c>
      <c r="J54" s="2" t="str">
        <f ca="1">"Beacon.Put(112,0,3"&amp;TEXT(E電入力!AF55,"000000")&amp;");"</f>
        <v>Beacon.Put(112,0,3000160);</v>
      </c>
      <c r="K54" s="2" t="str">
        <f ca="1">"Beacon.Put(112,0,4"&amp;TEXT(E電入力!AG55,"000000")&amp;");"</f>
        <v>Beacon.Put(112,0,4000000);</v>
      </c>
      <c r="L54" s="2" t="str">
        <f ca="1">"Beacon.Put(112,0,5"&amp;TEXT(E電入力!AH55,"000000")&amp;");"</f>
        <v>Beacon.Put(112,0,5000000);</v>
      </c>
      <c r="M54" s="2" t="str">
        <f ca="1">"Beacon.Put(112,0,6"&amp;TEXT(E電入力!AI55,"000000")&amp;");"</f>
        <v>Beacon.Put(112,0,6000000);</v>
      </c>
      <c r="N54" s="12"/>
      <c r="O54" s="12"/>
      <c r="P54" s="12"/>
      <c r="Q54" s="12"/>
      <c r="R54" s="12"/>
      <c r="S54" s="12"/>
      <c r="T54" s="12"/>
      <c r="U54" s="12"/>
      <c r="V54" s="12"/>
      <c r="W54" s="12"/>
      <c r="X54" s="12"/>
      <c r="Y54" s="12"/>
      <c r="Z54" s="12"/>
      <c r="AA54" s="12"/>
      <c r="AB54" s="12"/>
      <c r="AC54" s="12"/>
      <c r="AD54" s="12"/>
      <c r="AE54" s="12"/>
      <c r="AF54" s="12"/>
      <c r="AG54" s="12"/>
      <c r="AH54" s="12"/>
      <c r="AI54" s="12"/>
      <c r="AJ54" s="12"/>
      <c r="AK54" s="12"/>
      <c r="AL54" s="12"/>
    </row>
    <row r="55" spans="1:38">
      <c r="A55" s="2" t="str">
        <f>E電入力!C56&amp;"+25;"</f>
        <v>+25;</v>
      </c>
      <c r="B55" s="2" t="str">
        <f ca="1">"Beacon.Put(111,0,1"&amp;TEXT(E電入力!X56,"000000")&amp;");"</f>
        <v>Beacon.Put(111,0,1004630);</v>
      </c>
      <c r="C55" s="2" t="str">
        <f ca="1">"Beacon.Put(111,0,2"&amp;TEXT(E電入力!Y56,"000000")&amp;");"</f>
        <v>Beacon.Put(111,0,2005530);</v>
      </c>
      <c r="D55" s="2" t="str">
        <f ca="1">"Beacon.Put(111,0,3"&amp;TEXT(E電入力!Z56,"000000")&amp;");"</f>
        <v>Beacon.Put(111,0,3006030);</v>
      </c>
      <c r="E55" s="2" t="str">
        <f ca="1">"Beacon.Put(111,0,4"&amp;TEXT(E電入力!AA56,"000000")&amp;");"</f>
        <v>Beacon.Put(111,0,4000000);</v>
      </c>
      <c r="F55" s="2" t="str">
        <f ca="1">"Beacon.Put(111,0,5"&amp;TEXT(E電入力!AB56,"000000")&amp;");"</f>
        <v>Beacon.Put(111,0,5000560);</v>
      </c>
      <c r="G55" s="2" t="str">
        <f ca="1">"Beacon.Put(111,0,6"&amp;TEXT(E電入力!AC56,"000000")&amp;");"</f>
        <v>Beacon.Put(111,0,6000000);</v>
      </c>
      <c r="H55" s="2" t="str">
        <f ca="1">"Beacon.Put(112,0,1"&amp;TEXT(E電入力!AD56,"000000")&amp;");"</f>
        <v>Beacon.Put(112,0,1005130);</v>
      </c>
      <c r="I55" s="2" t="str">
        <f ca="1">"Beacon.Put(112,0,2"&amp;TEXT(E電入力!AE56,"000000")&amp;");"</f>
        <v>Beacon.Put(112,0,2005660);</v>
      </c>
      <c r="J55" s="2" t="str">
        <f ca="1">"Beacon.Put(112,0,3"&amp;TEXT(E電入力!AF56,"000000")&amp;");"</f>
        <v>Beacon.Put(112,0,3000160);</v>
      </c>
      <c r="K55" s="2" t="str">
        <f ca="1">"Beacon.Put(112,0,4"&amp;TEXT(E電入力!AG56,"000000")&amp;");"</f>
        <v>Beacon.Put(112,0,4000000);</v>
      </c>
      <c r="L55" s="2" t="str">
        <f ca="1">"Beacon.Put(112,0,5"&amp;TEXT(E電入力!AH56,"000000")&amp;");"</f>
        <v>Beacon.Put(112,0,5000000);</v>
      </c>
      <c r="M55" s="2" t="str">
        <f ca="1">"Beacon.Put(112,0,6"&amp;TEXT(E電入力!AI56,"000000")&amp;");"</f>
        <v>Beacon.Put(112,0,6000000);</v>
      </c>
      <c r="N55" s="12"/>
      <c r="O55" s="12"/>
      <c r="P55" s="12"/>
      <c r="Q55" s="12"/>
      <c r="R55" s="12"/>
      <c r="S55" s="12"/>
      <c r="T55" s="12"/>
      <c r="U55" s="12"/>
      <c r="V55" s="12"/>
      <c r="W55" s="12"/>
      <c r="X55" s="12"/>
      <c r="Y55" s="12"/>
      <c r="Z55" s="12"/>
      <c r="AA55" s="12"/>
      <c r="AB55" s="12"/>
      <c r="AC55" s="12"/>
      <c r="AD55" s="12"/>
      <c r="AE55" s="12"/>
      <c r="AF55" s="12"/>
      <c r="AG55" s="12"/>
      <c r="AH55" s="12"/>
      <c r="AI55" s="12"/>
      <c r="AJ55" s="12"/>
      <c r="AK55" s="12"/>
      <c r="AL55" s="12"/>
    </row>
    <row r="56" spans="1:38">
      <c r="A56" s="2" t="str">
        <f>E電入力!C57&amp;"+25;"</f>
        <v>+25;</v>
      </c>
      <c r="B56" s="2" t="str">
        <f ca="1">"Beacon.Put(111,0,1"&amp;TEXT(E電入力!X57,"000000")&amp;");"</f>
        <v>Beacon.Put(111,0,1005160);</v>
      </c>
      <c r="C56" s="2" t="str">
        <f ca="1">"Beacon.Put(111,0,2"&amp;TEXT(E電入力!Y57,"000000")&amp;");"</f>
        <v>Beacon.Put(111,0,2005530);</v>
      </c>
      <c r="D56" s="2" t="str">
        <f ca="1">"Beacon.Put(111,0,3"&amp;TEXT(E電入力!Z57,"000000")&amp;");"</f>
        <v>Beacon.Put(111,0,3006030);</v>
      </c>
      <c r="E56" s="2" t="str">
        <f ca="1">"Beacon.Put(111,0,4"&amp;TEXT(E電入力!AA57,"000000")&amp;");"</f>
        <v>Beacon.Put(111,0,4000000);</v>
      </c>
      <c r="F56" s="2" t="str">
        <f ca="1">"Beacon.Put(111,0,5"&amp;TEXT(E電入力!AB57,"000000")&amp;");"</f>
        <v>Beacon.Put(111,0,5000560);</v>
      </c>
      <c r="G56" s="2" t="str">
        <f ca="1">"Beacon.Put(111,0,6"&amp;TEXT(E電入力!AC57,"000000")&amp;");"</f>
        <v>Beacon.Put(111,0,6000000);</v>
      </c>
      <c r="H56" s="2" t="str">
        <f ca="1">"Beacon.Put(112,0,1"&amp;TEXT(E電入力!AD57,"000000")&amp;");"</f>
        <v>Beacon.Put(112,0,1005130);</v>
      </c>
      <c r="I56" s="2" t="str">
        <f ca="1">"Beacon.Put(112,0,2"&amp;TEXT(E電入力!AE57,"000000")&amp;");"</f>
        <v>Beacon.Put(112,0,2005660);</v>
      </c>
      <c r="J56" s="2" t="str">
        <f ca="1">"Beacon.Put(112,0,3"&amp;TEXT(E電入力!AF57,"000000")&amp;");"</f>
        <v>Beacon.Put(112,0,3000160);</v>
      </c>
      <c r="K56" s="2" t="str">
        <f ca="1">"Beacon.Put(112,0,4"&amp;TEXT(E電入力!AG57,"000000")&amp;");"</f>
        <v>Beacon.Put(112,0,4000000);</v>
      </c>
      <c r="L56" s="2" t="str">
        <f ca="1">"Beacon.Put(112,0,5"&amp;TEXT(E電入力!AH57,"000000")&amp;");"</f>
        <v>Beacon.Put(112,0,5000000);</v>
      </c>
      <c r="M56" s="2" t="str">
        <f ca="1">"Beacon.Put(112,0,6"&amp;TEXT(E電入力!AI57,"000000")&amp;");"</f>
        <v>Beacon.Put(112,0,6000000);</v>
      </c>
      <c r="N56" s="12"/>
      <c r="O56" s="12"/>
      <c r="P56" s="12"/>
      <c r="Q56" s="12"/>
      <c r="R56" s="12"/>
      <c r="S56" s="12"/>
      <c r="T56" s="12"/>
      <c r="U56" s="12"/>
      <c r="V56" s="12"/>
      <c r="W56" s="12"/>
      <c r="X56" s="12"/>
      <c r="Y56" s="12"/>
      <c r="Z56" s="12"/>
      <c r="AA56" s="12"/>
      <c r="AB56" s="12"/>
      <c r="AC56" s="12"/>
      <c r="AD56" s="12"/>
      <c r="AE56" s="12"/>
      <c r="AF56" s="12"/>
      <c r="AG56" s="12"/>
      <c r="AH56" s="12"/>
      <c r="AI56" s="12"/>
      <c r="AJ56" s="12"/>
      <c r="AK56" s="12"/>
      <c r="AL56" s="12"/>
    </row>
    <row r="57" spans="1:38">
      <c r="A57" s="2" t="str">
        <f>E電入力!C58&amp;"+25;"</f>
        <v>+25;</v>
      </c>
      <c r="B57" s="2" t="str">
        <f ca="1">"Beacon.Put(111,0,1"&amp;TEXT(E電入力!X58,"000000")&amp;");"</f>
        <v>Beacon.Put(111,0,1004630);</v>
      </c>
      <c r="C57" s="2" t="str">
        <f ca="1">"Beacon.Put(111,0,2"&amp;TEXT(E電入力!Y58,"000000")&amp;");"</f>
        <v>Beacon.Put(111,0,2005530);</v>
      </c>
      <c r="D57" s="2" t="str">
        <f ca="1">"Beacon.Put(111,0,3"&amp;TEXT(E電入力!Z58,"000000")&amp;");"</f>
        <v>Beacon.Put(111,0,3006030);</v>
      </c>
      <c r="E57" s="2" t="str">
        <f ca="1">"Beacon.Put(111,0,4"&amp;TEXT(E電入力!AA58,"000000")&amp;");"</f>
        <v>Beacon.Put(111,0,4000000);</v>
      </c>
      <c r="F57" s="2" t="str">
        <f ca="1">"Beacon.Put(111,0,5"&amp;TEXT(E電入力!AB58,"000000")&amp;");"</f>
        <v>Beacon.Put(111,0,5000560);</v>
      </c>
      <c r="G57" s="2" t="str">
        <f ca="1">"Beacon.Put(111,0,6"&amp;TEXT(E電入力!AC58,"000000")&amp;");"</f>
        <v>Beacon.Put(111,0,6000000);</v>
      </c>
      <c r="H57" s="2" t="str">
        <f ca="1">"Beacon.Put(112,0,1"&amp;TEXT(E電入力!AD58,"000000")&amp;");"</f>
        <v>Beacon.Put(112,0,1005130);</v>
      </c>
      <c r="I57" s="2" t="str">
        <f ca="1">"Beacon.Put(112,0,2"&amp;TEXT(E電入力!AE58,"000000")&amp;");"</f>
        <v>Beacon.Put(112,0,2005660);</v>
      </c>
      <c r="J57" s="2" t="str">
        <f ca="1">"Beacon.Put(112,0,3"&amp;TEXT(E電入力!AF58,"000000")&amp;");"</f>
        <v>Beacon.Put(112,0,3000160);</v>
      </c>
      <c r="K57" s="2" t="str">
        <f ca="1">"Beacon.Put(112,0,4"&amp;TEXT(E電入力!AG58,"000000")&amp;");"</f>
        <v>Beacon.Put(112,0,4000000);</v>
      </c>
      <c r="L57" s="2" t="str">
        <f ca="1">"Beacon.Put(112,0,5"&amp;TEXT(E電入力!AH58,"000000")&amp;");"</f>
        <v>Beacon.Put(112,0,5000000);</v>
      </c>
      <c r="M57" s="2" t="str">
        <f ca="1">"Beacon.Put(112,0,6"&amp;TEXT(E電入力!AI58,"000000")&amp;");"</f>
        <v>Beacon.Put(112,0,6000000);</v>
      </c>
      <c r="N57" s="12"/>
      <c r="O57" s="12"/>
      <c r="P57" s="12"/>
      <c r="Q57" s="12"/>
      <c r="R57" s="12"/>
      <c r="S57" s="12"/>
      <c r="T57" s="12"/>
      <c r="U57" s="12"/>
      <c r="V57" s="12"/>
      <c r="W57" s="12"/>
      <c r="X57" s="12"/>
      <c r="Y57" s="12"/>
      <c r="Z57" s="12"/>
      <c r="AA57" s="12"/>
      <c r="AB57" s="12"/>
      <c r="AC57" s="12"/>
      <c r="AD57" s="12"/>
      <c r="AE57" s="12"/>
      <c r="AF57" s="12"/>
      <c r="AG57" s="12"/>
      <c r="AH57" s="12"/>
      <c r="AI57" s="12"/>
      <c r="AJ57" s="12"/>
      <c r="AK57" s="12"/>
      <c r="AL57" s="12"/>
    </row>
    <row r="58" spans="1:38">
      <c r="A58" s="2" t="str">
        <f>E電入力!C59&amp;"+25;"</f>
        <v>+25;</v>
      </c>
      <c r="B58" s="2" t="str">
        <f ca="1">"Beacon.Put(111,0,1"&amp;TEXT(E電入力!X59,"000000")&amp;");"</f>
        <v>Beacon.Put(111,0,1005160);</v>
      </c>
      <c r="C58" s="2" t="str">
        <f ca="1">"Beacon.Put(111,0,2"&amp;TEXT(E電入力!Y59,"000000")&amp;");"</f>
        <v>Beacon.Put(111,0,2005530);</v>
      </c>
      <c r="D58" s="2" t="str">
        <f ca="1">"Beacon.Put(111,0,3"&amp;TEXT(E電入力!Z59,"000000")&amp;");"</f>
        <v>Beacon.Put(111,0,3006030);</v>
      </c>
      <c r="E58" s="2" t="str">
        <f ca="1">"Beacon.Put(111,0,4"&amp;TEXT(E電入力!AA59,"000000")&amp;");"</f>
        <v>Beacon.Put(111,0,4000000);</v>
      </c>
      <c r="F58" s="2" t="str">
        <f ca="1">"Beacon.Put(111,0,5"&amp;TEXT(E電入力!AB59,"000000")&amp;");"</f>
        <v>Beacon.Put(111,0,5000560);</v>
      </c>
      <c r="G58" s="2" t="str">
        <f ca="1">"Beacon.Put(111,0,6"&amp;TEXT(E電入力!AC59,"000000")&amp;");"</f>
        <v>Beacon.Put(111,0,6000000);</v>
      </c>
      <c r="H58" s="2" t="str">
        <f ca="1">"Beacon.Put(112,0,1"&amp;TEXT(E電入力!AD59,"000000")&amp;");"</f>
        <v>Beacon.Put(112,0,1005130);</v>
      </c>
      <c r="I58" s="2" t="str">
        <f ca="1">"Beacon.Put(112,0,2"&amp;TEXT(E電入力!AE59,"000000")&amp;");"</f>
        <v>Beacon.Put(112,0,2005660);</v>
      </c>
      <c r="J58" s="2" t="str">
        <f ca="1">"Beacon.Put(112,0,3"&amp;TEXT(E電入力!AF59,"000000")&amp;");"</f>
        <v>Beacon.Put(112,0,3000160);</v>
      </c>
      <c r="K58" s="2" t="str">
        <f ca="1">"Beacon.Put(112,0,4"&amp;TEXT(E電入力!AG59,"000000")&amp;");"</f>
        <v>Beacon.Put(112,0,4000000);</v>
      </c>
      <c r="L58" s="2" t="str">
        <f ca="1">"Beacon.Put(112,0,5"&amp;TEXT(E電入力!AH59,"000000")&amp;");"</f>
        <v>Beacon.Put(112,0,5000000);</v>
      </c>
      <c r="M58" s="2" t="str">
        <f ca="1">"Beacon.Put(112,0,6"&amp;TEXT(E電入力!AI59,"000000")&amp;");"</f>
        <v>Beacon.Put(112,0,6000000);</v>
      </c>
      <c r="N58" s="12"/>
      <c r="O58" s="12"/>
      <c r="P58" s="12"/>
      <c r="Q58" s="12"/>
      <c r="R58" s="12"/>
      <c r="S58" s="12"/>
      <c r="T58" s="12"/>
      <c r="U58" s="12"/>
      <c r="V58" s="12"/>
      <c r="W58" s="12"/>
      <c r="X58" s="12"/>
      <c r="Y58" s="12"/>
      <c r="Z58" s="12"/>
      <c r="AA58" s="12"/>
      <c r="AB58" s="12"/>
      <c r="AC58" s="12"/>
      <c r="AD58" s="12"/>
      <c r="AE58" s="12"/>
      <c r="AF58" s="12"/>
      <c r="AG58" s="12"/>
      <c r="AH58" s="12"/>
      <c r="AI58" s="12"/>
      <c r="AJ58" s="12"/>
      <c r="AK58" s="12"/>
      <c r="AL58" s="12"/>
    </row>
    <row r="59" spans="1:38">
      <c r="A59" s="2" t="str">
        <f>E電入力!C60&amp;"+25;"</f>
        <v>+25;</v>
      </c>
      <c r="B59" s="2" t="str">
        <f ca="1">"Beacon.Put(111,0,1"&amp;TEXT(E電入力!X60,"000000")&amp;");"</f>
        <v>Beacon.Put(111,0,1004630);</v>
      </c>
      <c r="C59" s="2" t="str">
        <f ca="1">"Beacon.Put(111,0,2"&amp;TEXT(E電入力!Y60,"000000")&amp;");"</f>
        <v>Beacon.Put(111,0,2005530);</v>
      </c>
      <c r="D59" s="2" t="str">
        <f ca="1">"Beacon.Put(111,0,3"&amp;TEXT(E電入力!Z60,"000000")&amp;");"</f>
        <v>Beacon.Put(111,0,3006030);</v>
      </c>
      <c r="E59" s="2" t="str">
        <f ca="1">"Beacon.Put(111,0,4"&amp;TEXT(E電入力!AA60,"000000")&amp;");"</f>
        <v>Beacon.Put(111,0,4000000);</v>
      </c>
      <c r="F59" s="2" t="str">
        <f ca="1">"Beacon.Put(111,0,5"&amp;TEXT(E電入力!AB60,"000000")&amp;");"</f>
        <v>Beacon.Put(111,0,5000560);</v>
      </c>
      <c r="G59" s="2" t="str">
        <f ca="1">"Beacon.Put(111,0,6"&amp;TEXT(E電入力!AC60,"000000")&amp;");"</f>
        <v>Beacon.Put(111,0,6000000);</v>
      </c>
      <c r="H59" s="2" t="str">
        <f ca="1">"Beacon.Put(112,0,1"&amp;TEXT(E電入力!AD60,"000000")&amp;");"</f>
        <v>Beacon.Put(112,0,1005130);</v>
      </c>
      <c r="I59" s="2" t="str">
        <f ca="1">"Beacon.Put(112,0,2"&amp;TEXT(E電入力!AE60,"000000")&amp;");"</f>
        <v>Beacon.Put(112,0,2005660);</v>
      </c>
      <c r="J59" s="2" t="str">
        <f ca="1">"Beacon.Put(112,0,3"&amp;TEXT(E電入力!AF60,"000000")&amp;");"</f>
        <v>Beacon.Put(112,0,3000160);</v>
      </c>
      <c r="K59" s="2" t="str">
        <f ca="1">"Beacon.Put(112,0,4"&amp;TEXT(E電入力!AG60,"000000")&amp;");"</f>
        <v>Beacon.Put(112,0,4000000);</v>
      </c>
      <c r="L59" s="2" t="str">
        <f ca="1">"Beacon.Put(112,0,5"&amp;TEXT(E電入力!AH60,"000000")&amp;");"</f>
        <v>Beacon.Put(112,0,5000000);</v>
      </c>
      <c r="M59" s="2" t="str">
        <f ca="1">"Beacon.Put(112,0,6"&amp;TEXT(E電入力!AI60,"000000")&amp;");"</f>
        <v>Beacon.Put(112,0,6000000);</v>
      </c>
      <c r="N59" s="12"/>
      <c r="O59" s="12"/>
      <c r="P59" s="12"/>
      <c r="Q59" s="12"/>
      <c r="R59" s="12"/>
      <c r="S59" s="12"/>
      <c r="T59" s="12"/>
      <c r="U59" s="12"/>
      <c r="V59" s="12"/>
      <c r="W59" s="12"/>
      <c r="X59" s="12"/>
      <c r="Y59" s="12"/>
      <c r="Z59" s="12"/>
      <c r="AA59" s="12"/>
      <c r="AB59" s="12"/>
      <c r="AC59" s="12"/>
      <c r="AD59" s="12"/>
      <c r="AE59" s="12"/>
      <c r="AF59" s="12"/>
      <c r="AG59" s="12"/>
      <c r="AH59" s="12"/>
      <c r="AI59" s="12"/>
      <c r="AJ59" s="12"/>
      <c r="AK59" s="12"/>
      <c r="AL59" s="12"/>
    </row>
    <row r="60" spans="1:38">
      <c r="A60" s="2" t="str">
        <f>E電入力!C61&amp;"+25;"</f>
        <v>+25;</v>
      </c>
      <c r="B60" s="2" t="str">
        <f ca="1">"Beacon.Put(111,0,1"&amp;TEXT(E電入力!X61,"000000")&amp;");"</f>
        <v>Beacon.Put(111,0,1005160);</v>
      </c>
      <c r="C60" s="2" t="str">
        <f ca="1">"Beacon.Put(111,0,2"&amp;TEXT(E電入力!Y61,"000000")&amp;");"</f>
        <v>Beacon.Put(111,0,2005530);</v>
      </c>
      <c r="D60" s="2" t="str">
        <f ca="1">"Beacon.Put(111,0,3"&amp;TEXT(E電入力!Z61,"000000")&amp;");"</f>
        <v>Beacon.Put(111,0,3006030);</v>
      </c>
      <c r="E60" s="2" t="str">
        <f ca="1">"Beacon.Put(111,0,4"&amp;TEXT(E電入力!AA61,"000000")&amp;");"</f>
        <v>Beacon.Put(111,0,4000000);</v>
      </c>
      <c r="F60" s="2" t="str">
        <f ca="1">"Beacon.Put(111,0,5"&amp;TEXT(E電入力!AB61,"000000")&amp;");"</f>
        <v>Beacon.Put(111,0,5000560);</v>
      </c>
      <c r="G60" s="2" t="str">
        <f ca="1">"Beacon.Put(111,0,6"&amp;TEXT(E電入力!AC61,"000000")&amp;");"</f>
        <v>Beacon.Put(111,0,6000000);</v>
      </c>
      <c r="H60" s="2" t="str">
        <f ca="1">"Beacon.Put(112,0,1"&amp;TEXT(E電入力!AD61,"000000")&amp;");"</f>
        <v>Beacon.Put(112,0,1005130);</v>
      </c>
      <c r="I60" s="2" t="str">
        <f ca="1">"Beacon.Put(112,0,2"&amp;TEXT(E電入力!AE61,"000000")&amp;");"</f>
        <v>Beacon.Put(112,0,2005660);</v>
      </c>
      <c r="J60" s="2" t="str">
        <f ca="1">"Beacon.Put(112,0,3"&amp;TEXT(E電入力!AF61,"000000")&amp;");"</f>
        <v>Beacon.Put(112,0,3000160);</v>
      </c>
      <c r="K60" s="2" t="str">
        <f ca="1">"Beacon.Put(112,0,4"&amp;TEXT(E電入力!AG61,"000000")&amp;");"</f>
        <v>Beacon.Put(112,0,4000000);</v>
      </c>
      <c r="L60" s="2" t="str">
        <f ca="1">"Beacon.Put(112,0,5"&amp;TEXT(E電入力!AH61,"000000")&amp;");"</f>
        <v>Beacon.Put(112,0,5000000);</v>
      </c>
      <c r="M60" s="2" t="str">
        <f ca="1">"Beacon.Put(112,0,6"&amp;TEXT(E電入力!AI61,"000000")&amp;");"</f>
        <v>Beacon.Put(112,0,6000000);</v>
      </c>
      <c r="N60" s="12"/>
      <c r="O60" s="12"/>
      <c r="P60" s="12"/>
      <c r="Q60" s="12"/>
      <c r="R60" s="12"/>
      <c r="S60" s="12"/>
      <c r="T60" s="12"/>
      <c r="U60" s="12"/>
      <c r="V60" s="12"/>
      <c r="W60" s="12"/>
      <c r="X60" s="12"/>
      <c r="Y60" s="12"/>
      <c r="Z60" s="12"/>
      <c r="AA60" s="12"/>
      <c r="AB60" s="12"/>
      <c r="AC60" s="12"/>
      <c r="AD60" s="12"/>
      <c r="AE60" s="12"/>
      <c r="AF60" s="12"/>
      <c r="AG60" s="12"/>
      <c r="AH60" s="12"/>
      <c r="AI60" s="12"/>
      <c r="AJ60" s="12"/>
      <c r="AK60" s="12"/>
      <c r="AL60" s="12"/>
    </row>
    <row r="61" spans="1:38">
      <c r="A61" s="2" t="str">
        <f>E電入力!C62&amp;"+25;"</f>
        <v>+25;</v>
      </c>
      <c r="B61" s="2" t="str">
        <f ca="1">"Beacon.Put(111,0,1"&amp;TEXT(E電入力!X62,"000000")&amp;");"</f>
        <v>Beacon.Put(111,0,1004630);</v>
      </c>
      <c r="C61" s="2" t="str">
        <f ca="1">"Beacon.Put(111,0,2"&amp;TEXT(E電入力!Y62,"000000")&amp;");"</f>
        <v>Beacon.Put(111,0,2005530);</v>
      </c>
      <c r="D61" s="2" t="str">
        <f ca="1">"Beacon.Put(111,0,3"&amp;TEXT(E電入力!Z62,"000000")&amp;");"</f>
        <v>Beacon.Put(111,0,3006030);</v>
      </c>
      <c r="E61" s="2" t="str">
        <f ca="1">"Beacon.Put(111,0,4"&amp;TEXT(E電入力!AA62,"000000")&amp;");"</f>
        <v>Beacon.Put(111,0,4000000);</v>
      </c>
      <c r="F61" s="2" t="str">
        <f ca="1">"Beacon.Put(111,0,5"&amp;TEXT(E電入力!AB62,"000000")&amp;");"</f>
        <v>Beacon.Put(111,0,5000560);</v>
      </c>
      <c r="G61" s="2" t="str">
        <f ca="1">"Beacon.Put(111,0,6"&amp;TEXT(E電入力!AC62,"000000")&amp;");"</f>
        <v>Beacon.Put(111,0,6000000);</v>
      </c>
      <c r="H61" s="2" t="str">
        <f ca="1">"Beacon.Put(112,0,1"&amp;TEXT(E電入力!AD62,"000000")&amp;");"</f>
        <v>Beacon.Put(112,0,1005130);</v>
      </c>
      <c r="I61" s="2" t="str">
        <f ca="1">"Beacon.Put(112,0,2"&amp;TEXT(E電入力!AE62,"000000")&amp;");"</f>
        <v>Beacon.Put(112,0,2005660);</v>
      </c>
      <c r="J61" s="2" t="str">
        <f ca="1">"Beacon.Put(112,0,3"&amp;TEXT(E電入力!AF62,"000000")&amp;");"</f>
        <v>Beacon.Put(112,0,3000160);</v>
      </c>
      <c r="K61" s="2" t="str">
        <f ca="1">"Beacon.Put(112,0,4"&amp;TEXT(E電入力!AG62,"000000")&amp;");"</f>
        <v>Beacon.Put(112,0,4000000);</v>
      </c>
      <c r="L61" s="2" t="str">
        <f ca="1">"Beacon.Put(112,0,5"&amp;TEXT(E電入力!AH62,"000000")&amp;");"</f>
        <v>Beacon.Put(112,0,5000000);</v>
      </c>
      <c r="M61" s="2" t="str">
        <f ca="1">"Beacon.Put(112,0,6"&amp;TEXT(E電入力!AI62,"000000")&amp;");"</f>
        <v>Beacon.Put(112,0,6000000);</v>
      </c>
      <c r="N61" s="12"/>
      <c r="O61" s="12"/>
      <c r="P61" s="12"/>
      <c r="Q61" s="12"/>
      <c r="R61" s="12"/>
      <c r="S61" s="12"/>
      <c r="T61" s="12"/>
      <c r="U61" s="12"/>
      <c r="V61" s="12"/>
      <c r="W61" s="12"/>
      <c r="X61" s="12"/>
      <c r="Y61" s="12"/>
      <c r="Z61" s="12"/>
      <c r="AA61" s="12"/>
      <c r="AB61" s="12"/>
      <c r="AC61" s="12"/>
      <c r="AD61" s="12"/>
      <c r="AE61" s="12"/>
      <c r="AF61" s="12"/>
      <c r="AG61" s="12"/>
      <c r="AH61" s="12"/>
      <c r="AI61" s="12"/>
      <c r="AJ61" s="12"/>
      <c r="AK61" s="12"/>
      <c r="AL61" s="12"/>
    </row>
    <row r="62" spans="1:38">
      <c r="A62" s="2" t="str">
        <f>E電入力!C63&amp;"+25;"</f>
        <v>+25;</v>
      </c>
      <c r="B62" s="2" t="str">
        <f ca="1">"Beacon.Put(111,0,1"&amp;TEXT(E電入力!X63,"000000")&amp;");"</f>
        <v>Beacon.Put(111,0,1005160);</v>
      </c>
      <c r="C62" s="2" t="str">
        <f ca="1">"Beacon.Put(111,0,2"&amp;TEXT(E電入力!Y63,"000000")&amp;");"</f>
        <v>Beacon.Put(111,0,2005530);</v>
      </c>
      <c r="D62" s="2" t="str">
        <f ca="1">"Beacon.Put(111,0,3"&amp;TEXT(E電入力!Z63,"000000")&amp;");"</f>
        <v>Beacon.Put(111,0,3006030);</v>
      </c>
      <c r="E62" s="2" t="str">
        <f ca="1">"Beacon.Put(111,0,4"&amp;TEXT(E電入力!AA63,"000000")&amp;");"</f>
        <v>Beacon.Put(111,0,4000000);</v>
      </c>
      <c r="F62" s="2" t="str">
        <f ca="1">"Beacon.Put(111,0,5"&amp;TEXT(E電入力!AB63,"000000")&amp;");"</f>
        <v>Beacon.Put(111,0,5000560);</v>
      </c>
      <c r="G62" s="2" t="str">
        <f ca="1">"Beacon.Put(111,0,6"&amp;TEXT(E電入力!AC63,"000000")&amp;");"</f>
        <v>Beacon.Put(111,0,6000000);</v>
      </c>
      <c r="H62" s="2" t="str">
        <f ca="1">"Beacon.Put(112,0,1"&amp;TEXT(E電入力!AD63,"000000")&amp;");"</f>
        <v>Beacon.Put(112,0,1005130);</v>
      </c>
      <c r="I62" s="2" t="str">
        <f ca="1">"Beacon.Put(112,0,2"&amp;TEXT(E電入力!AE63,"000000")&amp;");"</f>
        <v>Beacon.Put(112,0,2005660);</v>
      </c>
      <c r="J62" s="2" t="str">
        <f ca="1">"Beacon.Put(112,0,3"&amp;TEXT(E電入力!AF63,"000000")&amp;");"</f>
        <v>Beacon.Put(112,0,3000160);</v>
      </c>
      <c r="K62" s="2" t="str">
        <f ca="1">"Beacon.Put(112,0,4"&amp;TEXT(E電入力!AG63,"000000")&amp;");"</f>
        <v>Beacon.Put(112,0,4000000);</v>
      </c>
      <c r="L62" s="2" t="str">
        <f ca="1">"Beacon.Put(112,0,5"&amp;TEXT(E電入力!AH63,"000000")&amp;");"</f>
        <v>Beacon.Put(112,0,5000000);</v>
      </c>
      <c r="M62" s="2" t="str">
        <f ca="1">"Beacon.Put(112,0,6"&amp;TEXT(E電入力!AI63,"000000")&amp;");"</f>
        <v>Beacon.Put(112,0,6000000);</v>
      </c>
      <c r="N62" s="12"/>
      <c r="O62" s="12"/>
      <c r="P62" s="12"/>
      <c r="Q62" s="12"/>
      <c r="R62" s="12"/>
      <c r="S62" s="12"/>
      <c r="T62" s="12"/>
      <c r="U62" s="12"/>
      <c r="V62" s="12"/>
      <c r="W62" s="12"/>
      <c r="X62" s="12"/>
      <c r="Y62" s="12"/>
      <c r="Z62" s="12"/>
      <c r="AA62" s="12"/>
      <c r="AB62" s="12"/>
      <c r="AC62" s="12"/>
      <c r="AD62" s="12"/>
      <c r="AE62" s="12"/>
      <c r="AF62" s="12"/>
      <c r="AG62" s="12"/>
      <c r="AH62" s="12"/>
      <c r="AI62" s="12"/>
      <c r="AJ62" s="12"/>
      <c r="AK62" s="12"/>
      <c r="AL62" s="12"/>
    </row>
    <row r="63" spans="1:38">
      <c r="A63" s="2" t="str">
        <f>E電入力!C64&amp;"+25;"</f>
        <v>+25;</v>
      </c>
      <c r="B63" s="2" t="str">
        <f ca="1">"Beacon.Put(111,0,1"&amp;TEXT(E電入力!X64,"000000")&amp;");"</f>
        <v>Beacon.Put(111,0,1004630);</v>
      </c>
      <c r="C63" s="2" t="str">
        <f ca="1">"Beacon.Put(111,0,2"&amp;TEXT(E電入力!Y64,"000000")&amp;");"</f>
        <v>Beacon.Put(111,0,2005530);</v>
      </c>
      <c r="D63" s="2" t="str">
        <f ca="1">"Beacon.Put(111,0,3"&amp;TEXT(E電入力!Z64,"000000")&amp;");"</f>
        <v>Beacon.Put(111,0,3006030);</v>
      </c>
      <c r="E63" s="2" t="str">
        <f ca="1">"Beacon.Put(111,0,4"&amp;TEXT(E電入力!AA64,"000000")&amp;");"</f>
        <v>Beacon.Put(111,0,4000000);</v>
      </c>
      <c r="F63" s="2" t="str">
        <f ca="1">"Beacon.Put(111,0,5"&amp;TEXT(E電入力!AB64,"000000")&amp;");"</f>
        <v>Beacon.Put(111,0,5000560);</v>
      </c>
      <c r="G63" s="2" t="str">
        <f ca="1">"Beacon.Put(111,0,6"&amp;TEXT(E電入力!AC64,"000000")&amp;");"</f>
        <v>Beacon.Put(111,0,6000000);</v>
      </c>
      <c r="H63" s="2" t="str">
        <f ca="1">"Beacon.Put(112,0,1"&amp;TEXT(E電入力!AD64,"000000")&amp;");"</f>
        <v>Beacon.Put(112,0,1005130);</v>
      </c>
      <c r="I63" s="2" t="str">
        <f ca="1">"Beacon.Put(112,0,2"&amp;TEXT(E電入力!AE64,"000000")&amp;");"</f>
        <v>Beacon.Put(112,0,2005660);</v>
      </c>
      <c r="J63" s="2" t="str">
        <f ca="1">"Beacon.Put(112,0,3"&amp;TEXT(E電入力!AF64,"000000")&amp;");"</f>
        <v>Beacon.Put(112,0,3000160);</v>
      </c>
      <c r="K63" s="2" t="str">
        <f ca="1">"Beacon.Put(112,0,4"&amp;TEXT(E電入力!AG64,"000000")&amp;");"</f>
        <v>Beacon.Put(112,0,4000000);</v>
      </c>
      <c r="L63" s="2" t="str">
        <f ca="1">"Beacon.Put(112,0,5"&amp;TEXT(E電入力!AH64,"000000")&amp;");"</f>
        <v>Beacon.Put(112,0,5000000);</v>
      </c>
      <c r="M63" s="2" t="str">
        <f ca="1">"Beacon.Put(112,0,6"&amp;TEXT(E電入力!AI64,"000000")&amp;");"</f>
        <v>Beacon.Put(112,0,6000000);</v>
      </c>
      <c r="N63" s="12"/>
      <c r="O63" s="12"/>
      <c r="P63" s="12"/>
      <c r="Q63" s="12"/>
      <c r="R63" s="12"/>
      <c r="S63" s="12"/>
      <c r="T63" s="12"/>
      <c r="U63" s="12"/>
      <c r="V63" s="12"/>
      <c r="W63" s="12"/>
      <c r="X63" s="12"/>
      <c r="Y63" s="12"/>
      <c r="Z63" s="12"/>
      <c r="AA63" s="12"/>
      <c r="AB63" s="12"/>
      <c r="AC63" s="12"/>
      <c r="AD63" s="12"/>
      <c r="AE63" s="12"/>
      <c r="AF63" s="12"/>
      <c r="AG63" s="12"/>
      <c r="AH63" s="12"/>
      <c r="AI63" s="12"/>
      <c r="AJ63" s="12"/>
      <c r="AK63" s="12"/>
      <c r="AL63" s="12"/>
    </row>
    <row r="64" spans="1:38">
      <c r="A64" s="2" t="str">
        <f>E電入力!C65&amp;"+25;"</f>
        <v>+25;</v>
      </c>
      <c r="B64" s="2" t="str">
        <f ca="1">"Beacon.Put(111,0,1"&amp;TEXT(E電入力!X65,"000000")&amp;");"</f>
        <v>Beacon.Put(111,0,1005160);</v>
      </c>
      <c r="C64" s="2" t="str">
        <f ca="1">"Beacon.Put(111,0,2"&amp;TEXT(E電入力!Y65,"000000")&amp;");"</f>
        <v>Beacon.Put(111,0,2005530);</v>
      </c>
      <c r="D64" s="2" t="str">
        <f ca="1">"Beacon.Put(111,0,3"&amp;TEXT(E電入力!Z65,"000000")&amp;");"</f>
        <v>Beacon.Put(111,0,3006030);</v>
      </c>
      <c r="E64" s="2" t="str">
        <f ca="1">"Beacon.Put(111,0,4"&amp;TEXT(E電入力!AA65,"000000")&amp;");"</f>
        <v>Beacon.Put(111,0,4000000);</v>
      </c>
      <c r="F64" s="2" t="str">
        <f ca="1">"Beacon.Put(111,0,5"&amp;TEXT(E電入力!AB65,"000000")&amp;");"</f>
        <v>Beacon.Put(111,0,5000560);</v>
      </c>
      <c r="G64" s="2" t="str">
        <f ca="1">"Beacon.Put(111,0,6"&amp;TEXT(E電入力!AC65,"000000")&amp;");"</f>
        <v>Beacon.Put(111,0,6000000);</v>
      </c>
      <c r="H64" s="2" t="str">
        <f ca="1">"Beacon.Put(112,0,1"&amp;TEXT(E電入力!AD65,"000000")&amp;");"</f>
        <v>Beacon.Put(112,0,1005130);</v>
      </c>
      <c r="I64" s="2" t="str">
        <f ca="1">"Beacon.Put(112,0,2"&amp;TEXT(E電入力!AE65,"000000")&amp;");"</f>
        <v>Beacon.Put(112,0,2005660);</v>
      </c>
      <c r="J64" s="2" t="str">
        <f ca="1">"Beacon.Put(112,0,3"&amp;TEXT(E電入力!AF65,"000000")&amp;");"</f>
        <v>Beacon.Put(112,0,3000160);</v>
      </c>
      <c r="K64" s="2" t="str">
        <f ca="1">"Beacon.Put(112,0,4"&amp;TEXT(E電入力!AG65,"000000")&amp;");"</f>
        <v>Beacon.Put(112,0,4000000);</v>
      </c>
      <c r="L64" s="2" t="str">
        <f ca="1">"Beacon.Put(112,0,5"&amp;TEXT(E電入力!AH65,"000000")&amp;");"</f>
        <v>Beacon.Put(112,0,5000000);</v>
      </c>
      <c r="M64" s="2" t="str">
        <f ca="1">"Beacon.Put(112,0,6"&amp;TEXT(E電入力!AI65,"000000")&amp;");"</f>
        <v>Beacon.Put(112,0,6000000);</v>
      </c>
      <c r="N64" s="12"/>
      <c r="O64" s="12"/>
      <c r="P64" s="12"/>
      <c r="Q64" s="12"/>
      <c r="R64" s="12"/>
      <c r="S64" s="12"/>
      <c r="T64" s="12"/>
      <c r="U64" s="12"/>
      <c r="V64" s="12"/>
      <c r="W64" s="12"/>
      <c r="X64" s="12"/>
      <c r="Y64" s="12"/>
      <c r="Z64" s="12"/>
      <c r="AA64" s="12"/>
      <c r="AB64" s="12"/>
      <c r="AC64" s="12"/>
      <c r="AD64" s="12"/>
      <c r="AE64" s="12"/>
      <c r="AF64" s="12"/>
      <c r="AG64" s="12"/>
      <c r="AH64" s="12"/>
      <c r="AI64" s="12"/>
      <c r="AJ64" s="12"/>
      <c r="AK64" s="12"/>
      <c r="AL64" s="12"/>
    </row>
    <row r="65" spans="1:38">
      <c r="A65" s="2" t="str">
        <f>E電入力!C66&amp;"+25;"</f>
        <v>+25;</v>
      </c>
      <c r="B65" s="2" t="str">
        <f ca="1">"Beacon.Put(111,0,1"&amp;TEXT(E電入力!X66,"000000")&amp;");"</f>
        <v>Beacon.Put(111,0,1004630);</v>
      </c>
      <c r="C65" s="2" t="str">
        <f ca="1">"Beacon.Put(111,0,2"&amp;TEXT(E電入力!Y66,"000000")&amp;");"</f>
        <v>Beacon.Put(111,0,2005530);</v>
      </c>
      <c r="D65" s="2" t="str">
        <f ca="1">"Beacon.Put(111,0,3"&amp;TEXT(E電入力!Z66,"000000")&amp;");"</f>
        <v>Beacon.Put(111,0,3006030);</v>
      </c>
      <c r="E65" s="2" t="str">
        <f ca="1">"Beacon.Put(111,0,4"&amp;TEXT(E電入力!AA66,"000000")&amp;");"</f>
        <v>Beacon.Put(111,0,4000000);</v>
      </c>
      <c r="F65" s="2" t="str">
        <f ca="1">"Beacon.Put(111,0,5"&amp;TEXT(E電入力!AB66,"000000")&amp;");"</f>
        <v>Beacon.Put(111,0,5000560);</v>
      </c>
      <c r="G65" s="2" t="str">
        <f ca="1">"Beacon.Put(111,0,6"&amp;TEXT(E電入力!AC66,"000000")&amp;");"</f>
        <v>Beacon.Put(111,0,6000000);</v>
      </c>
      <c r="H65" s="2" t="str">
        <f ca="1">"Beacon.Put(112,0,1"&amp;TEXT(E電入力!AD66,"000000")&amp;");"</f>
        <v>Beacon.Put(112,0,1005130);</v>
      </c>
      <c r="I65" s="2" t="str">
        <f ca="1">"Beacon.Put(112,0,2"&amp;TEXT(E電入力!AE66,"000000")&amp;");"</f>
        <v>Beacon.Put(112,0,2005660);</v>
      </c>
      <c r="J65" s="2" t="str">
        <f ca="1">"Beacon.Put(112,0,3"&amp;TEXT(E電入力!AF66,"000000")&amp;");"</f>
        <v>Beacon.Put(112,0,3000160);</v>
      </c>
      <c r="K65" s="2" t="str">
        <f ca="1">"Beacon.Put(112,0,4"&amp;TEXT(E電入力!AG66,"000000")&amp;");"</f>
        <v>Beacon.Put(112,0,4000000);</v>
      </c>
      <c r="L65" s="2" t="str">
        <f ca="1">"Beacon.Put(112,0,5"&amp;TEXT(E電入力!AH66,"000000")&amp;");"</f>
        <v>Beacon.Put(112,0,5000000);</v>
      </c>
      <c r="M65" s="2" t="str">
        <f ca="1">"Beacon.Put(112,0,6"&amp;TEXT(E電入力!AI66,"000000")&amp;");"</f>
        <v>Beacon.Put(112,0,6000000);</v>
      </c>
      <c r="N65" s="12"/>
      <c r="O65" s="12"/>
      <c r="P65" s="12"/>
      <c r="Q65" s="12"/>
      <c r="R65" s="12"/>
      <c r="S65" s="12"/>
      <c r="T65" s="12"/>
      <c r="U65" s="12"/>
      <c r="V65" s="12"/>
      <c r="W65" s="12"/>
      <c r="X65" s="12"/>
      <c r="Y65" s="12"/>
      <c r="Z65" s="12"/>
      <c r="AA65" s="12"/>
      <c r="AB65" s="12"/>
      <c r="AC65" s="12"/>
      <c r="AD65" s="12"/>
      <c r="AE65" s="12"/>
      <c r="AF65" s="12"/>
      <c r="AG65" s="12"/>
      <c r="AH65" s="12"/>
      <c r="AI65" s="12"/>
      <c r="AJ65" s="12"/>
      <c r="AK65" s="12"/>
      <c r="AL65" s="12"/>
    </row>
    <row r="66" spans="1:38">
      <c r="A66" s="2" t="str">
        <f>E電入力!C67&amp;"+25;"</f>
        <v>+25;</v>
      </c>
      <c r="B66" s="2" t="str">
        <f ca="1">"Beacon.Put(111,0,1"&amp;TEXT(E電入力!X67,"000000")&amp;");"</f>
        <v>Beacon.Put(111,0,1005160);</v>
      </c>
      <c r="C66" s="2" t="str">
        <f ca="1">"Beacon.Put(111,0,2"&amp;TEXT(E電入力!Y67,"000000")&amp;");"</f>
        <v>Beacon.Put(111,0,2005530);</v>
      </c>
      <c r="D66" s="2" t="str">
        <f ca="1">"Beacon.Put(111,0,3"&amp;TEXT(E電入力!Z67,"000000")&amp;");"</f>
        <v>Beacon.Put(111,0,3006030);</v>
      </c>
      <c r="E66" s="2" t="str">
        <f ca="1">"Beacon.Put(111,0,4"&amp;TEXT(E電入力!AA67,"000000")&amp;");"</f>
        <v>Beacon.Put(111,0,4000000);</v>
      </c>
      <c r="F66" s="2" t="str">
        <f ca="1">"Beacon.Put(111,0,5"&amp;TEXT(E電入力!AB67,"000000")&amp;");"</f>
        <v>Beacon.Put(111,0,5000560);</v>
      </c>
      <c r="G66" s="2" t="str">
        <f ca="1">"Beacon.Put(111,0,6"&amp;TEXT(E電入力!AC67,"000000")&amp;");"</f>
        <v>Beacon.Put(111,0,6000000);</v>
      </c>
      <c r="H66" s="2" t="str">
        <f ca="1">"Beacon.Put(112,0,1"&amp;TEXT(E電入力!AD67,"000000")&amp;");"</f>
        <v>Beacon.Put(112,0,1005130);</v>
      </c>
      <c r="I66" s="2" t="str">
        <f ca="1">"Beacon.Put(112,0,2"&amp;TEXT(E電入力!AE67,"000000")&amp;");"</f>
        <v>Beacon.Put(112,0,2005660);</v>
      </c>
      <c r="J66" s="2" t="str">
        <f ca="1">"Beacon.Put(112,0,3"&amp;TEXT(E電入力!AF67,"000000")&amp;");"</f>
        <v>Beacon.Put(112,0,3000160);</v>
      </c>
      <c r="K66" s="2" t="str">
        <f ca="1">"Beacon.Put(112,0,4"&amp;TEXT(E電入力!AG67,"000000")&amp;");"</f>
        <v>Beacon.Put(112,0,4000000);</v>
      </c>
      <c r="L66" s="2" t="str">
        <f ca="1">"Beacon.Put(112,0,5"&amp;TEXT(E電入力!AH67,"000000")&amp;");"</f>
        <v>Beacon.Put(112,0,5000000);</v>
      </c>
      <c r="M66" s="2" t="str">
        <f ca="1">"Beacon.Put(112,0,6"&amp;TEXT(E電入力!AI67,"000000")&amp;");"</f>
        <v>Beacon.Put(112,0,6000000);</v>
      </c>
      <c r="N66" s="12"/>
      <c r="O66" s="12"/>
      <c r="P66" s="12"/>
      <c r="Q66" s="12"/>
      <c r="R66" s="12"/>
      <c r="S66" s="12"/>
      <c r="T66" s="12"/>
      <c r="U66" s="12"/>
      <c r="V66" s="12"/>
      <c r="W66" s="12"/>
      <c r="X66" s="12"/>
      <c r="Y66" s="12"/>
      <c r="Z66" s="12"/>
      <c r="AA66" s="12"/>
      <c r="AB66" s="12"/>
      <c r="AC66" s="12"/>
      <c r="AD66" s="12"/>
      <c r="AE66" s="12"/>
      <c r="AF66" s="12"/>
      <c r="AG66" s="12"/>
      <c r="AH66" s="12"/>
      <c r="AI66" s="12"/>
      <c r="AJ66" s="12"/>
      <c r="AK66" s="12"/>
      <c r="AL66" s="12"/>
    </row>
    <row r="67" spans="1:38">
      <c r="A67" s="2" t="str">
        <f>E電入力!C68&amp;"+25;"</f>
        <v>+25;</v>
      </c>
      <c r="B67" s="2" t="str">
        <f ca="1">"Beacon.Put(111,0,1"&amp;TEXT(E電入力!X68,"000000")&amp;");"</f>
        <v>Beacon.Put(111,0,1004630);</v>
      </c>
      <c r="C67" s="2" t="str">
        <f ca="1">"Beacon.Put(111,0,2"&amp;TEXT(E電入力!Y68,"000000")&amp;");"</f>
        <v>Beacon.Put(111,0,2005530);</v>
      </c>
      <c r="D67" s="2" t="str">
        <f ca="1">"Beacon.Put(111,0,3"&amp;TEXT(E電入力!Z68,"000000")&amp;");"</f>
        <v>Beacon.Put(111,0,3006030);</v>
      </c>
      <c r="E67" s="2" t="str">
        <f ca="1">"Beacon.Put(111,0,4"&amp;TEXT(E電入力!AA68,"000000")&amp;");"</f>
        <v>Beacon.Put(111,0,4000000);</v>
      </c>
      <c r="F67" s="2" t="str">
        <f ca="1">"Beacon.Put(111,0,5"&amp;TEXT(E電入力!AB68,"000000")&amp;");"</f>
        <v>Beacon.Put(111,0,5000560);</v>
      </c>
      <c r="G67" s="2" t="str">
        <f ca="1">"Beacon.Put(111,0,6"&amp;TEXT(E電入力!AC68,"000000")&amp;");"</f>
        <v>Beacon.Put(111,0,6000000);</v>
      </c>
      <c r="H67" s="2" t="str">
        <f ca="1">"Beacon.Put(112,0,1"&amp;TEXT(E電入力!AD68,"000000")&amp;");"</f>
        <v>Beacon.Put(112,0,1005130);</v>
      </c>
      <c r="I67" s="2" t="str">
        <f ca="1">"Beacon.Put(112,0,2"&amp;TEXT(E電入力!AE68,"000000")&amp;");"</f>
        <v>Beacon.Put(112,0,2005660);</v>
      </c>
      <c r="J67" s="2" t="str">
        <f ca="1">"Beacon.Put(112,0,3"&amp;TEXT(E電入力!AF68,"000000")&amp;");"</f>
        <v>Beacon.Put(112,0,3000160);</v>
      </c>
      <c r="K67" s="2" t="str">
        <f ca="1">"Beacon.Put(112,0,4"&amp;TEXT(E電入力!AG68,"000000")&amp;");"</f>
        <v>Beacon.Put(112,0,4000000);</v>
      </c>
      <c r="L67" s="2" t="str">
        <f ca="1">"Beacon.Put(112,0,5"&amp;TEXT(E電入力!AH68,"000000")&amp;");"</f>
        <v>Beacon.Put(112,0,5000000);</v>
      </c>
      <c r="M67" s="2" t="str">
        <f ca="1">"Beacon.Put(112,0,6"&amp;TEXT(E電入力!AI68,"000000")&amp;");"</f>
        <v>Beacon.Put(112,0,6000000);</v>
      </c>
      <c r="N67" s="12"/>
      <c r="O67" s="12"/>
      <c r="P67" s="12"/>
      <c r="Q67" s="12"/>
      <c r="R67" s="12"/>
      <c r="S67" s="12"/>
      <c r="T67" s="12"/>
      <c r="U67" s="12"/>
      <c r="V67" s="12"/>
      <c r="W67" s="12"/>
      <c r="X67" s="12"/>
      <c r="Y67" s="12"/>
      <c r="Z67" s="12"/>
      <c r="AA67" s="12"/>
      <c r="AB67" s="12"/>
      <c r="AC67" s="12"/>
      <c r="AD67" s="12"/>
      <c r="AE67" s="12"/>
      <c r="AF67" s="12"/>
      <c r="AG67" s="12"/>
      <c r="AH67" s="12"/>
      <c r="AI67" s="12"/>
      <c r="AJ67" s="12"/>
      <c r="AK67" s="12"/>
      <c r="AL67" s="12"/>
    </row>
    <row r="68" spans="1:38">
      <c r="A68" s="2" t="str">
        <f>E電入力!C69&amp;"+25;"</f>
        <v>+25;</v>
      </c>
      <c r="B68" s="2" t="str">
        <f ca="1">"Beacon.Put(111,0,1"&amp;TEXT(E電入力!X69,"000000")&amp;");"</f>
        <v>Beacon.Put(111,0,1005160);</v>
      </c>
      <c r="C68" s="2" t="str">
        <f ca="1">"Beacon.Put(111,0,2"&amp;TEXT(E電入力!Y69,"000000")&amp;");"</f>
        <v>Beacon.Put(111,0,2005530);</v>
      </c>
      <c r="D68" s="2" t="str">
        <f ca="1">"Beacon.Put(111,0,3"&amp;TEXT(E電入力!Z69,"000000")&amp;");"</f>
        <v>Beacon.Put(111,0,3006030);</v>
      </c>
      <c r="E68" s="2" t="str">
        <f ca="1">"Beacon.Put(111,0,4"&amp;TEXT(E電入力!AA69,"000000")&amp;");"</f>
        <v>Beacon.Put(111,0,4000000);</v>
      </c>
      <c r="F68" s="2" t="str">
        <f ca="1">"Beacon.Put(111,0,5"&amp;TEXT(E電入力!AB69,"000000")&amp;");"</f>
        <v>Beacon.Put(111,0,5000560);</v>
      </c>
      <c r="G68" s="2" t="str">
        <f ca="1">"Beacon.Put(111,0,6"&amp;TEXT(E電入力!AC69,"000000")&amp;");"</f>
        <v>Beacon.Put(111,0,6000000);</v>
      </c>
      <c r="H68" s="2" t="str">
        <f ca="1">"Beacon.Put(112,0,1"&amp;TEXT(E電入力!AD69,"000000")&amp;");"</f>
        <v>Beacon.Put(112,0,1005130);</v>
      </c>
      <c r="I68" s="2" t="str">
        <f ca="1">"Beacon.Put(112,0,2"&amp;TEXT(E電入力!AE69,"000000")&amp;");"</f>
        <v>Beacon.Put(112,0,2005660);</v>
      </c>
      <c r="J68" s="2" t="str">
        <f ca="1">"Beacon.Put(112,0,3"&amp;TEXT(E電入力!AF69,"000000")&amp;");"</f>
        <v>Beacon.Put(112,0,3000160);</v>
      </c>
      <c r="K68" s="2" t="str">
        <f ca="1">"Beacon.Put(112,0,4"&amp;TEXT(E電入力!AG69,"000000")&amp;");"</f>
        <v>Beacon.Put(112,0,4000000);</v>
      </c>
      <c r="L68" s="2" t="str">
        <f ca="1">"Beacon.Put(112,0,5"&amp;TEXT(E電入力!AH69,"000000")&amp;");"</f>
        <v>Beacon.Put(112,0,5000000);</v>
      </c>
      <c r="M68" s="2" t="str">
        <f ca="1">"Beacon.Put(112,0,6"&amp;TEXT(E電入力!AI69,"000000")&amp;");"</f>
        <v>Beacon.Put(112,0,6000000);</v>
      </c>
      <c r="N68" s="12"/>
      <c r="O68" s="12"/>
      <c r="P68" s="12"/>
      <c r="Q68" s="12"/>
      <c r="R68" s="12"/>
      <c r="S68" s="12"/>
      <c r="T68" s="12"/>
      <c r="U68" s="12"/>
      <c r="V68" s="12"/>
      <c r="W68" s="12"/>
      <c r="X68" s="12"/>
      <c r="Y68" s="12"/>
      <c r="Z68" s="12"/>
      <c r="AA68" s="12"/>
      <c r="AB68" s="12"/>
      <c r="AC68" s="12"/>
      <c r="AD68" s="12"/>
      <c r="AE68" s="12"/>
      <c r="AF68" s="12"/>
      <c r="AG68" s="12"/>
      <c r="AH68" s="12"/>
      <c r="AI68" s="12"/>
      <c r="AJ68" s="12"/>
      <c r="AK68" s="12"/>
      <c r="AL68" s="12"/>
    </row>
    <row r="69" spans="1:38">
      <c r="A69" s="2" t="str">
        <f>E電入力!C70&amp;"+25;"</f>
        <v>+25;</v>
      </c>
      <c r="B69" s="2" t="str">
        <f ca="1">"Beacon.Put(111,0,1"&amp;TEXT(E電入力!X70,"000000")&amp;");"</f>
        <v>Beacon.Put(111,0,1004630);</v>
      </c>
      <c r="C69" s="2" t="str">
        <f ca="1">"Beacon.Put(111,0,2"&amp;TEXT(E電入力!Y70,"000000")&amp;");"</f>
        <v>Beacon.Put(111,0,2005530);</v>
      </c>
      <c r="D69" s="2" t="str">
        <f ca="1">"Beacon.Put(111,0,3"&amp;TEXT(E電入力!Z70,"000000")&amp;");"</f>
        <v>Beacon.Put(111,0,3006030);</v>
      </c>
      <c r="E69" s="2" t="str">
        <f ca="1">"Beacon.Put(111,0,4"&amp;TEXT(E電入力!AA70,"000000")&amp;");"</f>
        <v>Beacon.Put(111,0,4000000);</v>
      </c>
      <c r="F69" s="2" t="str">
        <f ca="1">"Beacon.Put(111,0,5"&amp;TEXT(E電入力!AB70,"000000")&amp;");"</f>
        <v>Beacon.Put(111,0,5000560);</v>
      </c>
      <c r="G69" s="2" t="str">
        <f ca="1">"Beacon.Put(111,0,6"&amp;TEXT(E電入力!AC70,"000000")&amp;");"</f>
        <v>Beacon.Put(111,0,6000000);</v>
      </c>
      <c r="H69" s="2" t="str">
        <f ca="1">"Beacon.Put(112,0,1"&amp;TEXT(E電入力!AD70,"000000")&amp;");"</f>
        <v>Beacon.Put(112,0,1005130);</v>
      </c>
      <c r="I69" s="2" t="str">
        <f ca="1">"Beacon.Put(112,0,2"&amp;TEXT(E電入力!AE70,"000000")&amp;");"</f>
        <v>Beacon.Put(112,0,2005660);</v>
      </c>
      <c r="J69" s="2" t="str">
        <f ca="1">"Beacon.Put(112,0,3"&amp;TEXT(E電入力!AF70,"000000")&amp;");"</f>
        <v>Beacon.Put(112,0,3000160);</v>
      </c>
      <c r="K69" s="2" t="str">
        <f ca="1">"Beacon.Put(112,0,4"&amp;TEXT(E電入力!AG70,"000000")&amp;");"</f>
        <v>Beacon.Put(112,0,4000000);</v>
      </c>
      <c r="L69" s="2" t="str">
        <f ca="1">"Beacon.Put(112,0,5"&amp;TEXT(E電入力!AH70,"000000")&amp;");"</f>
        <v>Beacon.Put(112,0,5000000);</v>
      </c>
      <c r="M69" s="2" t="str">
        <f ca="1">"Beacon.Put(112,0,6"&amp;TEXT(E電入力!AI70,"000000")&amp;");"</f>
        <v>Beacon.Put(112,0,6000000);</v>
      </c>
      <c r="N69" s="12"/>
      <c r="O69" s="12"/>
      <c r="P69" s="12"/>
      <c r="Q69" s="12"/>
      <c r="R69" s="12"/>
      <c r="S69" s="12"/>
      <c r="T69" s="12"/>
      <c r="U69" s="12"/>
      <c r="V69" s="12"/>
      <c r="W69" s="12"/>
      <c r="X69" s="12"/>
      <c r="Y69" s="12"/>
      <c r="Z69" s="12"/>
      <c r="AA69" s="12"/>
      <c r="AB69" s="12"/>
      <c r="AC69" s="12"/>
      <c r="AD69" s="12"/>
      <c r="AE69" s="12"/>
      <c r="AF69" s="12"/>
      <c r="AG69" s="12"/>
      <c r="AH69" s="12"/>
      <c r="AI69" s="12"/>
      <c r="AJ69" s="12"/>
      <c r="AK69" s="12"/>
      <c r="AL69" s="12"/>
    </row>
    <row r="70" spans="1:38">
      <c r="A70" s="2" t="str">
        <f>E電入力!C71&amp;"+25;"</f>
        <v>+25;</v>
      </c>
      <c r="B70" s="2" t="str">
        <f ca="1">"Beacon.Put(111,0,1"&amp;TEXT(E電入力!X71,"000000")&amp;");"</f>
        <v>Beacon.Put(111,0,1005160);</v>
      </c>
      <c r="C70" s="2" t="str">
        <f ca="1">"Beacon.Put(111,0,2"&amp;TEXT(E電入力!Y71,"000000")&amp;");"</f>
        <v>Beacon.Put(111,0,2005530);</v>
      </c>
      <c r="D70" s="2" t="str">
        <f ca="1">"Beacon.Put(111,0,3"&amp;TEXT(E電入力!Z71,"000000")&amp;");"</f>
        <v>Beacon.Put(111,0,3006030);</v>
      </c>
      <c r="E70" s="2" t="str">
        <f ca="1">"Beacon.Put(111,0,4"&amp;TEXT(E電入力!AA71,"000000")&amp;");"</f>
        <v>Beacon.Put(111,0,4000000);</v>
      </c>
      <c r="F70" s="2" t="str">
        <f ca="1">"Beacon.Put(111,0,5"&amp;TEXT(E電入力!AB71,"000000")&amp;");"</f>
        <v>Beacon.Put(111,0,5000560);</v>
      </c>
      <c r="G70" s="2" t="str">
        <f ca="1">"Beacon.Put(111,0,6"&amp;TEXT(E電入力!AC71,"000000")&amp;");"</f>
        <v>Beacon.Put(111,0,6000000);</v>
      </c>
      <c r="H70" s="2" t="str">
        <f ca="1">"Beacon.Put(112,0,1"&amp;TEXT(E電入力!AD71,"000000")&amp;");"</f>
        <v>Beacon.Put(112,0,1005130);</v>
      </c>
      <c r="I70" s="2" t="str">
        <f ca="1">"Beacon.Put(112,0,2"&amp;TEXT(E電入力!AE71,"000000")&amp;");"</f>
        <v>Beacon.Put(112,0,2005660);</v>
      </c>
      <c r="J70" s="2" t="str">
        <f ca="1">"Beacon.Put(112,0,3"&amp;TEXT(E電入力!AF71,"000000")&amp;");"</f>
        <v>Beacon.Put(112,0,3000160);</v>
      </c>
      <c r="K70" s="2" t="str">
        <f ca="1">"Beacon.Put(112,0,4"&amp;TEXT(E電入力!AG71,"000000")&amp;");"</f>
        <v>Beacon.Put(112,0,4000000);</v>
      </c>
      <c r="L70" s="2" t="str">
        <f ca="1">"Beacon.Put(112,0,5"&amp;TEXT(E電入力!AH71,"000000")&amp;");"</f>
        <v>Beacon.Put(112,0,5000000);</v>
      </c>
      <c r="M70" s="2" t="str">
        <f ca="1">"Beacon.Put(112,0,6"&amp;TEXT(E電入力!AI71,"000000")&amp;");"</f>
        <v>Beacon.Put(112,0,6000000);</v>
      </c>
      <c r="N70" s="12"/>
      <c r="O70" s="12"/>
      <c r="P70" s="12"/>
      <c r="Q70" s="12"/>
      <c r="R70" s="12"/>
      <c r="S70" s="12"/>
      <c r="T70" s="12"/>
      <c r="U70" s="12"/>
      <c r="V70" s="12"/>
      <c r="W70" s="12"/>
      <c r="X70" s="12"/>
      <c r="Y70" s="12"/>
      <c r="Z70" s="12"/>
      <c r="AA70" s="12"/>
      <c r="AB70" s="12"/>
      <c r="AC70" s="12"/>
      <c r="AD70" s="12"/>
      <c r="AE70" s="12"/>
      <c r="AF70" s="12"/>
      <c r="AG70" s="12"/>
      <c r="AH70" s="12"/>
      <c r="AI70" s="12"/>
      <c r="AJ70" s="12"/>
      <c r="AK70" s="12"/>
      <c r="AL70" s="12"/>
    </row>
    <row r="71" spans="1:38">
      <c r="A71" s="2" t="str">
        <f>E電入力!C72&amp;"+25;"</f>
        <v>+25;</v>
      </c>
      <c r="B71" s="2" t="str">
        <f ca="1">"Beacon.Put(111,0,1"&amp;TEXT(E電入力!X72,"000000")&amp;");"</f>
        <v>Beacon.Put(111,0,1004630);</v>
      </c>
      <c r="C71" s="2" t="str">
        <f ca="1">"Beacon.Put(111,0,2"&amp;TEXT(E電入力!Y72,"000000")&amp;");"</f>
        <v>Beacon.Put(111,0,2005530);</v>
      </c>
      <c r="D71" s="2" t="str">
        <f ca="1">"Beacon.Put(111,0,3"&amp;TEXT(E電入力!Z72,"000000")&amp;");"</f>
        <v>Beacon.Put(111,0,3006030);</v>
      </c>
      <c r="E71" s="2" t="str">
        <f ca="1">"Beacon.Put(111,0,4"&amp;TEXT(E電入力!AA72,"000000")&amp;");"</f>
        <v>Beacon.Put(111,0,4000000);</v>
      </c>
      <c r="F71" s="2" t="str">
        <f ca="1">"Beacon.Put(111,0,5"&amp;TEXT(E電入力!AB72,"000000")&amp;");"</f>
        <v>Beacon.Put(111,0,5000560);</v>
      </c>
      <c r="G71" s="2" t="str">
        <f ca="1">"Beacon.Put(111,0,6"&amp;TEXT(E電入力!AC72,"000000")&amp;");"</f>
        <v>Beacon.Put(111,0,6000000);</v>
      </c>
      <c r="H71" s="2" t="str">
        <f ca="1">"Beacon.Put(112,0,1"&amp;TEXT(E電入力!AD72,"000000")&amp;");"</f>
        <v>Beacon.Put(112,0,1005130);</v>
      </c>
      <c r="I71" s="2" t="str">
        <f ca="1">"Beacon.Put(112,0,2"&amp;TEXT(E電入力!AE72,"000000")&amp;");"</f>
        <v>Beacon.Put(112,0,2005660);</v>
      </c>
      <c r="J71" s="2" t="str">
        <f ca="1">"Beacon.Put(112,0,3"&amp;TEXT(E電入力!AF72,"000000")&amp;");"</f>
        <v>Beacon.Put(112,0,3000160);</v>
      </c>
      <c r="K71" s="2" t="str">
        <f ca="1">"Beacon.Put(112,0,4"&amp;TEXT(E電入力!AG72,"000000")&amp;");"</f>
        <v>Beacon.Put(112,0,4000000);</v>
      </c>
      <c r="L71" s="2" t="str">
        <f ca="1">"Beacon.Put(112,0,5"&amp;TEXT(E電入力!AH72,"000000")&amp;");"</f>
        <v>Beacon.Put(112,0,5000000);</v>
      </c>
      <c r="M71" s="2" t="str">
        <f ca="1">"Beacon.Put(112,0,6"&amp;TEXT(E電入力!AI72,"000000")&amp;");"</f>
        <v>Beacon.Put(112,0,6000000);</v>
      </c>
      <c r="N71" s="12"/>
      <c r="O71" s="12"/>
      <c r="P71" s="12"/>
      <c r="Q71" s="12"/>
      <c r="R71" s="12"/>
      <c r="S71" s="12"/>
      <c r="T71" s="12"/>
      <c r="U71" s="12"/>
      <c r="V71" s="12"/>
      <c r="W71" s="12"/>
      <c r="X71" s="12"/>
      <c r="Y71" s="12"/>
      <c r="Z71" s="12"/>
      <c r="AA71" s="12"/>
      <c r="AB71" s="12"/>
      <c r="AC71" s="12"/>
      <c r="AD71" s="12"/>
      <c r="AE71" s="12"/>
      <c r="AF71" s="12"/>
      <c r="AG71" s="12"/>
      <c r="AH71" s="12"/>
      <c r="AI71" s="12"/>
      <c r="AJ71" s="12"/>
      <c r="AK71" s="12"/>
      <c r="AL71" s="12"/>
    </row>
    <row r="72" spans="1:38">
      <c r="A72" s="2" t="str">
        <f>E電入力!C73&amp;"+25;"</f>
        <v>+25;</v>
      </c>
      <c r="B72" s="2" t="str">
        <f ca="1">"Beacon.Put(111,0,1"&amp;TEXT(E電入力!X73,"000000")&amp;");"</f>
        <v>Beacon.Put(111,0,1005160);</v>
      </c>
      <c r="C72" s="2" t="str">
        <f ca="1">"Beacon.Put(111,0,2"&amp;TEXT(E電入力!Y73,"000000")&amp;");"</f>
        <v>Beacon.Put(111,0,2005530);</v>
      </c>
      <c r="D72" s="2" t="str">
        <f ca="1">"Beacon.Put(111,0,3"&amp;TEXT(E電入力!Z73,"000000")&amp;");"</f>
        <v>Beacon.Put(111,0,3006030);</v>
      </c>
      <c r="E72" s="2" t="str">
        <f ca="1">"Beacon.Put(111,0,4"&amp;TEXT(E電入力!AA73,"000000")&amp;");"</f>
        <v>Beacon.Put(111,0,4000000);</v>
      </c>
      <c r="F72" s="2" t="str">
        <f ca="1">"Beacon.Put(111,0,5"&amp;TEXT(E電入力!AB73,"000000")&amp;");"</f>
        <v>Beacon.Put(111,0,5000560);</v>
      </c>
      <c r="G72" s="2" t="str">
        <f ca="1">"Beacon.Put(111,0,6"&amp;TEXT(E電入力!AC73,"000000")&amp;");"</f>
        <v>Beacon.Put(111,0,6000000);</v>
      </c>
      <c r="H72" s="2" t="str">
        <f ca="1">"Beacon.Put(112,0,1"&amp;TEXT(E電入力!AD73,"000000")&amp;");"</f>
        <v>Beacon.Put(112,0,1005130);</v>
      </c>
      <c r="I72" s="2" t="str">
        <f ca="1">"Beacon.Put(112,0,2"&amp;TEXT(E電入力!AE73,"000000")&amp;");"</f>
        <v>Beacon.Put(112,0,2005660);</v>
      </c>
      <c r="J72" s="2" t="str">
        <f ca="1">"Beacon.Put(112,0,3"&amp;TEXT(E電入力!AF73,"000000")&amp;");"</f>
        <v>Beacon.Put(112,0,3000160);</v>
      </c>
      <c r="K72" s="2" t="str">
        <f ca="1">"Beacon.Put(112,0,4"&amp;TEXT(E電入力!AG73,"000000")&amp;");"</f>
        <v>Beacon.Put(112,0,4000000);</v>
      </c>
      <c r="L72" s="2" t="str">
        <f ca="1">"Beacon.Put(112,0,5"&amp;TEXT(E電入力!AH73,"000000")&amp;");"</f>
        <v>Beacon.Put(112,0,5000000);</v>
      </c>
      <c r="M72" s="2" t="str">
        <f ca="1">"Beacon.Put(112,0,6"&amp;TEXT(E電入力!AI73,"000000")&amp;");"</f>
        <v>Beacon.Put(112,0,6000000);</v>
      </c>
      <c r="N72" s="12"/>
      <c r="O72" s="12"/>
      <c r="P72" s="12"/>
      <c r="Q72" s="12"/>
      <c r="R72" s="12"/>
      <c r="S72" s="12"/>
      <c r="T72" s="12"/>
      <c r="U72" s="12"/>
      <c r="V72" s="12"/>
      <c r="W72" s="12"/>
      <c r="X72" s="12"/>
      <c r="Y72" s="12"/>
      <c r="Z72" s="12"/>
      <c r="AA72" s="12"/>
      <c r="AB72" s="12"/>
      <c r="AC72" s="12"/>
      <c r="AD72" s="12"/>
      <c r="AE72" s="12"/>
      <c r="AF72" s="12"/>
      <c r="AG72" s="12"/>
      <c r="AH72" s="12"/>
      <c r="AI72" s="12"/>
      <c r="AJ72" s="12"/>
      <c r="AK72" s="12"/>
      <c r="AL72" s="12"/>
    </row>
    <row r="73" spans="1:38">
      <c r="A73" s="2" t="str">
        <f>E電入力!C74&amp;"+25;"</f>
        <v>+25;</v>
      </c>
      <c r="B73" s="2" t="str">
        <f ca="1">"Beacon.Put(111,0,1"&amp;TEXT(E電入力!X74,"000000")&amp;");"</f>
        <v>Beacon.Put(111,0,1004630);</v>
      </c>
      <c r="C73" s="2" t="str">
        <f ca="1">"Beacon.Put(111,0,2"&amp;TEXT(E電入力!Y74,"000000")&amp;");"</f>
        <v>Beacon.Put(111,0,2005530);</v>
      </c>
      <c r="D73" s="2" t="str">
        <f ca="1">"Beacon.Put(111,0,3"&amp;TEXT(E電入力!Z74,"000000")&amp;");"</f>
        <v>Beacon.Put(111,0,3006030);</v>
      </c>
      <c r="E73" s="2" t="str">
        <f ca="1">"Beacon.Put(111,0,4"&amp;TEXT(E電入力!AA74,"000000")&amp;");"</f>
        <v>Beacon.Put(111,0,4000000);</v>
      </c>
      <c r="F73" s="2" t="str">
        <f ca="1">"Beacon.Put(111,0,5"&amp;TEXT(E電入力!AB74,"000000")&amp;");"</f>
        <v>Beacon.Put(111,0,5000560);</v>
      </c>
      <c r="G73" s="2" t="str">
        <f ca="1">"Beacon.Put(111,0,6"&amp;TEXT(E電入力!AC74,"000000")&amp;");"</f>
        <v>Beacon.Put(111,0,6000000);</v>
      </c>
      <c r="H73" s="2" t="str">
        <f ca="1">"Beacon.Put(112,0,1"&amp;TEXT(E電入力!AD74,"000000")&amp;");"</f>
        <v>Beacon.Put(112,0,1005130);</v>
      </c>
      <c r="I73" s="2" t="str">
        <f ca="1">"Beacon.Put(112,0,2"&amp;TEXT(E電入力!AE74,"000000")&amp;");"</f>
        <v>Beacon.Put(112,0,2005660);</v>
      </c>
      <c r="J73" s="2" t="str">
        <f ca="1">"Beacon.Put(112,0,3"&amp;TEXT(E電入力!AF74,"000000")&amp;");"</f>
        <v>Beacon.Put(112,0,3000160);</v>
      </c>
      <c r="K73" s="2" t="str">
        <f ca="1">"Beacon.Put(112,0,4"&amp;TEXT(E電入力!AG74,"000000")&amp;");"</f>
        <v>Beacon.Put(112,0,4000000);</v>
      </c>
      <c r="L73" s="2" t="str">
        <f ca="1">"Beacon.Put(112,0,5"&amp;TEXT(E電入力!AH74,"000000")&amp;");"</f>
        <v>Beacon.Put(112,0,5000000);</v>
      </c>
      <c r="M73" s="2" t="str">
        <f ca="1">"Beacon.Put(112,0,6"&amp;TEXT(E電入力!AI74,"000000")&amp;");"</f>
        <v>Beacon.Put(112,0,6000000);</v>
      </c>
      <c r="N73" s="12"/>
      <c r="O73" s="12"/>
      <c r="P73" s="12"/>
      <c r="Q73" s="12"/>
      <c r="R73" s="12"/>
      <c r="S73" s="12"/>
      <c r="T73" s="12"/>
      <c r="U73" s="12"/>
      <c r="V73" s="12"/>
      <c r="W73" s="12"/>
      <c r="X73" s="12"/>
      <c r="Y73" s="12"/>
      <c r="Z73" s="12"/>
      <c r="AA73" s="12"/>
      <c r="AB73" s="12"/>
      <c r="AC73" s="12"/>
      <c r="AD73" s="12"/>
      <c r="AE73" s="12"/>
      <c r="AF73" s="12"/>
      <c r="AG73" s="12"/>
      <c r="AH73" s="12"/>
      <c r="AI73" s="12"/>
      <c r="AJ73" s="12"/>
      <c r="AK73" s="12"/>
      <c r="AL73" s="12"/>
    </row>
    <row r="74" spans="1:38">
      <c r="A74" s="2" t="str">
        <f>E電入力!C75&amp;"+25;"</f>
        <v>+25;</v>
      </c>
      <c r="B74" s="2" t="str">
        <f ca="1">"Beacon.Put(111,0,1"&amp;TEXT(E電入力!X75,"000000")&amp;");"</f>
        <v>Beacon.Put(111,0,1005160);</v>
      </c>
      <c r="C74" s="2" t="str">
        <f ca="1">"Beacon.Put(111,0,2"&amp;TEXT(E電入力!Y75,"000000")&amp;");"</f>
        <v>Beacon.Put(111,0,2005530);</v>
      </c>
      <c r="D74" s="2" t="str">
        <f ca="1">"Beacon.Put(111,0,3"&amp;TEXT(E電入力!Z75,"000000")&amp;");"</f>
        <v>Beacon.Put(111,0,3006030);</v>
      </c>
      <c r="E74" s="2" t="str">
        <f ca="1">"Beacon.Put(111,0,4"&amp;TEXT(E電入力!AA75,"000000")&amp;");"</f>
        <v>Beacon.Put(111,0,4000000);</v>
      </c>
      <c r="F74" s="2" t="str">
        <f ca="1">"Beacon.Put(111,0,5"&amp;TEXT(E電入力!AB75,"000000")&amp;");"</f>
        <v>Beacon.Put(111,0,5000560);</v>
      </c>
      <c r="G74" s="2" t="str">
        <f ca="1">"Beacon.Put(111,0,6"&amp;TEXT(E電入力!AC75,"000000")&amp;");"</f>
        <v>Beacon.Put(111,0,6000000);</v>
      </c>
      <c r="H74" s="2" t="str">
        <f ca="1">"Beacon.Put(112,0,1"&amp;TEXT(E電入力!AD75,"000000")&amp;");"</f>
        <v>Beacon.Put(112,0,1005130);</v>
      </c>
      <c r="I74" s="2" t="str">
        <f ca="1">"Beacon.Put(112,0,2"&amp;TEXT(E電入力!AE75,"000000")&amp;");"</f>
        <v>Beacon.Put(112,0,2005660);</v>
      </c>
      <c r="J74" s="2" t="str">
        <f ca="1">"Beacon.Put(112,0,3"&amp;TEXT(E電入力!AF75,"000000")&amp;");"</f>
        <v>Beacon.Put(112,0,3000160);</v>
      </c>
      <c r="K74" s="2" t="str">
        <f ca="1">"Beacon.Put(112,0,4"&amp;TEXT(E電入力!AG75,"000000")&amp;");"</f>
        <v>Beacon.Put(112,0,4000000);</v>
      </c>
      <c r="L74" s="2" t="str">
        <f ca="1">"Beacon.Put(112,0,5"&amp;TEXT(E電入力!AH75,"000000")&amp;");"</f>
        <v>Beacon.Put(112,0,5000000);</v>
      </c>
      <c r="M74" s="2" t="str">
        <f ca="1">"Beacon.Put(112,0,6"&amp;TEXT(E電入力!AI75,"000000")&amp;");"</f>
        <v>Beacon.Put(112,0,6000000);</v>
      </c>
      <c r="N74" s="12"/>
      <c r="O74" s="12"/>
      <c r="P74" s="12"/>
      <c r="Q74" s="12"/>
      <c r="R74" s="12"/>
      <c r="S74" s="12"/>
      <c r="T74" s="12"/>
      <c r="U74" s="12"/>
      <c r="V74" s="12"/>
      <c r="W74" s="12"/>
      <c r="X74" s="12"/>
      <c r="Y74" s="12"/>
      <c r="Z74" s="12"/>
      <c r="AA74" s="12"/>
      <c r="AB74" s="12"/>
      <c r="AC74" s="12"/>
      <c r="AD74" s="12"/>
      <c r="AE74" s="12"/>
      <c r="AF74" s="12"/>
      <c r="AG74" s="12"/>
      <c r="AH74" s="12"/>
      <c r="AI74" s="12"/>
      <c r="AJ74" s="12"/>
      <c r="AK74" s="12"/>
      <c r="AL74" s="12"/>
    </row>
    <row r="75" spans="1:38">
      <c r="A75" s="2" t="str">
        <f>E電入力!C76&amp;"+25;"</f>
        <v>+25;</v>
      </c>
      <c r="B75" s="2" t="str">
        <f ca="1">"Beacon.Put(111,0,1"&amp;TEXT(E電入力!X76,"000000")&amp;");"</f>
        <v>Beacon.Put(111,0,1004630);</v>
      </c>
      <c r="C75" s="2" t="str">
        <f ca="1">"Beacon.Put(111,0,2"&amp;TEXT(E電入力!Y76,"000000")&amp;");"</f>
        <v>Beacon.Put(111,0,2005530);</v>
      </c>
      <c r="D75" s="2" t="str">
        <f ca="1">"Beacon.Put(111,0,3"&amp;TEXT(E電入力!Z76,"000000")&amp;");"</f>
        <v>Beacon.Put(111,0,3006030);</v>
      </c>
      <c r="E75" s="2" t="str">
        <f ca="1">"Beacon.Put(111,0,4"&amp;TEXT(E電入力!AA76,"000000")&amp;");"</f>
        <v>Beacon.Put(111,0,4000000);</v>
      </c>
      <c r="F75" s="2" t="str">
        <f ca="1">"Beacon.Put(111,0,5"&amp;TEXT(E電入力!AB76,"000000")&amp;");"</f>
        <v>Beacon.Put(111,0,5000560);</v>
      </c>
      <c r="G75" s="2" t="str">
        <f ca="1">"Beacon.Put(111,0,6"&amp;TEXT(E電入力!AC76,"000000")&amp;");"</f>
        <v>Beacon.Put(111,0,6000000);</v>
      </c>
      <c r="H75" s="2" t="str">
        <f ca="1">"Beacon.Put(112,0,1"&amp;TEXT(E電入力!AD76,"000000")&amp;");"</f>
        <v>Beacon.Put(112,0,1005130);</v>
      </c>
      <c r="I75" s="2" t="str">
        <f ca="1">"Beacon.Put(112,0,2"&amp;TEXT(E電入力!AE76,"000000")&amp;");"</f>
        <v>Beacon.Put(112,0,2005660);</v>
      </c>
      <c r="J75" s="2" t="str">
        <f ca="1">"Beacon.Put(112,0,3"&amp;TEXT(E電入力!AF76,"000000")&amp;");"</f>
        <v>Beacon.Put(112,0,3000160);</v>
      </c>
      <c r="K75" s="2" t="str">
        <f ca="1">"Beacon.Put(112,0,4"&amp;TEXT(E電入力!AG76,"000000")&amp;");"</f>
        <v>Beacon.Put(112,0,4000000);</v>
      </c>
      <c r="L75" s="2" t="str">
        <f ca="1">"Beacon.Put(112,0,5"&amp;TEXT(E電入力!AH76,"000000")&amp;");"</f>
        <v>Beacon.Put(112,0,5000000);</v>
      </c>
      <c r="M75" s="2" t="str">
        <f ca="1">"Beacon.Put(112,0,6"&amp;TEXT(E電入力!AI76,"000000")&amp;");"</f>
        <v>Beacon.Put(112,0,6000000);</v>
      </c>
      <c r="N75" s="12"/>
      <c r="O75" s="12"/>
      <c r="P75" s="12"/>
      <c r="Q75" s="12"/>
      <c r="R75" s="12"/>
      <c r="S75" s="12"/>
      <c r="T75" s="12"/>
      <c r="U75" s="12"/>
      <c r="V75" s="12"/>
      <c r="W75" s="12"/>
      <c r="X75" s="12"/>
      <c r="Y75" s="12"/>
      <c r="Z75" s="12"/>
      <c r="AA75" s="12"/>
      <c r="AB75" s="12"/>
      <c r="AC75" s="12"/>
      <c r="AD75" s="12"/>
      <c r="AE75" s="12"/>
      <c r="AF75" s="12"/>
      <c r="AG75" s="12"/>
      <c r="AH75" s="12"/>
      <c r="AI75" s="12"/>
      <c r="AJ75" s="12"/>
      <c r="AK75" s="12"/>
      <c r="AL75" s="12"/>
    </row>
    <row r="76" spans="1:38">
      <c r="A76" s="2" t="str">
        <f>E電入力!C77&amp;"+25;"</f>
        <v>+25;</v>
      </c>
      <c r="B76" s="2" t="str">
        <f ca="1">"Beacon.Put(111,0,1"&amp;TEXT(E電入力!X77,"000000")&amp;");"</f>
        <v>Beacon.Put(111,0,1005160);</v>
      </c>
      <c r="C76" s="2" t="str">
        <f ca="1">"Beacon.Put(111,0,2"&amp;TEXT(E電入力!Y77,"000000")&amp;");"</f>
        <v>Beacon.Put(111,0,2005530);</v>
      </c>
      <c r="D76" s="2" t="str">
        <f ca="1">"Beacon.Put(111,0,3"&amp;TEXT(E電入力!Z77,"000000")&amp;");"</f>
        <v>Beacon.Put(111,0,3006030);</v>
      </c>
      <c r="E76" s="2" t="str">
        <f ca="1">"Beacon.Put(111,0,4"&amp;TEXT(E電入力!AA77,"000000")&amp;");"</f>
        <v>Beacon.Put(111,0,4000000);</v>
      </c>
      <c r="F76" s="2" t="str">
        <f ca="1">"Beacon.Put(111,0,5"&amp;TEXT(E電入力!AB77,"000000")&amp;");"</f>
        <v>Beacon.Put(111,0,5000560);</v>
      </c>
      <c r="G76" s="2" t="str">
        <f ca="1">"Beacon.Put(111,0,6"&amp;TEXT(E電入力!AC77,"000000")&amp;");"</f>
        <v>Beacon.Put(111,0,6000000);</v>
      </c>
      <c r="H76" s="2" t="str">
        <f ca="1">"Beacon.Put(112,0,1"&amp;TEXT(E電入力!AD77,"000000")&amp;");"</f>
        <v>Beacon.Put(112,0,1005130);</v>
      </c>
      <c r="I76" s="2" t="str">
        <f ca="1">"Beacon.Put(112,0,2"&amp;TEXT(E電入力!AE77,"000000")&amp;");"</f>
        <v>Beacon.Put(112,0,2005660);</v>
      </c>
      <c r="J76" s="2" t="str">
        <f ca="1">"Beacon.Put(112,0,3"&amp;TEXT(E電入力!AF77,"000000")&amp;");"</f>
        <v>Beacon.Put(112,0,3000160);</v>
      </c>
      <c r="K76" s="2" t="str">
        <f ca="1">"Beacon.Put(112,0,4"&amp;TEXT(E電入力!AG77,"000000")&amp;");"</f>
        <v>Beacon.Put(112,0,4000000);</v>
      </c>
      <c r="L76" s="2" t="str">
        <f ca="1">"Beacon.Put(112,0,5"&amp;TEXT(E電入力!AH77,"000000")&amp;");"</f>
        <v>Beacon.Put(112,0,5000000);</v>
      </c>
      <c r="M76" s="2" t="str">
        <f ca="1">"Beacon.Put(112,0,6"&amp;TEXT(E電入力!AI77,"000000")&amp;");"</f>
        <v>Beacon.Put(112,0,6000000);</v>
      </c>
      <c r="N76" s="12"/>
      <c r="O76" s="12"/>
      <c r="P76" s="12"/>
      <c r="Q76" s="12"/>
      <c r="R76" s="12"/>
      <c r="S76" s="12"/>
      <c r="T76" s="12"/>
      <c r="U76" s="12"/>
      <c r="V76" s="12"/>
      <c r="W76" s="12"/>
      <c r="X76" s="12"/>
      <c r="Y76" s="12"/>
      <c r="Z76" s="12"/>
      <c r="AA76" s="12"/>
      <c r="AB76" s="12"/>
      <c r="AC76" s="12"/>
      <c r="AD76" s="12"/>
      <c r="AE76" s="12"/>
      <c r="AF76" s="12"/>
      <c r="AG76" s="12"/>
      <c r="AH76" s="12"/>
      <c r="AI76" s="12"/>
      <c r="AJ76" s="12"/>
      <c r="AK76" s="12"/>
      <c r="AL76" s="12"/>
    </row>
    <row r="77" spans="1:38">
      <c r="A77" s="2" t="str">
        <f>E電入力!C78&amp;"+25;"</f>
        <v>+25;</v>
      </c>
      <c r="B77" s="2" t="str">
        <f ca="1">"Beacon.Put(111,0,1"&amp;TEXT(E電入力!X78,"000000")&amp;");"</f>
        <v>Beacon.Put(111,0,1004630);</v>
      </c>
      <c r="C77" s="2" t="str">
        <f ca="1">"Beacon.Put(111,0,2"&amp;TEXT(E電入力!Y78,"000000")&amp;");"</f>
        <v>Beacon.Put(111,0,2005530);</v>
      </c>
      <c r="D77" s="2" t="str">
        <f ca="1">"Beacon.Put(111,0,3"&amp;TEXT(E電入力!Z78,"000000")&amp;");"</f>
        <v>Beacon.Put(111,0,3006030);</v>
      </c>
      <c r="E77" s="2" t="str">
        <f ca="1">"Beacon.Put(111,0,4"&amp;TEXT(E電入力!AA78,"000000")&amp;");"</f>
        <v>Beacon.Put(111,0,4000000);</v>
      </c>
      <c r="F77" s="2" t="str">
        <f ca="1">"Beacon.Put(111,0,5"&amp;TEXT(E電入力!AB78,"000000")&amp;");"</f>
        <v>Beacon.Put(111,0,5000560);</v>
      </c>
      <c r="G77" s="2" t="str">
        <f ca="1">"Beacon.Put(111,0,6"&amp;TEXT(E電入力!AC78,"000000")&amp;");"</f>
        <v>Beacon.Put(111,0,6000000);</v>
      </c>
      <c r="H77" s="2" t="str">
        <f ca="1">"Beacon.Put(112,0,1"&amp;TEXT(E電入力!AD78,"000000")&amp;");"</f>
        <v>Beacon.Put(112,0,1005130);</v>
      </c>
      <c r="I77" s="2" t="str">
        <f ca="1">"Beacon.Put(112,0,2"&amp;TEXT(E電入力!AE78,"000000")&amp;");"</f>
        <v>Beacon.Put(112,0,2005660);</v>
      </c>
      <c r="J77" s="2" t="str">
        <f ca="1">"Beacon.Put(112,0,3"&amp;TEXT(E電入力!AF78,"000000")&amp;");"</f>
        <v>Beacon.Put(112,0,3000160);</v>
      </c>
      <c r="K77" s="2" t="str">
        <f ca="1">"Beacon.Put(112,0,4"&amp;TEXT(E電入力!AG78,"000000")&amp;");"</f>
        <v>Beacon.Put(112,0,4000000);</v>
      </c>
      <c r="L77" s="2" t="str">
        <f ca="1">"Beacon.Put(112,0,5"&amp;TEXT(E電入力!AH78,"000000")&amp;");"</f>
        <v>Beacon.Put(112,0,5000000);</v>
      </c>
      <c r="M77" s="2" t="str">
        <f ca="1">"Beacon.Put(112,0,6"&amp;TEXT(E電入力!AI78,"000000")&amp;");"</f>
        <v>Beacon.Put(112,0,6000000);</v>
      </c>
      <c r="N77" s="12"/>
      <c r="O77" s="12"/>
      <c r="P77" s="12"/>
      <c r="Q77" s="12"/>
      <c r="R77" s="12"/>
      <c r="S77" s="12"/>
      <c r="T77" s="12"/>
      <c r="U77" s="12"/>
      <c r="V77" s="12"/>
      <c r="W77" s="12"/>
      <c r="X77" s="12"/>
      <c r="Y77" s="12"/>
      <c r="Z77" s="12"/>
      <c r="AA77" s="12"/>
      <c r="AB77" s="12"/>
      <c r="AC77" s="12"/>
      <c r="AD77" s="12"/>
      <c r="AE77" s="12"/>
      <c r="AF77" s="12"/>
      <c r="AG77" s="12"/>
      <c r="AH77" s="12"/>
      <c r="AI77" s="12"/>
      <c r="AJ77" s="12"/>
      <c r="AK77" s="12"/>
      <c r="AL77" s="12"/>
    </row>
    <row r="78" spans="1:38">
      <c r="A78" s="2" t="str">
        <f>E電入力!C79&amp;"+25;"</f>
        <v>+25;</v>
      </c>
      <c r="B78" s="2" t="str">
        <f ca="1">"Beacon.Put(111,0,1"&amp;TEXT(E電入力!X79,"000000")&amp;");"</f>
        <v>Beacon.Put(111,0,1005160);</v>
      </c>
      <c r="C78" s="2" t="str">
        <f ca="1">"Beacon.Put(111,0,2"&amp;TEXT(E電入力!Y79,"000000")&amp;");"</f>
        <v>Beacon.Put(111,0,2005530);</v>
      </c>
      <c r="D78" s="2" t="str">
        <f ca="1">"Beacon.Put(111,0,3"&amp;TEXT(E電入力!Z79,"000000")&amp;");"</f>
        <v>Beacon.Put(111,0,3006030);</v>
      </c>
      <c r="E78" s="2" t="str">
        <f ca="1">"Beacon.Put(111,0,4"&amp;TEXT(E電入力!AA79,"000000")&amp;");"</f>
        <v>Beacon.Put(111,0,4000000);</v>
      </c>
      <c r="F78" s="2" t="str">
        <f ca="1">"Beacon.Put(111,0,5"&amp;TEXT(E電入力!AB79,"000000")&amp;");"</f>
        <v>Beacon.Put(111,0,5000560);</v>
      </c>
      <c r="G78" s="2" t="str">
        <f ca="1">"Beacon.Put(111,0,6"&amp;TEXT(E電入力!AC79,"000000")&amp;");"</f>
        <v>Beacon.Put(111,0,6000000);</v>
      </c>
      <c r="H78" s="2" t="str">
        <f ca="1">"Beacon.Put(112,0,1"&amp;TEXT(E電入力!AD79,"000000")&amp;");"</f>
        <v>Beacon.Put(112,0,1005130);</v>
      </c>
      <c r="I78" s="2" t="str">
        <f ca="1">"Beacon.Put(112,0,2"&amp;TEXT(E電入力!AE79,"000000")&amp;");"</f>
        <v>Beacon.Put(112,0,2005660);</v>
      </c>
      <c r="J78" s="2" t="str">
        <f ca="1">"Beacon.Put(112,0,3"&amp;TEXT(E電入力!AF79,"000000")&amp;");"</f>
        <v>Beacon.Put(112,0,3000160);</v>
      </c>
      <c r="K78" s="2" t="str">
        <f ca="1">"Beacon.Put(112,0,4"&amp;TEXT(E電入力!AG79,"000000")&amp;");"</f>
        <v>Beacon.Put(112,0,4000000);</v>
      </c>
      <c r="L78" s="2" t="str">
        <f ca="1">"Beacon.Put(112,0,5"&amp;TEXT(E電入力!AH79,"000000")&amp;");"</f>
        <v>Beacon.Put(112,0,5000000);</v>
      </c>
      <c r="M78" s="2" t="str">
        <f ca="1">"Beacon.Put(112,0,6"&amp;TEXT(E電入力!AI79,"000000")&amp;");"</f>
        <v>Beacon.Put(112,0,6000000);</v>
      </c>
      <c r="N78" s="12"/>
      <c r="O78" s="12"/>
      <c r="P78" s="12"/>
      <c r="Q78" s="12"/>
      <c r="R78" s="12"/>
      <c r="S78" s="12"/>
      <c r="T78" s="12"/>
      <c r="U78" s="12"/>
      <c r="V78" s="12"/>
      <c r="W78" s="12"/>
      <c r="X78" s="12"/>
      <c r="Y78" s="12"/>
      <c r="Z78" s="12"/>
      <c r="AA78" s="12"/>
      <c r="AB78" s="12"/>
      <c r="AC78" s="12"/>
      <c r="AD78" s="12"/>
      <c r="AE78" s="12"/>
      <c r="AF78" s="12"/>
      <c r="AG78" s="12"/>
      <c r="AH78" s="12"/>
      <c r="AI78" s="12"/>
      <c r="AJ78" s="12"/>
      <c r="AK78" s="12"/>
      <c r="AL78" s="12"/>
    </row>
    <row r="79" spans="1:38">
      <c r="A79" s="2" t="str">
        <f>E電入力!C80&amp;"+25;"</f>
        <v>+25;</v>
      </c>
      <c r="B79" s="2" t="str">
        <f ca="1">"Beacon.Put(111,0,1"&amp;TEXT(E電入力!X80,"000000")&amp;");"</f>
        <v>Beacon.Put(111,0,1004630);</v>
      </c>
      <c r="C79" s="2" t="str">
        <f ca="1">"Beacon.Put(111,0,2"&amp;TEXT(E電入力!Y80,"000000")&amp;");"</f>
        <v>Beacon.Put(111,0,2005530);</v>
      </c>
      <c r="D79" s="2" t="str">
        <f ca="1">"Beacon.Put(111,0,3"&amp;TEXT(E電入力!Z80,"000000")&amp;");"</f>
        <v>Beacon.Put(111,0,3006030);</v>
      </c>
      <c r="E79" s="2" t="str">
        <f ca="1">"Beacon.Put(111,0,4"&amp;TEXT(E電入力!AA80,"000000")&amp;");"</f>
        <v>Beacon.Put(111,0,4000000);</v>
      </c>
      <c r="F79" s="2" t="str">
        <f ca="1">"Beacon.Put(111,0,5"&amp;TEXT(E電入力!AB80,"000000")&amp;");"</f>
        <v>Beacon.Put(111,0,5000560);</v>
      </c>
      <c r="G79" s="2" t="str">
        <f ca="1">"Beacon.Put(111,0,6"&amp;TEXT(E電入力!AC80,"000000")&amp;");"</f>
        <v>Beacon.Put(111,0,6000000);</v>
      </c>
      <c r="H79" s="2" t="str">
        <f ca="1">"Beacon.Put(112,0,1"&amp;TEXT(E電入力!AD80,"000000")&amp;");"</f>
        <v>Beacon.Put(112,0,1005130);</v>
      </c>
      <c r="I79" s="2" t="str">
        <f ca="1">"Beacon.Put(112,0,2"&amp;TEXT(E電入力!AE80,"000000")&amp;");"</f>
        <v>Beacon.Put(112,0,2005660);</v>
      </c>
      <c r="J79" s="2" t="str">
        <f ca="1">"Beacon.Put(112,0,3"&amp;TEXT(E電入力!AF80,"000000")&amp;");"</f>
        <v>Beacon.Put(112,0,3000160);</v>
      </c>
      <c r="K79" s="2" t="str">
        <f ca="1">"Beacon.Put(112,0,4"&amp;TEXT(E電入力!AG80,"000000")&amp;");"</f>
        <v>Beacon.Put(112,0,4000000);</v>
      </c>
      <c r="L79" s="2" t="str">
        <f ca="1">"Beacon.Put(112,0,5"&amp;TEXT(E電入力!AH80,"000000")&amp;");"</f>
        <v>Beacon.Put(112,0,5000000);</v>
      </c>
      <c r="M79" s="2" t="str">
        <f ca="1">"Beacon.Put(112,0,6"&amp;TEXT(E電入力!AI80,"000000")&amp;");"</f>
        <v>Beacon.Put(112,0,6000000);</v>
      </c>
      <c r="N79" s="12"/>
      <c r="O79" s="12"/>
      <c r="P79" s="12"/>
      <c r="Q79" s="12"/>
      <c r="R79" s="12"/>
      <c r="S79" s="12"/>
      <c r="T79" s="12"/>
      <c r="U79" s="12"/>
      <c r="V79" s="12"/>
      <c r="W79" s="12"/>
      <c r="X79" s="12"/>
      <c r="Y79" s="12"/>
      <c r="Z79" s="12"/>
      <c r="AA79" s="12"/>
      <c r="AB79" s="12"/>
      <c r="AC79" s="12"/>
      <c r="AD79" s="12"/>
      <c r="AE79" s="12"/>
      <c r="AF79" s="12"/>
      <c r="AG79" s="12"/>
      <c r="AH79" s="12"/>
      <c r="AI79" s="12"/>
      <c r="AJ79" s="12"/>
      <c r="AK79" s="12"/>
      <c r="AL79" s="12"/>
    </row>
    <row r="80" spans="1:38">
      <c r="A80" s="2" t="str">
        <f>E電入力!C81&amp;"+25;"</f>
        <v>+25;</v>
      </c>
      <c r="B80" s="2" t="str">
        <f ca="1">"Beacon.Put(111,0,1"&amp;TEXT(E電入力!X81,"000000")&amp;");"</f>
        <v>Beacon.Put(111,0,1005160);</v>
      </c>
      <c r="C80" s="2" t="str">
        <f ca="1">"Beacon.Put(111,0,2"&amp;TEXT(E電入力!Y81,"000000")&amp;");"</f>
        <v>Beacon.Put(111,0,2005530);</v>
      </c>
      <c r="D80" s="2" t="str">
        <f ca="1">"Beacon.Put(111,0,3"&amp;TEXT(E電入力!Z81,"000000")&amp;");"</f>
        <v>Beacon.Put(111,0,3006030);</v>
      </c>
      <c r="E80" s="2" t="str">
        <f ca="1">"Beacon.Put(111,0,4"&amp;TEXT(E電入力!AA81,"000000")&amp;");"</f>
        <v>Beacon.Put(111,0,4000000);</v>
      </c>
      <c r="F80" s="2" t="str">
        <f ca="1">"Beacon.Put(111,0,5"&amp;TEXT(E電入力!AB81,"000000")&amp;");"</f>
        <v>Beacon.Put(111,0,5000560);</v>
      </c>
      <c r="G80" s="2" t="str">
        <f ca="1">"Beacon.Put(111,0,6"&amp;TEXT(E電入力!AC81,"000000")&amp;");"</f>
        <v>Beacon.Put(111,0,6000000);</v>
      </c>
      <c r="H80" s="2" t="str">
        <f ca="1">"Beacon.Put(112,0,1"&amp;TEXT(E電入力!AD81,"000000")&amp;");"</f>
        <v>Beacon.Put(112,0,1005130);</v>
      </c>
      <c r="I80" s="2" t="str">
        <f ca="1">"Beacon.Put(112,0,2"&amp;TEXT(E電入力!AE81,"000000")&amp;");"</f>
        <v>Beacon.Put(112,0,2005660);</v>
      </c>
      <c r="J80" s="2" t="str">
        <f ca="1">"Beacon.Put(112,0,3"&amp;TEXT(E電入力!AF81,"000000")&amp;");"</f>
        <v>Beacon.Put(112,0,3000160);</v>
      </c>
      <c r="K80" s="2" t="str">
        <f ca="1">"Beacon.Put(112,0,4"&amp;TEXT(E電入力!AG81,"000000")&amp;");"</f>
        <v>Beacon.Put(112,0,4000000);</v>
      </c>
      <c r="L80" s="2" t="str">
        <f ca="1">"Beacon.Put(112,0,5"&amp;TEXT(E電入力!AH81,"000000")&amp;");"</f>
        <v>Beacon.Put(112,0,5000000);</v>
      </c>
      <c r="M80" s="2" t="str">
        <f ca="1">"Beacon.Put(112,0,6"&amp;TEXT(E電入力!AI81,"000000")&amp;");"</f>
        <v>Beacon.Put(112,0,6000000);</v>
      </c>
      <c r="N80" s="12"/>
      <c r="O80" s="12"/>
      <c r="P80" s="12"/>
      <c r="Q80" s="12"/>
      <c r="R80" s="12"/>
      <c r="S80" s="12"/>
      <c r="T80" s="12"/>
      <c r="U80" s="12"/>
      <c r="V80" s="12"/>
      <c r="W80" s="12"/>
      <c r="X80" s="12"/>
      <c r="Y80" s="12"/>
      <c r="Z80" s="12"/>
      <c r="AA80" s="12"/>
      <c r="AB80" s="12"/>
      <c r="AC80" s="12"/>
      <c r="AD80" s="12"/>
      <c r="AE80" s="12"/>
      <c r="AF80" s="12"/>
      <c r="AG80" s="12"/>
      <c r="AH80" s="12"/>
      <c r="AI80" s="12"/>
      <c r="AJ80" s="12"/>
      <c r="AK80" s="12"/>
      <c r="AL80" s="12"/>
    </row>
    <row r="81" spans="1:38">
      <c r="A81" s="2" t="str">
        <f>E電入力!C82&amp;"+25;"</f>
        <v>+25;</v>
      </c>
      <c r="B81" s="2" t="str">
        <f ca="1">"Beacon.Put(111,0,1"&amp;TEXT(E電入力!X82,"000000")&amp;");"</f>
        <v>Beacon.Put(111,0,1004630);</v>
      </c>
      <c r="C81" s="2" t="str">
        <f ca="1">"Beacon.Put(111,0,2"&amp;TEXT(E電入力!Y82,"000000")&amp;");"</f>
        <v>Beacon.Put(111,0,2005530);</v>
      </c>
      <c r="D81" s="2" t="str">
        <f ca="1">"Beacon.Put(111,0,3"&amp;TEXT(E電入力!Z82,"000000")&amp;");"</f>
        <v>Beacon.Put(111,0,3006030);</v>
      </c>
      <c r="E81" s="2" t="str">
        <f ca="1">"Beacon.Put(111,0,4"&amp;TEXT(E電入力!AA82,"000000")&amp;");"</f>
        <v>Beacon.Put(111,0,4000000);</v>
      </c>
      <c r="F81" s="2" t="str">
        <f ca="1">"Beacon.Put(111,0,5"&amp;TEXT(E電入力!AB82,"000000")&amp;");"</f>
        <v>Beacon.Put(111,0,5000560);</v>
      </c>
      <c r="G81" s="2" t="str">
        <f ca="1">"Beacon.Put(111,0,6"&amp;TEXT(E電入力!AC82,"000000")&amp;");"</f>
        <v>Beacon.Put(111,0,6000000);</v>
      </c>
      <c r="H81" s="2" t="str">
        <f ca="1">"Beacon.Put(112,0,1"&amp;TEXT(E電入力!AD82,"000000")&amp;");"</f>
        <v>Beacon.Put(112,0,1005130);</v>
      </c>
      <c r="I81" s="2" t="str">
        <f ca="1">"Beacon.Put(112,0,2"&amp;TEXT(E電入力!AE82,"000000")&amp;");"</f>
        <v>Beacon.Put(112,0,2005660);</v>
      </c>
      <c r="J81" s="2" t="str">
        <f ca="1">"Beacon.Put(112,0,3"&amp;TEXT(E電入力!AF82,"000000")&amp;");"</f>
        <v>Beacon.Put(112,0,3000160);</v>
      </c>
      <c r="K81" s="2" t="str">
        <f ca="1">"Beacon.Put(112,0,4"&amp;TEXT(E電入力!AG82,"000000")&amp;");"</f>
        <v>Beacon.Put(112,0,4000000);</v>
      </c>
      <c r="L81" s="2" t="str">
        <f ca="1">"Beacon.Put(112,0,5"&amp;TEXT(E電入力!AH82,"000000")&amp;");"</f>
        <v>Beacon.Put(112,0,5000000);</v>
      </c>
      <c r="M81" s="2" t="str">
        <f ca="1">"Beacon.Put(112,0,6"&amp;TEXT(E電入力!AI82,"000000")&amp;");"</f>
        <v>Beacon.Put(112,0,6000000);</v>
      </c>
      <c r="N81" s="12"/>
      <c r="O81" s="12"/>
      <c r="P81" s="12"/>
      <c r="Q81" s="12"/>
      <c r="R81" s="12"/>
      <c r="S81" s="12"/>
      <c r="T81" s="12"/>
      <c r="U81" s="12"/>
      <c r="V81" s="12"/>
      <c r="W81" s="12"/>
      <c r="X81" s="12"/>
      <c r="Y81" s="12"/>
      <c r="Z81" s="12"/>
      <c r="AA81" s="12"/>
      <c r="AB81" s="12"/>
      <c r="AC81" s="12"/>
      <c r="AD81" s="12"/>
      <c r="AE81" s="12"/>
      <c r="AF81" s="12"/>
      <c r="AG81" s="12"/>
      <c r="AH81" s="12"/>
      <c r="AI81" s="12"/>
      <c r="AJ81" s="12"/>
      <c r="AK81" s="12"/>
      <c r="AL81" s="12"/>
    </row>
    <row r="82" spans="1:38">
      <c r="A82" s="2" t="str">
        <f>E電入力!C83&amp;"+25;"</f>
        <v>+25;</v>
      </c>
      <c r="B82" s="2" t="str">
        <f ca="1">"Beacon.Put(111,0,1"&amp;TEXT(E電入力!X83,"000000")&amp;");"</f>
        <v>Beacon.Put(111,0,1005160);</v>
      </c>
      <c r="C82" s="2" t="str">
        <f ca="1">"Beacon.Put(111,0,2"&amp;TEXT(E電入力!Y83,"000000")&amp;");"</f>
        <v>Beacon.Put(111,0,2005530);</v>
      </c>
      <c r="D82" s="2" t="str">
        <f ca="1">"Beacon.Put(111,0,3"&amp;TEXT(E電入力!Z83,"000000")&amp;");"</f>
        <v>Beacon.Put(111,0,3006030);</v>
      </c>
      <c r="E82" s="2" t="str">
        <f ca="1">"Beacon.Put(111,0,4"&amp;TEXT(E電入力!AA83,"000000")&amp;");"</f>
        <v>Beacon.Put(111,0,4000000);</v>
      </c>
      <c r="F82" s="2" t="str">
        <f ca="1">"Beacon.Put(111,0,5"&amp;TEXT(E電入力!AB83,"000000")&amp;");"</f>
        <v>Beacon.Put(111,0,5000560);</v>
      </c>
      <c r="G82" s="2" t="str">
        <f ca="1">"Beacon.Put(111,0,6"&amp;TEXT(E電入力!AC83,"000000")&amp;");"</f>
        <v>Beacon.Put(111,0,6000000);</v>
      </c>
      <c r="H82" s="2" t="str">
        <f ca="1">"Beacon.Put(112,0,1"&amp;TEXT(E電入力!AD83,"000000")&amp;");"</f>
        <v>Beacon.Put(112,0,1005130);</v>
      </c>
      <c r="I82" s="2" t="str">
        <f ca="1">"Beacon.Put(112,0,2"&amp;TEXT(E電入力!AE83,"000000")&amp;");"</f>
        <v>Beacon.Put(112,0,2005660);</v>
      </c>
      <c r="J82" s="2" t="str">
        <f ca="1">"Beacon.Put(112,0,3"&amp;TEXT(E電入力!AF83,"000000")&amp;");"</f>
        <v>Beacon.Put(112,0,3000160);</v>
      </c>
      <c r="K82" s="2" t="str">
        <f ca="1">"Beacon.Put(112,0,4"&amp;TEXT(E電入力!AG83,"000000")&amp;");"</f>
        <v>Beacon.Put(112,0,4000000);</v>
      </c>
      <c r="L82" s="2" t="str">
        <f ca="1">"Beacon.Put(112,0,5"&amp;TEXT(E電入力!AH83,"000000")&amp;");"</f>
        <v>Beacon.Put(112,0,5000000);</v>
      </c>
      <c r="M82" s="2" t="str">
        <f ca="1">"Beacon.Put(112,0,6"&amp;TEXT(E電入力!AI83,"000000")&amp;");"</f>
        <v>Beacon.Put(112,0,6000000);</v>
      </c>
      <c r="N82" s="12"/>
      <c r="O82" s="12"/>
      <c r="P82" s="12"/>
      <c r="Q82" s="12"/>
      <c r="R82" s="12"/>
      <c r="S82" s="12"/>
      <c r="T82" s="12"/>
      <c r="U82" s="12"/>
      <c r="V82" s="12"/>
      <c r="W82" s="12"/>
      <c r="X82" s="12"/>
      <c r="Y82" s="12"/>
      <c r="Z82" s="12"/>
      <c r="AA82" s="12"/>
      <c r="AB82" s="12"/>
      <c r="AC82" s="12"/>
      <c r="AD82" s="12"/>
      <c r="AE82" s="12"/>
      <c r="AF82" s="12"/>
      <c r="AG82" s="12"/>
      <c r="AH82" s="12"/>
      <c r="AI82" s="12"/>
      <c r="AJ82" s="12"/>
      <c r="AK82" s="12"/>
      <c r="AL82" s="12"/>
    </row>
    <row r="83" spans="1:38">
      <c r="A83" s="2" t="str">
        <f>E電入力!C84&amp;"+25;"</f>
        <v>+25;</v>
      </c>
      <c r="B83" s="2" t="str">
        <f ca="1">"Beacon.Put(111,0,1"&amp;TEXT(E電入力!X84,"000000")&amp;");"</f>
        <v>Beacon.Put(111,0,1004630);</v>
      </c>
      <c r="C83" s="2" t="str">
        <f ca="1">"Beacon.Put(111,0,2"&amp;TEXT(E電入力!Y84,"000000")&amp;");"</f>
        <v>Beacon.Put(111,0,2005530);</v>
      </c>
      <c r="D83" s="2" t="str">
        <f ca="1">"Beacon.Put(111,0,3"&amp;TEXT(E電入力!Z84,"000000")&amp;");"</f>
        <v>Beacon.Put(111,0,3006030);</v>
      </c>
      <c r="E83" s="2" t="str">
        <f ca="1">"Beacon.Put(111,0,4"&amp;TEXT(E電入力!AA84,"000000")&amp;");"</f>
        <v>Beacon.Put(111,0,4000000);</v>
      </c>
      <c r="F83" s="2" t="str">
        <f ca="1">"Beacon.Put(111,0,5"&amp;TEXT(E電入力!AB84,"000000")&amp;");"</f>
        <v>Beacon.Put(111,0,5000560);</v>
      </c>
      <c r="G83" s="2" t="str">
        <f ca="1">"Beacon.Put(111,0,6"&amp;TEXT(E電入力!AC84,"000000")&amp;");"</f>
        <v>Beacon.Put(111,0,6000000);</v>
      </c>
      <c r="H83" s="2" t="str">
        <f ca="1">"Beacon.Put(112,0,1"&amp;TEXT(E電入力!AD84,"000000")&amp;");"</f>
        <v>Beacon.Put(112,0,1005130);</v>
      </c>
      <c r="I83" s="2" t="str">
        <f ca="1">"Beacon.Put(112,0,2"&amp;TEXT(E電入力!AE84,"000000")&amp;");"</f>
        <v>Beacon.Put(112,0,2005660);</v>
      </c>
      <c r="J83" s="2" t="str">
        <f ca="1">"Beacon.Put(112,0,3"&amp;TEXT(E電入力!AF84,"000000")&amp;");"</f>
        <v>Beacon.Put(112,0,3000160);</v>
      </c>
      <c r="K83" s="2" t="str">
        <f ca="1">"Beacon.Put(112,0,4"&amp;TEXT(E電入力!AG84,"000000")&amp;");"</f>
        <v>Beacon.Put(112,0,4000000);</v>
      </c>
      <c r="L83" s="2" t="str">
        <f ca="1">"Beacon.Put(112,0,5"&amp;TEXT(E電入力!AH84,"000000")&amp;");"</f>
        <v>Beacon.Put(112,0,5000000);</v>
      </c>
      <c r="M83" s="2" t="str">
        <f ca="1">"Beacon.Put(112,0,6"&amp;TEXT(E電入力!AI84,"000000")&amp;");"</f>
        <v>Beacon.Put(112,0,6000000);</v>
      </c>
      <c r="N83" s="12"/>
      <c r="O83" s="12"/>
      <c r="P83" s="12"/>
      <c r="Q83" s="12"/>
      <c r="R83" s="12"/>
      <c r="S83" s="12"/>
      <c r="T83" s="12"/>
      <c r="U83" s="12"/>
      <c r="V83" s="12"/>
      <c r="W83" s="12"/>
      <c r="X83" s="12"/>
      <c r="Y83" s="12"/>
      <c r="Z83" s="12"/>
      <c r="AA83" s="12"/>
      <c r="AB83" s="12"/>
      <c r="AC83" s="12"/>
      <c r="AD83" s="12"/>
      <c r="AE83" s="12"/>
      <c r="AF83" s="12"/>
      <c r="AG83" s="12"/>
      <c r="AH83" s="12"/>
      <c r="AI83" s="12"/>
      <c r="AJ83" s="12"/>
      <c r="AK83" s="12"/>
      <c r="AL83" s="12"/>
    </row>
    <row r="84" spans="1:38">
      <c r="A84" s="2" t="str">
        <f>E電入力!C85&amp;"+25;"</f>
        <v>+25;</v>
      </c>
      <c r="B84" s="2" t="str">
        <f ca="1">"Beacon.Put(111,0,1"&amp;TEXT(E電入力!X85,"000000")&amp;");"</f>
        <v>Beacon.Put(111,0,1005160);</v>
      </c>
      <c r="C84" s="2" t="str">
        <f ca="1">"Beacon.Put(111,0,2"&amp;TEXT(E電入力!Y85,"000000")&amp;");"</f>
        <v>Beacon.Put(111,0,2005530);</v>
      </c>
      <c r="D84" s="2" t="str">
        <f ca="1">"Beacon.Put(111,0,3"&amp;TEXT(E電入力!Z85,"000000")&amp;");"</f>
        <v>Beacon.Put(111,0,3006030);</v>
      </c>
      <c r="E84" s="2" t="str">
        <f ca="1">"Beacon.Put(111,0,4"&amp;TEXT(E電入力!AA85,"000000")&amp;");"</f>
        <v>Beacon.Put(111,0,4000000);</v>
      </c>
      <c r="F84" s="2" t="str">
        <f ca="1">"Beacon.Put(111,0,5"&amp;TEXT(E電入力!AB85,"000000")&amp;");"</f>
        <v>Beacon.Put(111,0,5000560);</v>
      </c>
      <c r="G84" s="2" t="str">
        <f ca="1">"Beacon.Put(111,0,6"&amp;TEXT(E電入力!AC85,"000000")&amp;");"</f>
        <v>Beacon.Put(111,0,6000000);</v>
      </c>
      <c r="H84" s="2" t="str">
        <f ca="1">"Beacon.Put(112,0,1"&amp;TEXT(E電入力!AD85,"000000")&amp;");"</f>
        <v>Beacon.Put(112,0,1005130);</v>
      </c>
      <c r="I84" s="2" t="str">
        <f ca="1">"Beacon.Put(112,0,2"&amp;TEXT(E電入力!AE85,"000000")&amp;");"</f>
        <v>Beacon.Put(112,0,2005660);</v>
      </c>
      <c r="J84" s="2" t="str">
        <f ca="1">"Beacon.Put(112,0,3"&amp;TEXT(E電入力!AF85,"000000")&amp;");"</f>
        <v>Beacon.Put(112,0,3000160);</v>
      </c>
      <c r="K84" s="2" t="str">
        <f ca="1">"Beacon.Put(112,0,4"&amp;TEXT(E電入力!AG85,"000000")&amp;");"</f>
        <v>Beacon.Put(112,0,4000000);</v>
      </c>
      <c r="L84" s="2" t="str">
        <f ca="1">"Beacon.Put(112,0,5"&amp;TEXT(E電入力!AH85,"000000")&amp;");"</f>
        <v>Beacon.Put(112,0,5000000);</v>
      </c>
      <c r="M84" s="2" t="str">
        <f ca="1">"Beacon.Put(112,0,6"&amp;TEXT(E電入力!AI85,"000000")&amp;");"</f>
        <v>Beacon.Put(112,0,6000000);</v>
      </c>
      <c r="N84" s="12"/>
      <c r="O84" s="12"/>
      <c r="P84" s="12"/>
      <c r="Q84" s="12"/>
      <c r="R84" s="12"/>
      <c r="S84" s="12"/>
      <c r="T84" s="12"/>
      <c r="U84" s="12"/>
      <c r="V84" s="12"/>
      <c r="W84" s="12"/>
      <c r="X84" s="12"/>
      <c r="Y84" s="12"/>
      <c r="Z84" s="12"/>
      <c r="AA84" s="12"/>
      <c r="AB84" s="12"/>
      <c r="AC84" s="12"/>
      <c r="AD84" s="12"/>
      <c r="AE84" s="12"/>
      <c r="AF84" s="12"/>
      <c r="AG84" s="12"/>
      <c r="AH84" s="12"/>
      <c r="AI84" s="12"/>
      <c r="AJ84" s="12"/>
      <c r="AK84" s="12"/>
      <c r="AL84" s="12"/>
    </row>
    <row r="85" spans="1:38">
      <c r="A85" s="2" t="str">
        <f>E電入力!C86&amp;"+25;"</f>
        <v>+25;</v>
      </c>
      <c r="B85" s="2" t="str">
        <f ca="1">"Beacon.Put(111,0,1"&amp;TEXT(E電入力!X86,"000000")&amp;");"</f>
        <v>Beacon.Put(111,0,1004630);</v>
      </c>
      <c r="C85" s="2" t="str">
        <f ca="1">"Beacon.Put(111,0,2"&amp;TEXT(E電入力!Y86,"000000")&amp;");"</f>
        <v>Beacon.Put(111,0,2005530);</v>
      </c>
      <c r="D85" s="2" t="str">
        <f ca="1">"Beacon.Put(111,0,3"&amp;TEXT(E電入力!Z86,"000000")&amp;");"</f>
        <v>Beacon.Put(111,0,3006030);</v>
      </c>
      <c r="E85" s="2" t="str">
        <f ca="1">"Beacon.Put(111,0,4"&amp;TEXT(E電入力!AA86,"000000")&amp;");"</f>
        <v>Beacon.Put(111,0,4000000);</v>
      </c>
      <c r="F85" s="2" t="str">
        <f ca="1">"Beacon.Put(111,0,5"&amp;TEXT(E電入力!AB86,"000000")&amp;");"</f>
        <v>Beacon.Put(111,0,5000560);</v>
      </c>
      <c r="G85" s="2" t="str">
        <f ca="1">"Beacon.Put(111,0,6"&amp;TEXT(E電入力!AC86,"000000")&amp;");"</f>
        <v>Beacon.Put(111,0,6000000);</v>
      </c>
      <c r="H85" s="2" t="str">
        <f ca="1">"Beacon.Put(112,0,1"&amp;TEXT(E電入力!AD86,"000000")&amp;");"</f>
        <v>Beacon.Put(112,0,1005130);</v>
      </c>
      <c r="I85" s="2" t="str">
        <f ca="1">"Beacon.Put(112,0,2"&amp;TEXT(E電入力!AE86,"000000")&amp;");"</f>
        <v>Beacon.Put(112,0,2005660);</v>
      </c>
      <c r="J85" s="2" t="str">
        <f ca="1">"Beacon.Put(112,0,3"&amp;TEXT(E電入力!AF86,"000000")&amp;");"</f>
        <v>Beacon.Put(112,0,3000160);</v>
      </c>
      <c r="K85" s="2" t="str">
        <f ca="1">"Beacon.Put(112,0,4"&amp;TEXT(E電入力!AG86,"000000")&amp;");"</f>
        <v>Beacon.Put(112,0,4000000);</v>
      </c>
      <c r="L85" s="2" t="str">
        <f ca="1">"Beacon.Put(112,0,5"&amp;TEXT(E電入力!AH86,"000000")&amp;");"</f>
        <v>Beacon.Put(112,0,5000000);</v>
      </c>
      <c r="M85" s="2" t="str">
        <f ca="1">"Beacon.Put(112,0,6"&amp;TEXT(E電入力!AI86,"000000")&amp;");"</f>
        <v>Beacon.Put(112,0,6000000);</v>
      </c>
      <c r="N85" s="12"/>
      <c r="O85" s="12"/>
      <c r="P85" s="12"/>
      <c r="Q85" s="12"/>
      <c r="R85" s="12"/>
      <c r="S85" s="12"/>
      <c r="T85" s="12"/>
      <c r="U85" s="12"/>
      <c r="V85" s="12"/>
      <c r="W85" s="12"/>
      <c r="X85" s="12"/>
      <c r="Y85" s="12"/>
      <c r="Z85" s="12"/>
      <c r="AA85" s="12"/>
      <c r="AB85" s="12"/>
      <c r="AC85" s="12"/>
      <c r="AD85" s="12"/>
      <c r="AE85" s="12"/>
      <c r="AF85" s="12"/>
      <c r="AG85" s="12"/>
      <c r="AH85" s="12"/>
      <c r="AI85" s="12"/>
      <c r="AJ85" s="12"/>
      <c r="AK85" s="12"/>
      <c r="AL85" s="12"/>
    </row>
    <row r="86" spans="1:38">
      <c r="A86" s="2" t="str">
        <f>E電入力!C87&amp;"+25;"</f>
        <v>+25;</v>
      </c>
      <c r="B86" s="2" t="str">
        <f ca="1">"Beacon.Put(111,0,1"&amp;TEXT(E電入力!X87,"000000")&amp;");"</f>
        <v>Beacon.Put(111,0,1005160);</v>
      </c>
      <c r="C86" s="2" t="str">
        <f ca="1">"Beacon.Put(111,0,2"&amp;TEXT(E電入力!Y87,"000000")&amp;");"</f>
        <v>Beacon.Put(111,0,2005530);</v>
      </c>
      <c r="D86" s="2" t="str">
        <f ca="1">"Beacon.Put(111,0,3"&amp;TEXT(E電入力!Z87,"000000")&amp;");"</f>
        <v>Beacon.Put(111,0,3006030);</v>
      </c>
      <c r="E86" s="2" t="str">
        <f ca="1">"Beacon.Put(111,0,4"&amp;TEXT(E電入力!AA87,"000000")&amp;");"</f>
        <v>Beacon.Put(111,0,4000000);</v>
      </c>
      <c r="F86" s="2" t="str">
        <f ca="1">"Beacon.Put(111,0,5"&amp;TEXT(E電入力!AB87,"000000")&amp;");"</f>
        <v>Beacon.Put(111,0,5000560);</v>
      </c>
      <c r="G86" s="2" t="str">
        <f ca="1">"Beacon.Put(111,0,6"&amp;TEXT(E電入力!AC87,"000000")&amp;");"</f>
        <v>Beacon.Put(111,0,6000000);</v>
      </c>
      <c r="H86" s="2" t="str">
        <f ca="1">"Beacon.Put(112,0,1"&amp;TEXT(E電入力!AD87,"000000")&amp;");"</f>
        <v>Beacon.Put(112,0,1005130);</v>
      </c>
      <c r="I86" s="2" t="str">
        <f ca="1">"Beacon.Put(112,0,2"&amp;TEXT(E電入力!AE87,"000000")&amp;");"</f>
        <v>Beacon.Put(112,0,2005660);</v>
      </c>
      <c r="J86" s="2" t="str">
        <f ca="1">"Beacon.Put(112,0,3"&amp;TEXT(E電入力!AF87,"000000")&amp;");"</f>
        <v>Beacon.Put(112,0,3000160);</v>
      </c>
      <c r="K86" s="2" t="str">
        <f ca="1">"Beacon.Put(112,0,4"&amp;TEXT(E電入力!AG87,"000000")&amp;");"</f>
        <v>Beacon.Put(112,0,4000000);</v>
      </c>
      <c r="L86" s="2" t="str">
        <f ca="1">"Beacon.Put(112,0,5"&amp;TEXT(E電入力!AH87,"000000")&amp;");"</f>
        <v>Beacon.Put(112,0,5000000);</v>
      </c>
      <c r="M86" s="2" t="str">
        <f ca="1">"Beacon.Put(112,0,6"&amp;TEXT(E電入力!AI87,"000000")&amp;");"</f>
        <v>Beacon.Put(112,0,6000000);</v>
      </c>
      <c r="N86" s="12"/>
      <c r="O86" s="12"/>
      <c r="P86" s="12"/>
      <c r="Q86" s="12"/>
      <c r="R86" s="12"/>
      <c r="S86" s="12"/>
      <c r="T86" s="12"/>
      <c r="U86" s="12"/>
      <c r="V86" s="12"/>
      <c r="W86" s="12"/>
      <c r="X86" s="12"/>
      <c r="Y86" s="12"/>
      <c r="Z86" s="12"/>
      <c r="AA86" s="12"/>
      <c r="AB86" s="12"/>
      <c r="AC86" s="12"/>
      <c r="AD86" s="12"/>
      <c r="AE86" s="12"/>
      <c r="AF86" s="12"/>
      <c r="AG86" s="12"/>
      <c r="AH86" s="12"/>
      <c r="AI86" s="12"/>
      <c r="AJ86" s="12"/>
      <c r="AK86" s="12"/>
      <c r="AL86" s="12"/>
    </row>
    <row r="87" spans="1:38">
      <c r="A87" s="2" t="str">
        <f>E電入力!C88&amp;"+25;"</f>
        <v>+25;</v>
      </c>
      <c r="B87" s="2" t="str">
        <f ca="1">"Beacon.Put(111,0,1"&amp;TEXT(E電入力!X88,"000000")&amp;");"</f>
        <v>Beacon.Put(111,0,1004630);</v>
      </c>
      <c r="C87" s="2" t="str">
        <f ca="1">"Beacon.Put(111,0,2"&amp;TEXT(E電入力!Y88,"000000")&amp;");"</f>
        <v>Beacon.Put(111,0,2005530);</v>
      </c>
      <c r="D87" s="2" t="str">
        <f ca="1">"Beacon.Put(111,0,3"&amp;TEXT(E電入力!Z88,"000000")&amp;");"</f>
        <v>Beacon.Put(111,0,3006030);</v>
      </c>
      <c r="E87" s="2" t="str">
        <f ca="1">"Beacon.Put(111,0,4"&amp;TEXT(E電入力!AA88,"000000")&amp;");"</f>
        <v>Beacon.Put(111,0,4000000);</v>
      </c>
      <c r="F87" s="2" t="str">
        <f ca="1">"Beacon.Put(111,0,5"&amp;TEXT(E電入力!AB88,"000000")&amp;");"</f>
        <v>Beacon.Put(111,0,5000560);</v>
      </c>
      <c r="G87" s="2" t="str">
        <f ca="1">"Beacon.Put(111,0,6"&amp;TEXT(E電入力!AC88,"000000")&amp;");"</f>
        <v>Beacon.Put(111,0,6000000);</v>
      </c>
      <c r="H87" s="2" t="str">
        <f ca="1">"Beacon.Put(112,0,1"&amp;TEXT(E電入力!AD88,"000000")&amp;");"</f>
        <v>Beacon.Put(112,0,1005130);</v>
      </c>
      <c r="I87" s="2" t="str">
        <f ca="1">"Beacon.Put(112,0,2"&amp;TEXT(E電入力!AE88,"000000")&amp;");"</f>
        <v>Beacon.Put(112,0,2005660);</v>
      </c>
      <c r="J87" s="2" t="str">
        <f ca="1">"Beacon.Put(112,0,3"&amp;TEXT(E電入力!AF88,"000000")&amp;");"</f>
        <v>Beacon.Put(112,0,3000160);</v>
      </c>
      <c r="K87" s="2" t="str">
        <f ca="1">"Beacon.Put(112,0,4"&amp;TEXT(E電入力!AG88,"000000")&amp;");"</f>
        <v>Beacon.Put(112,0,4000000);</v>
      </c>
      <c r="L87" s="2" t="str">
        <f ca="1">"Beacon.Put(112,0,5"&amp;TEXT(E電入力!AH88,"000000")&amp;");"</f>
        <v>Beacon.Put(112,0,5000000);</v>
      </c>
      <c r="M87" s="2" t="str">
        <f ca="1">"Beacon.Put(112,0,6"&amp;TEXT(E電入力!AI88,"000000")&amp;");"</f>
        <v>Beacon.Put(112,0,6000000);</v>
      </c>
      <c r="N87" s="12"/>
      <c r="O87" s="12"/>
      <c r="P87" s="12"/>
      <c r="Q87" s="12"/>
      <c r="R87" s="12"/>
      <c r="S87" s="12"/>
      <c r="T87" s="12"/>
      <c r="U87" s="12"/>
      <c r="V87" s="12"/>
      <c r="W87" s="12"/>
      <c r="X87" s="12"/>
      <c r="Y87" s="12"/>
      <c r="Z87" s="12"/>
      <c r="AA87" s="12"/>
      <c r="AB87" s="12"/>
      <c r="AC87" s="12"/>
      <c r="AD87" s="12"/>
      <c r="AE87" s="12"/>
      <c r="AF87" s="12"/>
      <c r="AG87" s="12"/>
      <c r="AH87" s="12"/>
      <c r="AI87" s="12"/>
      <c r="AJ87" s="12"/>
      <c r="AK87" s="12"/>
      <c r="AL87" s="12"/>
    </row>
    <row r="88" spans="1:38">
      <c r="A88" s="2" t="str">
        <f>E電入力!C89&amp;"+25;"</f>
        <v>+25;</v>
      </c>
      <c r="B88" s="2" t="str">
        <f ca="1">"Beacon.Put(111,0,1"&amp;TEXT(E電入力!X89,"000000")&amp;");"</f>
        <v>Beacon.Put(111,0,1005160);</v>
      </c>
      <c r="C88" s="2" t="str">
        <f ca="1">"Beacon.Put(111,0,2"&amp;TEXT(E電入力!Y89,"000000")&amp;");"</f>
        <v>Beacon.Put(111,0,2005530);</v>
      </c>
      <c r="D88" s="2" t="str">
        <f ca="1">"Beacon.Put(111,0,3"&amp;TEXT(E電入力!Z89,"000000")&amp;");"</f>
        <v>Beacon.Put(111,0,3006030);</v>
      </c>
      <c r="E88" s="2" t="str">
        <f ca="1">"Beacon.Put(111,0,4"&amp;TEXT(E電入力!AA89,"000000")&amp;");"</f>
        <v>Beacon.Put(111,0,4000000);</v>
      </c>
      <c r="F88" s="2" t="str">
        <f ca="1">"Beacon.Put(111,0,5"&amp;TEXT(E電入力!AB89,"000000")&amp;");"</f>
        <v>Beacon.Put(111,0,5000560);</v>
      </c>
      <c r="G88" s="2" t="str">
        <f ca="1">"Beacon.Put(111,0,6"&amp;TEXT(E電入力!AC89,"000000")&amp;");"</f>
        <v>Beacon.Put(111,0,6000000);</v>
      </c>
      <c r="H88" s="2" t="str">
        <f ca="1">"Beacon.Put(112,0,1"&amp;TEXT(E電入力!AD89,"000000")&amp;");"</f>
        <v>Beacon.Put(112,0,1005130);</v>
      </c>
      <c r="I88" s="2" t="str">
        <f ca="1">"Beacon.Put(112,0,2"&amp;TEXT(E電入力!AE89,"000000")&amp;");"</f>
        <v>Beacon.Put(112,0,2005660);</v>
      </c>
      <c r="J88" s="2" t="str">
        <f ca="1">"Beacon.Put(112,0,3"&amp;TEXT(E電入力!AF89,"000000")&amp;");"</f>
        <v>Beacon.Put(112,0,3000160);</v>
      </c>
      <c r="K88" s="2" t="str">
        <f ca="1">"Beacon.Put(112,0,4"&amp;TEXT(E電入力!AG89,"000000")&amp;");"</f>
        <v>Beacon.Put(112,0,4000000);</v>
      </c>
      <c r="L88" s="2" t="str">
        <f ca="1">"Beacon.Put(112,0,5"&amp;TEXT(E電入力!AH89,"000000")&amp;");"</f>
        <v>Beacon.Put(112,0,5000000);</v>
      </c>
      <c r="M88" s="2" t="str">
        <f ca="1">"Beacon.Put(112,0,6"&amp;TEXT(E電入力!AI89,"000000")&amp;");"</f>
        <v>Beacon.Put(112,0,6000000);</v>
      </c>
      <c r="N88" s="12"/>
      <c r="O88" s="12"/>
      <c r="P88" s="12"/>
      <c r="Q88" s="12"/>
      <c r="R88" s="12"/>
      <c r="S88" s="12"/>
      <c r="T88" s="12"/>
      <c r="U88" s="12"/>
      <c r="V88" s="12"/>
      <c r="W88" s="12"/>
      <c r="X88" s="12"/>
      <c r="Y88" s="12"/>
      <c r="Z88" s="12"/>
      <c r="AA88" s="12"/>
      <c r="AB88" s="12"/>
      <c r="AC88" s="12"/>
      <c r="AD88" s="12"/>
      <c r="AE88" s="12"/>
      <c r="AF88" s="12"/>
      <c r="AG88" s="12"/>
      <c r="AH88" s="12"/>
      <c r="AI88" s="12"/>
      <c r="AJ88" s="12"/>
      <c r="AK88" s="12"/>
      <c r="AL88" s="12"/>
    </row>
    <row r="89" spans="1:38">
      <c r="A89" s="2" t="str">
        <f>E電入力!C90&amp;"+25;"</f>
        <v>+25;</v>
      </c>
      <c r="B89" s="2" t="str">
        <f ca="1">"Beacon.Put(111,0,1"&amp;TEXT(E電入力!X90,"000000")&amp;");"</f>
        <v>Beacon.Put(111,0,1004630);</v>
      </c>
      <c r="C89" s="2" t="str">
        <f ca="1">"Beacon.Put(111,0,2"&amp;TEXT(E電入力!Y90,"000000")&amp;");"</f>
        <v>Beacon.Put(111,0,2005530);</v>
      </c>
      <c r="D89" s="2" t="str">
        <f ca="1">"Beacon.Put(111,0,3"&amp;TEXT(E電入力!Z90,"000000")&amp;");"</f>
        <v>Beacon.Put(111,0,3006030);</v>
      </c>
      <c r="E89" s="2" t="str">
        <f ca="1">"Beacon.Put(111,0,4"&amp;TEXT(E電入力!AA90,"000000")&amp;");"</f>
        <v>Beacon.Put(111,0,4000000);</v>
      </c>
      <c r="F89" s="2" t="str">
        <f ca="1">"Beacon.Put(111,0,5"&amp;TEXT(E電入力!AB90,"000000")&amp;");"</f>
        <v>Beacon.Put(111,0,5000560);</v>
      </c>
      <c r="G89" s="2" t="str">
        <f ca="1">"Beacon.Put(111,0,6"&amp;TEXT(E電入力!AC90,"000000")&amp;");"</f>
        <v>Beacon.Put(111,0,6000000);</v>
      </c>
      <c r="H89" s="2" t="str">
        <f ca="1">"Beacon.Put(112,0,1"&amp;TEXT(E電入力!AD90,"000000")&amp;");"</f>
        <v>Beacon.Put(112,0,1005130);</v>
      </c>
      <c r="I89" s="2" t="str">
        <f ca="1">"Beacon.Put(112,0,2"&amp;TEXT(E電入力!AE90,"000000")&amp;");"</f>
        <v>Beacon.Put(112,0,2005660);</v>
      </c>
      <c r="J89" s="2" t="str">
        <f ca="1">"Beacon.Put(112,0,3"&amp;TEXT(E電入力!AF90,"000000")&amp;");"</f>
        <v>Beacon.Put(112,0,3000160);</v>
      </c>
      <c r="K89" s="2" t="str">
        <f ca="1">"Beacon.Put(112,0,4"&amp;TEXT(E電入力!AG90,"000000")&amp;");"</f>
        <v>Beacon.Put(112,0,4000000);</v>
      </c>
      <c r="L89" s="2" t="str">
        <f ca="1">"Beacon.Put(112,0,5"&amp;TEXT(E電入力!AH90,"000000")&amp;");"</f>
        <v>Beacon.Put(112,0,5000000);</v>
      </c>
      <c r="M89" s="2" t="str">
        <f ca="1">"Beacon.Put(112,0,6"&amp;TEXT(E電入力!AI90,"000000")&amp;");"</f>
        <v>Beacon.Put(112,0,6000000);</v>
      </c>
      <c r="N89" s="12"/>
      <c r="O89" s="12"/>
      <c r="P89" s="12"/>
      <c r="Q89" s="12"/>
      <c r="R89" s="12"/>
      <c r="S89" s="12"/>
      <c r="T89" s="12"/>
      <c r="U89" s="12"/>
      <c r="V89" s="12"/>
      <c r="W89" s="12"/>
      <c r="X89" s="12"/>
      <c r="Y89" s="12"/>
      <c r="Z89" s="12"/>
      <c r="AA89" s="12"/>
      <c r="AB89" s="12"/>
      <c r="AC89" s="12"/>
      <c r="AD89" s="12"/>
      <c r="AE89" s="12"/>
      <c r="AF89" s="12"/>
      <c r="AG89" s="12"/>
      <c r="AH89" s="12"/>
      <c r="AI89" s="12"/>
      <c r="AJ89" s="12"/>
      <c r="AK89" s="12"/>
      <c r="AL89" s="12"/>
    </row>
    <row r="90" spans="1:38">
      <c r="A90" s="2" t="str">
        <f>E電入力!C91&amp;"+25;"</f>
        <v>+25;</v>
      </c>
      <c r="B90" s="2" t="str">
        <f ca="1">"Beacon.Put(111,0,1"&amp;TEXT(E電入力!X91,"000000")&amp;");"</f>
        <v>Beacon.Put(111,0,1005160);</v>
      </c>
      <c r="C90" s="2" t="str">
        <f ca="1">"Beacon.Put(111,0,2"&amp;TEXT(E電入力!Y91,"000000")&amp;");"</f>
        <v>Beacon.Put(111,0,2005530);</v>
      </c>
      <c r="D90" s="2" t="str">
        <f ca="1">"Beacon.Put(111,0,3"&amp;TEXT(E電入力!Z91,"000000")&amp;");"</f>
        <v>Beacon.Put(111,0,3006030);</v>
      </c>
      <c r="E90" s="2" t="str">
        <f ca="1">"Beacon.Put(111,0,4"&amp;TEXT(E電入力!AA91,"000000")&amp;");"</f>
        <v>Beacon.Put(111,0,4000000);</v>
      </c>
      <c r="F90" s="2" t="str">
        <f ca="1">"Beacon.Put(111,0,5"&amp;TEXT(E電入力!AB91,"000000")&amp;");"</f>
        <v>Beacon.Put(111,0,5000560);</v>
      </c>
      <c r="G90" s="2" t="str">
        <f ca="1">"Beacon.Put(111,0,6"&amp;TEXT(E電入力!AC91,"000000")&amp;");"</f>
        <v>Beacon.Put(111,0,6000000);</v>
      </c>
      <c r="H90" s="2" t="str">
        <f ca="1">"Beacon.Put(112,0,1"&amp;TEXT(E電入力!AD91,"000000")&amp;");"</f>
        <v>Beacon.Put(112,0,1005130);</v>
      </c>
      <c r="I90" s="2" t="str">
        <f ca="1">"Beacon.Put(112,0,2"&amp;TEXT(E電入力!AE91,"000000")&amp;");"</f>
        <v>Beacon.Put(112,0,2005660);</v>
      </c>
      <c r="J90" s="2" t="str">
        <f ca="1">"Beacon.Put(112,0,3"&amp;TEXT(E電入力!AF91,"000000")&amp;");"</f>
        <v>Beacon.Put(112,0,3000160);</v>
      </c>
      <c r="K90" s="2" t="str">
        <f ca="1">"Beacon.Put(112,0,4"&amp;TEXT(E電入力!AG91,"000000")&amp;");"</f>
        <v>Beacon.Put(112,0,4000000);</v>
      </c>
      <c r="L90" s="2" t="str">
        <f ca="1">"Beacon.Put(112,0,5"&amp;TEXT(E電入力!AH91,"000000")&amp;");"</f>
        <v>Beacon.Put(112,0,5000000);</v>
      </c>
      <c r="M90" s="2" t="str">
        <f ca="1">"Beacon.Put(112,0,6"&amp;TEXT(E電入力!AI91,"000000")&amp;");"</f>
        <v>Beacon.Put(112,0,6000000);</v>
      </c>
      <c r="N90" s="12"/>
      <c r="O90" s="12"/>
      <c r="P90" s="12"/>
      <c r="Q90" s="12"/>
      <c r="R90" s="12"/>
      <c r="S90" s="12"/>
      <c r="T90" s="12"/>
      <c r="U90" s="12"/>
      <c r="V90" s="12"/>
      <c r="W90" s="12"/>
      <c r="X90" s="12"/>
      <c r="Y90" s="12"/>
      <c r="Z90" s="12"/>
      <c r="AA90" s="12"/>
      <c r="AB90" s="12"/>
      <c r="AC90" s="12"/>
      <c r="AD90" s="12"/>
      <c r="AE90" s="12"/>
      <c r="AF90" s="12"/>
      <c r="AG90" s="12"/>
      <c r="AH90" s="12"/>
      <c r="AI90" s="12"/>
      <c r="AJ90" s="12"/>
      <c r="AK90" s="12"/>
      <c r="AL90" s="12"/>
    </row>
    <row r="91" spans="1:38">
      <c r="A91" s="2" t="str">
        <f>E電入力!C92&amp;"+25;"</f>
        <v>+25;</v>
      </c>
      <c r="B91" s="2" t="str">
        <f ca="1">"Beacon.Put(111,0,1"&amp;TEXT(E電入力!X92,"000000")&amp;");"</f>
        <v>Beacon.Put(111,0,1004630);</v>
      </c>
      <c r="C91" s="2" t="str">
        <f ca="1">"Beacon.Put(111,0,2"&amp;TEXT(E電入力!Y92,"000000")&amp;");"</f>
        <v>Beacon.Put(111,0,2005530);</v>
      </c>
      <c r="D91" s="2" t="str">
        <f ca="1">"Beacon.Put(111,0,3"&amp;TEXT(E電入力!Z92,"000000")&amp;");"</f>
        <v>Beacon.Put(111,0,3006030);</v>
      </c>
      <c r="E91" s="2" t="str">
        <f ca="1">"Beacon.Put(111,0,4"&amp;TEXT(E電入力!AA92,"000000")&amp;");"</f>
        <v>Beacon.Put(111,0,4000000);</v>
      </c>
      <c r="F91" s="2" t="str">
        <f ca="1">"Beacon.Put(111,0,5"&amp;TEXT(E電入力!AB92,"000000")&amp;");"</f>
        <v>Beacon.Put(111,0,5000560);</v>
      </c>
      <c r="G91" s="2" t="str">
        <f ca="1">"Beacon.Put(111,0,6"&amp;TEXT(E電入力!AC92,"000000")&amp;");"</f>
        <v>Beacon.Put(111,0,6000000);</v>
      </c>
      <c r="H91" s="2" t="str">
        <f ca="1">"Beacon.Put(112,0,1"&amp;TEXT(E電入力!AD92,"000000")&amp;");"</f>
        <v>Beacon.Put(112,0,1005130);</v>
      </c>
      <c r="I91" s="2" t="str">
        <f ca="1">"Beacon.Put(112,0,2"&amp;TEXT(E電入力!AE92,"000000")&amp;");"</f>
        <v>Beacon.Put(112,0,2005660);</v>
      </c>
      <c r="J91" s="2" t="str">
        <f ca="1">"Beacon.Put(112,0,3"&amp;TEXT(E電入力!AF92,"000000")&amp;");"</f>
        <v>Beacon.Put(112,0,3000160);</v>
      </c>
      <c r="K91" s="2" t="str">
        <f ca="1">"Beacon.Put(112,0,4"&amp;TEXT(E電入力!AG92,"000000")&amp;");"</f>
        <v>Beacon.Put(112,0,4000000);</v>
      </c>
      <c r="L91" s="2" t="str">
        <f ca="1">"Beacon.Put(112,0,5"&amp;TEXT(E電入力!AH92,"000000")&amp;");"</f>
        <v>Beacon.Put(112,0,5000000);</v>
      </c>
      <c r="M91" s="2" t="str">
        <f ca="1">"Beacon.Put(112,0,6"&amp;TEXT(E電入力!AI92,"000000")&amp;");"</f>
        <v>Beacon.Put(112,0,6000000);</v>
      </c>
      <c r="N91" s="12"/>
      <c r="O91" s="12"/>
      <c r="P91" s="12"/>
      <c r="Q91" s="12"/>
      <c r="R91" s="12"/>
      <c r="S91" s="12"/>
      <c r="T91" s="12"/>
      <c r="U91" s="12"/>
      <c r="V91" s="12"/>
      <c r="W91" s="12"/>
      <c r="X91" s="12"/>
      <c r="Y91" s="12"/>
      <c r="Z91" s="12"/>
      <c r="AA91" s="12"/>
      <c r="AB91" s="12"/>
      <c r="AC91" s="12"/>
      <c r="AD91" s="12"/>
      <c r="AE91" s="12"/>
      <c r="AF91" s="12"/>
      <c r="AG91" s="12"/>
      <c r="AH91" s="12"/>
      <c r="AI91" s="12"/>
      <c r="AJ91" s="12"/>
      <c r="AK91" s="12"/>
      <c r="AL91" s="12"/>
    </row>
    <row r="92" spans="1:38">
      <c r="A92" s="2" t="str">
        <f>E電入力!C93&amp;"+25;"</f>
        <v>+25;</v>
      </c>
      <c r="B92" s="2" t="str">
        <f ca="1">"Beacon.Put(111,0,1"&amp;TEXT(E電入力!X93,"000000")&amp;");"</f>
        <v>Beacon.Put(111,0,1005160);</v>
      </c>
      <c r="C92" s="2" t="str">
        <f ca="1">"Beacon.Put(111,0,2"&amp;TEXT(E電入力!Y93,"000000")&amp;");"</f>
        <v>Beacon.Put(111,0,2005530);</v>
      </c>
      <c r="D92" s="2" t="str">
        <f ca="1">"Beacon.Put(111,0,3"&amp;TEXT(E電入力!Z93,"000000")&amp;");"</f>
        <v>Beacon.Put(111,0,3006030);</v>
      </c>
      <c r="E92" s="2" t="str">
        <f ca="1">"Beacon.Put(111,0,4"&amp;TEXT(E電入力!AA93,"000000")&amp;");"</f>
        <v>Beacon.Put(111,0,4000000);</v>
      </c>
      <c r="F92" s="2" t="str">
        <f ca="1">"Beacon.Put(111,0,5"&amp;TEXT(E電入力!AB93,"000000")&amp;");"</f>
        <v>Beacon.Put(111,0,5000560);</v>
      </c>
      <c r="G92" s="2" t="str">
        <f ca="1">"Beacon.Put(111,0,6"&amp;TEXT(E電入力!AC93,"000000")&amp;");"</f>
        <v>Beacon.Put(111,0,6000000);</v>
      </c>
      <c r="H92" s="2" t="str">
        <f ca="1">"Beacon.Put(112,0,1"&amp;TEXT(E電入力!AD93,"000000")&amp;");"</f>
        <v>Beacon.Put(112,0,1005130);</v>
      </c>
      <c r="I92" s="2" t="str">
        <f ca="1">"Beacon.Put(112,0,2"&amp;TEXT(E電入力!AE93,"000000")&amp;");"</f>
        <v>Beacon.Put(112,0,2005660);</v>
      </c>
      <c r="J92" s="2" t="str">
        <f ca="1">"Beacon.Put(112,0,3"&amp;TEXT(E電入力!AF93,"000000")&amp;");"</f>
        <v>Beacon.Put(112,0,3000160);</v>
      </c>
      <c r="K92" s="2" t="str">
        <f ca="1">"Beacon.Put(112,0,4"&amp;TEXT(E電入力!AG93,"000000")&amp;");"</f>
        <v>Beacon.Put(112,0,4000000);</v>
      </c>
      <c r="L92" s="2" t="str">
        <f ca="1">"Beacon.Put(112,0,5"&amp;TEXT(E電入力!AH93,"000000")&amp;");"</f>
        <v>Beacon.Put(112,0,5000000);</v>
      </c>
      <c r="M92" s="2" t="str">
        <f ca="1">"Beacon.Put(112,0,6"&amp;TEXT(E電入力!AI93,"000000")&amp;");"</f>
        <v>Beacon.Put(112,0,6000000);</v>
      </c>
      <c r="N92" s="12"/>
      <c r="O92" s="12"/>
      <c r="P92" s="12"/>
      <c r="Q92" s="12"/>
      <c r="R92" s="12"/>
      <c r="S92" s="12"/>
      <c r="T92" s="12"/>
      <c r="U92" s="12"/>
      <c r="V92" s="12"/>
      <c r="W92" s="12"/>
      <c r="X92" s="12"/>
      <c r="Y92" s="12"/>
      <c r="Z92" s="12"/>
      <c r="AA92" s="12"/>
      <c r="AB92" s="12"/>
      <c r="AC92" s="12"/>
      <c r="AD92" s="12"/>
      <c r="AE92" s="12"/>
      <c r="AF92" s="12"/>
      <c r="AG92" s="12"/>
      <c r="AH92" s="12"/>
      <c r="AI92" s="12"/>
      <c r="AJ92" s="12"/>
      <c r="AK92" s="12"/>
      <c r="AL92" s="12"/>
    </row>
    <row r="93" spans="1:38">
      <c r="A93" s="2" t="str">
        <f>E電入力!C94&amp;"+25;"</f>
        <v>+25;</v>
      </c>
      <c r="B93" s="2" t="str">
        <f ca="1">"Beacon.Put(111,0,1"&amp;TEXT(E電入力!X94,"000000")&amp;");"</f>
        <v>Beacon.Put(111,0,1004630);</v>
      </c>
      <c r="C93" s="2" t="str">
        <f ca="1">"Beacon.Put(111,0,2"&amp;TEXT(E電入力!Y94,"000000")&amp;");"</f>
        <v>Beacon.Put(111,0,2005530);</v>
      </c>
      <c r="D93" s="2" t="str">
        <f ca="1">"Beacon.Put(111,0,3"&amp;TEXT(E電入力!Z94,"000000")&amp;");"</f>
        <v>Beacon.Put(111,0,3006030);</v>
      </c>
      <c r="E93" s="2" t="str">
        <f ca="1">"Beacon.Put(111,0,4"&amp;TEXT(E電入力!AA94,"000000")&amp;");"</f>
        <v>Beacon.Put(111,0,4000000);</v>
      </c>
      <c r="F93" s="2" t="str">
        <f ca="1">"Beacon.Put(111,0,5"&amp;TEXT(E電入力!AB94,"000000")&amp;");"</f>
        <v>Beacon.Put(111,0,5000560);</v>
      </c>
      <c r="G93" s="2" t="str">
        <f ca="1">"Beacon.Put(111,0,6"&amp;TEXT(E電入力!AC94,"000000")&amp;");"</f>
        <v>Beacon.Put(111,0,6000000);</v>
      </c>
      <c r="H93" s="2" t="str">
        <f ca="1">"Beacon.Put(112,0,1"&amp;TEXT(E電入力!AD94,"000000")&amp;");"</f>
        <v>Beacon.Put(112,0,1005130);</v>
      </c>
      <c r="I93" s="2" t="str">
        <f ca="1">"Beacon.Put(112,0,2"&amp;TEXT(E電入力!AE94,"000000")&amp;");"</f>
        <v>Beacon.Put(112,0,2005660);</v>
      </c>
      <c r="J93" s="2" t="str">
        <f ca="1">"Beacon.Put(112,0,3"&amp;TEXT(E電入力!AF94,"000000")&amp;");"</f>
        <v>Beacon.Put(112,0,3000160);</v>
      </c>
      <c r="K93" s="2" t="str">
        <f ca="1">"Beacon.Put(112,0,4"&amp;TEXT(E電入力!AG94,"000000")&amp;");"</f>
        <v>Beacon.Put(112,0,4000000);</v>
      </c>
      <c r="L93" s="2" t="str">
        <f ca="1">"Beacon.Put(112,0,5"&amp;TEXT(E電入力!AH94,"000000")&amp;");"</f>
        <v>Beacon.Put(112,0,5000000);</v>
      </c>
      <c r="M93" s="2" t="str">
        <f ca="1">"Beacon.Put(112,0,6"&amp;TEXT(E電入力!AI94,"000000")&amp;");"</f>
        <v>Beacon.Put(112,0,6000000);</v>
      </c>
      <c r="N93" s="12"/>
      <c r="O93" s="12"/>
      <c r="P93" s="12"/>
      <c r="Q93" s="12"/>
      <c r="R93" s="12"/>
      <c r="S93" s="12"/>
      <c r="T93" s="12"/>
      <c r="U93" s="12"/>
      <c r="V93" s="12"/>
      <c r="W93" s="12"/>
      <c r="X93" s="12"/>
      <c r="Y93" s="12"/>
      <c r="Z93" s="12"/>
      <c r="AA93" s="12"/>
      <c r="AB93" s="12"/>
      <c r="AC93" s="12"/>
      <c r="AD93" s="12"/>
      <c r="AE93" s="12"/>
      <c r="AF93" s="12"/>
      <c r="AG93" s="12"/>
      <c r="AH93" s="12"/>
      <c r="AI93" s="12"/>
      <c r="AJ93" s="12"/>
      <c r="AK93" s="12"/>
      <c r="AL93" s="12"/>
    </row>
    <row r="94" spans="1:38">
      <c r="A94" s="2" t="str">
        <f>E電入力!C95&amp;"+25;"</f>
        <v>+25;</v>
      </c>
      <c r="B94" s="2" t="str">
        <f ca="1">"Beacon.Put(111,0,1"&amp;TEXT(E電入力!X95,"000000")&amp;");"</f>
        <v>Beacon.Put(111,0,1005160);</v>
      </c>
      <c r="C94" s="2" t="str">
        <f ca="1">"Beacon.Put(111,0,2"&amp;TEXT(E電入力!Y95,"000000")&amp;");"</f>
        <v>Beacon.Put(111,0,2005530);</v>
      </c>
      <c r="D94" s="2" t="str">
        <f ca="1">"Beacon.Put(111,0,3"&amp;TEXT(E電入力!Z95,"000000")&amp;");"</f>
        <v>Beacon.Put(111,0,3006030);</v>
      </c>
      <c r="E94" s="2" t="str">
        <f ca="1">"Beacon.Put(111,0,4"&amp;TEXT(E電入力!AA95,"000000")&amp;");"</f>
        <v>Beacon.Put(111,0,4000000);</v>
      </c>
      <c r="F94" s="2" t="str">
        <f ca="1">"Beacon.Put(111,0,5"&amp;TEXT(E電入力!AB95,"000000")&amp;");"</f>
        <v>Beacon.Put(111,0,5000560);</v>
      </c>
      <c r="G94" s="2" t="str">
        <f ca="1">"Beacon.Put(111,0,6"&amp;TEXT(E電入力!AC95,"000000")&amp;");"</f>
        <v>Beacon.Put(111,0,6000000);</v>
      </c>
      <c r="H94" s="2" t="str">
        <f ca="1">"Beacon.Put(112,0,1"&amp;TEXT(E電入力!AD95,"000000")&amp;");"</f>
        <v>Beacon.Put(112,0,1005130);</v>
      </c>
      <c r="I94" s="2" t="str">
        <f ca="1">"Beacon.Put(112,0,2"&amp;TEXT(E電入力!AE95,"000000")&amp;");"</f>
        <v>Beacon.Put(112,0,2005660);</v>
      </c>
      <c r="J94" s="2" t="str">
        <f ca="1">"Beacon.Put(112,0,3"&amp;TEXT(E電入力!AF95,"000000")&amp;");"</f>
        <v>Beacon.Put(112,0,3000160);</v>
      </c>
      <c r="K94" s="2" t="str">
        <f ca="1">"Beacon.Put(112,0,4"&amp;TEXT(E電入力!AG95,"000000")&amp;");"</f>
        <v>Beacon.Put(112,0,4000000);</v>
      </c>
      <c r="L94" s="2" t="str">
        <f ca="1">"Beacon.Put(112,0,5"&amp;TEXT(E電入力!AH95,"000000")&amp;");"</f>
        <v>Beacon.Put(112,0,5000000);</v>
      </c>
      <c r="M94" s="2" t="str">
        <f ca="1">"Beacon.Put(112,0,6"&amp;TEXT(E電入力!AI95,"000000")&amp;");"</f>
        <v>Beacon.Put(112,0,6000000);</v>
      </c>
      <c r="N94" s="12"/>
      <c r="O94" s="12"/>
      <c r="P94" s="12"/>
      <c r="Q94" s="12"/>
      <c r="R94" s="12"/>
      <c r="S94" s="12"/>
      <c r="T94" s="12"/>
      <c r="U94" s="12"/>
      <c r="V94" s="12"/>
      <c r="W94" s="12"/>
      <c r="X94" s="12"/>
      <c r="Y94" s="12"/>
      <c r="Z94" s="12"/>
      <c r="AA94" s="12"/>
      <c r="AB94" s="12"/>
      <c r="AC94" s="12"/>
      <c r="AD94" s="12"/>
      <c r="AE94" s="12"/>
      <c r="AF94" s="12"/>
      <c r="AG94" s="12"/>
      <c r="AH94" s="12"/>
      <c r="AI94" s="12"/>
      <c r="AJ94" s="12"/>
      <c r="AK94" s="12"/>
      <c r="AL94" s="12"/>
    </row>
    <row r="95" spans="1:38">
      <c r="A95" s="2" t="str">
        <f>E電入力!C96&amp;"+25;"</f>
        <v>+25;</v>
      </c>
      <c r="B95" s="2" t="str">
        <f ca="1">"Beacon.Put(111,0,1"&amp;TEXT(E電入力!X96,"000000")&amp;");"</f>
        <v>Beacon.Put(111,0,1004630);</v>
      </c>
      <c r="C95" s="2" t="str">
        <f ca="1">"Beacon.Put(111,0,2"&amp;TEXT(E電入力!Y96,"000000")&amp;");"</f>
        <v>Beacon.Put(111,0,2005530);</v>
      </c>
      <c r="D95" s="2" t="str">
        <f ca="1">"Beacon.Put(111,0,3"&amp;TEXT(E電入力!Z96,"000000")&amp;");"</f>
        <v>Beacon.Put(111,0,3006030);</v>
      </c>
      <c r="E95" s="2" t="str">
        <f ca="1">"Beacon.Put(111,0,4"&amp;TEXT(E電入力!AA96,"000000")&amp;");"</f>
        <v>Beacon.Put(111,0,4000000);</v>
      </c>
      <c r="F95" s="2" t="str">
        <f ca="1">"Beacon.Put(111,0,5"&amp;TEXT(E電入力!AB96,"000000")&amp;");"</f>
        <v>Beacon.Put(111,0,5000560);</v>
      </c>
      <c r="G95" s="2" t="str">
        <f ca="1">"Beacon.Put(111,0,6"&amp;TEXT(E電入力!AC96,"000000")&amp;");"</f>
        <v>Beacon.Put(111,0,6000000);</v>
      </c>
      <c r="H95" s="2" t="str">
        <f ca="1">"Beacon.Put(112,0,1"&amp;TEXT(E電入力!AD96,"000000")&amp;");"</f>
        <v>Beacon.Put(112,0,1005130);</v>
      </c>
      <c r="I95" s="2" t="str">
        <f ca="1">"Beacon.Put(112,0,2"&amp;TEXT(E電入力!AE96,"000000")&amp;");"</f>
        <v>Beacon.Put(112,0,2005660);</v>
      </c>
      <c r="J95" s="2" t="str">
        <f ca="1">"Beacon.Put(112,0,3"&amp;TEXT(E電入力!AF96,"000000")&amp;");"</f>
        <v>Beacon.Put(112,0,3000160);</v>
      </c>
      <c r="K95" s="2" t="str">
        <f ca="1">"Beacon.Put(112,0,4"&amp;TEXT(E電入力!AG96,"000000")&amp;");"</f>
        <v>Beacon.Put(112,0,4000000);</v>
      </c>
      <c r="L95" s="2" t="str">
        <f ca="1">"Beacon.Put(112,0,5"&amp;TEXT(E電入力!AH96,"000000")&amp;");"</f>
        <v>Beacon.Put(112,0,5000000);</v>
      </c>
      <c r="M95" s="2" t="str">
        <f ca="1">"Beacon.Put(112,0,6"&amp;TEXT(E電入力!AI96,"000000")&amp;");"</f>
        <v>Beacon.Put(112,0,6000000);</v>
      </c>
      <c r="N95" s="12"/>
      <c r="O95" s="12"/>
      <c r="P95" s="12"/>
      <c r="Q95" s="12"/>
      <c r="R95" s="12"/>
      <c r="S95" s="12"/>
      <c r="T95" s="12"/>
      <c r="U95" s="12"/>
      <c r="V95" s="12"/>
      <c r="W95" s="12"/>
      <c r="X95" s="12"/>
      <c r="Y95" s="12"/>
      <c r="Z95" s="12"/>
      <c r="AA95" s="12"/>
      <c r="AB95" s="12"/>
      <c r="AC95" s="12"/>
      <c r="AD95" s="12"/>
      <c r="AE95" s="12"/>
      <c r="AF95" s="12"/>
      <c r="AG95" s="12"/>
      <c r="AH95" s="12"/>
      <c r="AI95" s="12"/>
      <c r="AJ95" s="12"/>
      <c r="AK95" s="12"/>
      <c r="AL95" s="12"/>
    </row>
    <row r="96" spans="1:38">
      <c r="A96" s="2" t="str">
        <f>E電入力!C97&amp;"+25;"</f>
        <v>+25;</v>
      </c>
      <c r="B96" s="2" t="str">
        <f ca="1">"Beacon.Put(111,0,1"&amp;TEXT(E電入力!X97,"000000")&amp;");"</f>
        <v>Beacon.Put(111,0,1005160);</v>
      </c>
      <c r="C96" s="2" t="str">
        <f ca="1">"Beacon.Put(111,0,2"&amp;TEXT(E電入力!Y97,"000000")&amp;");"</f>
        <v>Beacon.Put(111,0,2005530);</v>
      </c>
      <c r="D96" s="2" t="str">
        <f ca="1">"Beacon.Put(111,0,3"&amp;TEXT(E電入力!Z97,"000000")&amp;");"</f>
        <v>Beacon.Put(111,0,3006030);</v>
      </c>
      <c r="E96" s="2" t="str">
        <f ca="1">"Beacon.Put(111,0,4"&amp;TEXT(E電入力!AA97,"000000")&amp;");"</f>
        <v>Beacon.Put(111,0,4000000);</v>
      </c>
      <c r="F96" s="2" t="str">
        <f ca="1">"Beacon.Put(111,0,5"&amp;TEXT(E電入力!AB97,"000000")&amp;");"</f>
        <v>Beacon.Put(111,0,5000560);</v>
      </c>
      <c r="G96" s="2" t="str">
        <f ca="1">"Beacon.Put(111,0,6"&amp;TEXT(E電入力!AC97,"000000")&amp;");"</f>
        <v>Beacon.Put(111,0,6000000);</v>
      </c>
      <c r="H96" s="2" t="str">
        <f ca="1">"Beacon.Put(112,0,1"&amp;TEXT(E電入力!AD97,"000000")&amp;");"</f>
        <v>Beacon.Put(112,0,1005130);</v>
      </c>
      <c r="I96" s="2" t="str">
        <f ca="1">"Beacon.Put(112,0,2"&amp;TEXT(E電入力!AE97,"000000")&amp;");"</f>
        <v>Beacon.Put(112,0,2005660);</v>
      </c>
      <c r="J96" s="2" t="str">
        <f ca="1">"Beacon.Put(112,0,3"&amp;TEXT(E電入力!AF97,"000000")&amp;");"</f>
        <v>Beacon.Put(112,0,3000160);</v>
      </c>
      <c r="K96" s="2" t="str">
        <f ca="1">"Beacon.Put(112,0,4"&amp;TEXT(E電入力!AG97,"000000")&amp;");"</f>
        <v>Beacon.Put(112,0,4000000);</v>
      </c>
      <c r="L96" s="2" t="str">
        <f ca="1">"Beacon.Put(112,0,5"&amp;TEXT(E電入力!AH97,"000000")&amp;");"</f>
        <v>Beacon.Put(112,0,5000000);</v>
      </c>
      <c r="M96" s="2" t="str">
        <f ca="1">"Beacon.Put(112,0,6"&amp;TEXT(E電入力!AI97,"000000")&amp;");"</f>
        <v>Beacon.Put(112,0,6000000);</v>
      </c>
      <c r="N96" s="12"/>
      <c r="O96" s="12"/>
      <c r="P96" s="12"/>
      <c r="Q96" s="12"/>
      <c r="R96" s="12"/>
      <c r="S96" s="12"/>
      <c r="T96" s="12"/>
      <c r="U96" s="12"/>
      <c r="V96" s="12"/>
      <c r="W96" s="12"/>
      <c r="X96" s="12"/>
      <c r="Y96" s="12"/>
      <c r="Z96" s="12"/>
      <c r="AA96" s="12"/>
      <c r="AB96" s="12"/>
      <c r="AC96" s="12"/>
      <c r="AD96" s="12"/>
      <c r="AE96" s="12"/>
      <c r="AF96" s="12"/>
      <c r="AG96" s="12"/>
      <c r="AH96" s="12"/>
      <c r="AI96" s="12"/>
      <c r="AJ96" s="12"/>
      <c r="AK96" s="12"/>
      <c r="AL96" s="12"/>
    </row>
    <row r="97" spans="1:38">
      <c r="A97" s="2" t="str">
        <f>E電入力!C98&amp;"+25;"</f>
        <v>+25;</v>
      </c>
      <c r="B97" s="2" t="str">
        <f ca="1">"Beacon.Put(111,0,1"&amp;TEXT(E電入力!X98,"000000")&amp;");"</f>
        <v>Beacon.Put(111,0,1004630);</v>
      </c>
      <c r="C97" s="2" t="str">
        <f ca="1">"Beacon.Put(111,0,2"&amp;TEXT(E電入力!Y98,"000000")&amp;");"</f>
        <v>Beacon.Put(111,0,2005530);</v>
      </c>
      <c r="D97" s="2" t="str">
        <f ca="1">"Beacon.Put(111,0,3"&amp;TEXT(E電入力!Z98,"000000")&amp;");"</f>
        <v>Beacon.Put(111,0,3006030);</v>
      </c>
      <c r="E97" s="2" t="str">
        <f ca="1">"Beacon.Put(111,0,4"&amp;TEXT(E電入力!AA98,"000000")&amp;");"</f>
        <v>Beacon.Put(111,0,4000000);</v>
      </c>
      <c r="F97" s="2" t="str">
        <f ca="1">"Beacon.Put(111,0,5"&amp;TEXT(E電入力!AB98,"000000")&amp;");"</f>
        <v>Beacon.Put(111,0,5000560);</v>
      </c>
      <c r="G97" s="2" t="str">
        <f ca="1">"Beacon.Put(111,0,6"&amp;TEXT(E電入力!AC98,"000000")&amp;");"</f>
        <v>Beacon.Put(111,0,6000000);</v>
      </c>
      <c r="H97" s="2" t="str">
        <f ca="1">"Beacon.Put(112,0,1"&amp;TEXT(E電入力!AD98,"000000")&amp;");"</f>
        <v>Beacon.Put(112,0,1005130);</v>
      </c>
      <c r="I97" s="2" t="str">
        <f ca="1">"Beacon.Put(112,0,2"&amp;TEXT(E電入力!AE98,"000000")&amp;");"</f>
        <v>Beacon.Put(112,0,2005660);</v>
      </c>
      <c r="J97" s="2" t="str">
        <f ca="1">"Beacon.Put(112,0,3"&amp;TEXT(E電入力!AF98,"000000")&amp;");"</f>
        <v>Beacon.Put(112,0,3000160);</v>
      </c>
      <c r="K97" s="2" t="str">
        <f ca="1">"Beacon.Put(112,0,4"&amp;TEXT(E電入力!AG98,"000000")&amp;");"</f>
        <v>Beacon.Put(112,0,4000000);</v>
      </c>
      <c r="L97" s="2" t="str">
        <f ca="1">"Beacon.Put(112,0,5"&amp;TEXT(E電入力!AH98,"000000")&amp;");"</f>
        <v>Beacon.Put(112,0,5000000);</v>
      </c>
      <c r="M97" s="2" t="str">
        <f ca="1">"Beacon.Put(112,0,6"&amp;TEXT(E電入力!AI98,"000000")&amp;");"</f>
        <v>Beacon.Put(112,0,6000000);</v>
      </c>
      <c r="N97" s="12"/>
      <c r="O97" s="12"/>
      <c r="P97" s="12"/>
      <c r="Q97" s="12"/>
      <c r="R97" s="12"/>
      <c r="S97" s="12"/>
      <c r="T97" s="12"/>
      <c r="U97" s="12"/>
      <c r="V97" s="12"/>
      <c r="W97" s="12"/>
      <c r="X97" s="12"/>
      <c r="Y97" s="12"/>
      <c r="Z97" s="12"/>
      <c r="AA97" s="12"/>
      <c r="AB97" s="12"/>
      <c r="AC97" s="12"/>
      <c r="AD97" s="12"/>
      <c r="AE97" s="12"/>
      <c r="AF97" s="12"/>
      <c r="AG97" s="12"/>
      <c r="AH97" s="12"/>
      <c r="AI97" s="12"/>
      <c r="AJ97" s="12"/>
      <c r="AK97" s="12"/>
      <c r="AL97" s="12"/>
    </row>
    <row r="98" spans="1:38">
      <c r="A98" s="2" t="str">
        <f>E電入力!C99&amp;"+25;"</f>
        <v>+25;</v>
      </c>
      <c r="B98" s="2" t="str">
        <f ca="1">"Beacon.Put(111,0,1"&amp;TEXT(E電入力!X99,"000000")&amp;");"</f>
        <v>Beacon.Put(111,0,1005160);</v>
      </c>
      <c r="C98" s="2" t="str">
        <f ca="1">"Beacon.Put(111,0,2"&amp;TEXT(E電入力!Y99,"000000")&amp;");"</f>
        <v>Beacon.Put(111,0,2005530);</v>
      </c>
      <c r="D98" s="2" t="str">
        <f ca="1">"Beacon.Put(111,0,3"&amp;TEXT(E電入力!Z99,"000000")&amp;");"</f>
        <v>Beacon.Put(111,0,3006030);</v>
      </c>
      <c r="E98" s="2" t="str">
        <f ca="1">"Beacon.Put(111,0,4"&amp;TEXT(E電入力!AA99,"000000")&amp;");"</f>
        <v>Beacon.Put(111,0,4000000);</v>
      </c>
      <c r="F98" s="2" t="str">
        <f ca="1">"Beacon.Put(111,0,5"&amp;TEXT(E電入力!AB99,"000000")&amp;");"</f>
        <v>Beacon.Put(111,0,5000560);</v>
      </c>
      <c r="G98" s="2" t="str">
        <f ca="1">"Beacon.Put(111,0,6"&amp;TEXT(E電入力!AC99,"000000")&amp;");"</f>
        <v>Beacon.Put(111,0,6000000);</v>
      </c>
      <c r="H98" s="2" t="str">
        <f ca="1">"Beacon.Put(112,0,1"&amp;TEXT(E電入力!AD99,"000000")&amp;");"</f>
        <v>Beacon.Put(112,0,1005130);</v>
      </c>
      <c r="I98" s="2" t="str">
        <f ca="1">"Beacon.Put(112,0,2"&amp;TEXT(E電入力!AE99,"000000")&amp;");"</f>
        <v>Beacon.Put(112,0,2005660);</v>
      </c>
      <c r="J98" s="2" t="str">
        <f ca="1">"Beacon.Put(112,0,3"&amp;TEXT(E電入力!AF99,"000000")&amp;");"</f>
        <v>Beacon.Put(112,0,3000160);</v>
      </c>
      <c r="K98" s="2" t="str">
        <f ca="1">"Beacon.Put(112,0,4"&amp;TEXT(E電入力!AG99,"000000")&amp;");"</f>
        <v>Beacon.Put(112,0,4000000);</v>
      </c>
      <c r="L98" s="2" t="str">
        <f ca="1">"Beacon.Put(112,0,5"&amp;TEXT(E電入力!AH99,"000000")&amp;");"</f>
        <v>Beacon.Put(112,0,5000000);</v>
      </c>
      <c r="M98" s="2" t="str">
        <f ca="1">"Beacon.Put(112,0,6"&amp;TEXT(E電入力!AI99,"000000")&amp;");"</f>
        <v>Beacon.Put(112,0,6000000);</v>
      </c>
      <c r="N98" s="12"/>
      <c r="O98" s="12"/>
      <c r="P98" s="12"/>
      <c r="Q98" s="12"/>
      <c r="R98" s="12"/>
      <c r="S98" s="12"/>
      <c r="T98" s="12"/>
      <c r="U98" s="12"/>
      <c r="V98" s="12"/>
      <c r="W98" s="12"/>
      <c r="X98" s="12"/>
      <c r="Y98" s="12"/>
      <c r="Z98" s="12"/>
      <c r="AA98" s="12"/>
      <c r="AB98" s="12"/>
      <c r="AC98" s="12"/>
      <c r="AD98" s="12"/>
      <c r="AE98" s="12"/>
      <c r="AF98" s="12"/>
      <c r="AG98" s="12"/>
      <c r="AH98" s="12"/>
      <c r="AI98" s="12"/>
      <c r="AJ98" s="12"/>
      <c r="AK98" s="12"/>
      <c r="AL98" s="12"/>
    </row>
    <row r="99" spans="1:38">
      <c r="A99" s="2" t="str">
        <f>E電入力!C100&amp;"+25;"</f>
        <v>+25;</v>
      </c>
      <c r="B99" s="2" t="str">
        <f ca="1">"Beacon.Put(111,0,1"&amp;TEXT(E電入力!X100,"000000")&amp;");"</f>
        <v>Beacon.Put(111,0,1004630);</v>
      </c>
      <c r="C99" s="2" t="str">
        <f ca="1">"Beacon.Put(111,0,2"&amp;TEXT(E電入力!Y100,"000000")&amp;");"</f>
        <v>Beacon.Put(111,0,2005530);</v>
      </c>
      <c r="D99" s="2" t="str">
        <f ca="1">"Beacon.Put(111,0,3"&amp;TEXT(E電入力!Z100,"000000")&amp;");"</f>
        <v>Beacon.Put(111,0,3006030);</v>
      </c>
      <c r="E99" s="2" t="str">
        <f ca="1">"Beacon.Put(111,0,4"&amp;TEXT(E電入力!AA100,"000000")&amp;");"</f>
        <v>Beacon.Put(111,0,4000000);</v>
      </c>
      <c r="F99" s="2" t="str">
        <f ca="1">"Beacon.Put(111,0,5"&amp;TEXT(E電入力!AB100,"000000")&amp;");"</f>
        <v>Beacon.Put(111,0,5000560);</v>
      </c>
      <c r="G99" s="2" t="str">
        <f ca="1">"Beacon.Put(111,0,6"&amp;TEXT(E電入力!AC100,"000000")&amp;");"</f>
        <v>Beacon.Put(111,0,6000000);</v>
      </c>
      <c r="H99" s="2" t="str">
        <f ca="1">"Beacon.Put(112,0,1"&amp;TEXT(E電入力!AD100,"000000")&amp;");"</f>
        <v>Beacon.Put(112,0,1005130);</v>
      </c>
      <c r="I99" s="2" t="str">
        <f ca="1">"Beacon.Put(112,0,2"&amp;TEXT(E電入力!AE100,"000000")&amp;");"</f>
        <v>Beacon.Put(112,0,2005660);</v>
      </c>
      <c r="J99" s="2" t="str">
        <f ca="1">"Beacon.Put(112,0,3"&amp;TEXT(E電入力!AF100,"000000")&amp;");"</f>
        <v>Beacon.Put(112,0,3000160);</v>
      </c>
      <c r="K99" s="2" t="str">
        <f ca="1">"Beacon.Put(112,0,4"&amp;TEXT(E電入力!AG100,"000000")&amp;");"</f>
        <v>Beacon.Put(112,0,4000000);</v>
      </c>
      <c r="L99" s="2" t="str">
        <f ca="1">"Beacon.Put(112,0,5"&amp;TEXT(E電入力!AH100,"000000")&amp;");"</f>
        <v>Beacon.Put(112,0,5000000);</v>
      </c>
      <c r="M99" s="2" t="str">
        <f ca="1">"Beacon.Put(112,0,6"&amp;TEXT(E電入力!AI100,"000000")&amp;");"</f>
        <v>Beacon.Put(112,0,6000000);</v>
      </c>
      <c r="N99" s="12"/>
      <c r="O99" s="12"/>
      <c r="P99" s="12"/>
      <c r="Q99" s="12"/>
      <c r="R99" s="12"/>
      <c r="S99" s="12"/>
      <c r="T99" s="12"/>
      <c r="U99" s="12"/>
      <c r="V99" s="12"/>
      <c r="W99" s="12"/>
      <c r="X99" s="12"/>
      <c r="Y99" s="12"/>
      <c r="Z99" s="12"/>
      <c r="AA99" s="12"/>
      <c r="AB99" s="12"/>
      <c r="AC99" s="12"/>
      <c r="AD99" s="12"/>
      <c r="AE99" s="12"/>
      <c r="AF99" s="12"/>
      <c r="AG99" s="12"/>
      <c r="AH99" s="12"/>
      <c r="AI99" s="12"/>
      <c r="AJ99" s="12"/>
      <c r="AK99" s="12"/>
      <c r="AL99" s="12"/>
    </row>
    <row r="100" spans="1:38">
      <c r="A100" s="2" t="str">
        <f>E電入力!C101&amp;"+25;"</f>
        <v>+25;</v>
      </c>
      <c r="B100" s="2" t="str">
        <f ca="1">"Beacon.Put(111,0,1"&amp;TEXT(E電入力!X101,"000000")&amp;");"</f>
        <v>Beacon.Put(111,0,1005160);</v>
      </c>
      <c r="C100" s="2" t="str">
        <f ca="1">"Beacon.Put(111,0,2"&amp;TEXT(E電入力!Y101,"000000")&amp;");"</f>
        <v>Beacon.Put(111,0,2005530);</v>
      </c>
      <c r="D100" s="2" t="str">
        <f ca="1">"Beacon.Put(111,0,3"&amp;TEXT(E電入力!Z101,"000000")&amp;");"</f>
        <v>Beacon.Put(111,0,3006030);</v>
      </c>
      <c r="E100" s="2" t="str">
        <f ca="1">"Beacon.Put(111,0,4"&amp;TEXT(E電入力!AA101,"000000")&amp;");"</f>
        <v>Beacon.Put(111,0,4000000);</v>
      </c>
      <c r="F100" s="2" t="str">
        <f ca="1">"Beacon.Put(111,0,5"&amp;TEXT(E電入力!AB101,"000000")&amp;");"</f>
        <v>Beacon.Put(111,0,5000560);</v>
      </c>
      <c r="G100" s="2" t="str">
        <f ca="1">"Beacon.Put(111,0,6"&amp;TEXT(E電入力!AC101,"000000")&amp;");"</f>
        <v>Beacon.Put(111,0,6000000);</v>
      </c>
      <c r="H100" s="2" t="str">
        <f ca="1">"Beacon.Put(112,0,1"&amp;TEXT(E電入力!AD101,"000000")&amp;");"</f>
        <v>Beacon.Put(112,0,1005130);</v>
      </c>
      <c r="I100" s="2" t="str">
        <f ca="1">"Beacon.Put(112,0,2"&amp;TEXT(E電入力!AE101,"000000")&amp;");"</f>
        <v>Beacon.Put(112,0,2005660);</v>
      </c>
      <c r="J100" s="2" t="str">
        <f ca="1">"Beacon.Put(112,0,3"&amp;TEXT(E電入力!AF101,"000000")&amp;");"</f>
        <v>Beacon.Put(112,0,3000160);</v>
      </c>
      <c r="K100" s="2" t="str">
        <f ca="1">"Beacon.Put(112,0,4"&amp;TEXT(E電入力!AG101,"000000")&amp;");"</f>
        <v>Beacon.Put(112,0,4000000);</v>
      </c>
      <c r="L100" s="2" t="str">
        <f ca="1">"Beacon.Put(112,0,5"&amp;TEXT(E電入力!AH101,"000000")&amp;");"</f>
        <v>Beacon.Put(112,0,5000000);</v>
      </c>
      <c r="M100" s="2" t="str">
        <f ca="1">"Beacon.Put(112,0,6"&amp;TEXT(E電入力!AI101,"000000")&amp;");"</f>
        <v>Beacon.Put(112,0,6000000);</v>
      </c>
      <c r="N100" s="12"/>
      <c r="O100" s="12"/>
      <c r="P100" s="12"/>
      <c r="Q100" s="12"/>
      <c r="R100" s="12"/>
      <c r="S100" s="12"/>
      <c r="T100" s="12"/>
      <c r="U100" s="12"/>
      <c r="V100" s="12"/>
      <c r="W100" s="12"/>
      <c r="X100" s="12"/>
      <c r="Y100" s="12"/>
      <c r="Z100" s="12"/>
      <c r="AA100" s="12"/>
      <c r="AB100" s="12"/>
      <c r="AC100" s="12"/>
      <c r="AD100" s="12"/>
      <c r="AE100" s="12"/>
      <c r="AF100" s="12"/>
      <c r="AG100" s="12"/>
      <c r="AH100" s="12"/>
      <c r="AI100" s="12"/>
      <c r="AJ100" s="12"/>
      <c r="AK100" s="12"/>
      <c r="AL100" s="12"/>
    </row>
    <row r="101" spans="1:38">
      <c r="A101" s="2" t="str">
        <f>E電入力!C102&amp;"+25;"</f>
        <v>+25;</v>
      </c>
      <c r="B101" s="2" t="str">
        <f ca="1">"Beacon.Put(111,0,1"&amp;TEXT(E電入力!X102,"000000")&amp;");"</f>
        <v>Beacon.Put(111,0,1004630);</v>
      </c>
      <c r="C101" s="2" t="str">
        <f ca="1">"Beacon.Put(111,0,2"&amp;TEXT(E電入力!Y102,"000000")&amp;");"</f>
        <v>Beacon.Put(111,0,2005530);</v>
      </c>
      <c r="D101" s="2" t="str">
        <f ca="1">"Beacon.Put(111,0,3"&amp;TEXT(E電入力!Z102,"000000")&amp;");"</f>
        <v>Beacon.Put(111,0,3006030);</v>
      </c>
      <c r="E101" s="2" t="str">
        <f ca="1">"Beacon.Put(111,0,4"&amp;TEXT(E電入力!AA102,"000000")&amp;");"</f>
        <v>Beacon.Put(111,0,4000000);</v>
      </c>
      <c r="F101" s="2" t="str">
        <f ca="1">"Beacon.Put(111,0,5"&amp;TEXT(E電入力!AB102,"000000")&amp;");"</f>
        <v>Beacon.Put(111,0,5000560);</v>
      </c>
      <c r="G101" s="2" t="str">
        <f ca="1">"Beacon.Put(111,0,6"&amp;TEXT(E電入力!AC102,"000000")&amp;");"</f>
        <v>Beacon.Put(111,0,6000000);</v>
      </c>
      <c r="H101" s="2" t="str">
        <f ca="1">"Beacon.Put(112,0,1"&amp;TEXT(E電入力!AD102,"000000")&amp;");"</f>
        <v>Beacon.Put(112,0,1005130);</v>
      </c>
      <c r="I101" s="2" t="str">
        <f ca="1">"Beacon.Put(112,0,2"&amp;TEXT(E電入力!AE102,"000000")&amp;");"</f>
        <v>Beacon.Put(112,0,2005660);</v>
      </c>
      <c r="J101" s="2" t="str">
        <f ca="1">"Beacon.Put(112,0,3"&amp;TEXT(E電入力!AF102,"000000")&amp;");"</f>
        <v>Beacon.Put(112,0,3000160);</v>
      </c>
      <c r="K101" s="2" t="str">
        <f ca="1">"Beacon.Put(112,0,4"&amp;TEXT(E電入力!AG102,"000000")&amp;");"</f>
        <v>Beacon.Put(112,0,4000000);</v>
      </c>
      <c r="L101" s="2" t="str">
        <f ca="1">"Beacon.Put(112,0,5"&amp;TEXT(E電入力!AH102,"000000")&amp;");"</f>
        <v>Beacon.Put(112,0,5000000);</v>
      </c>
      <c r="M101" s="2" t="str">
        <f ca="1">"Beacon.Put(112,0,6"&amp;TEXT(E電入力!AI102,"000000")&amp;");"</f>
        <v>Beacon.Put(112,0,6000000);</v>
      </c>
      <c r="N101" s="12"/>
      <c r="O101" s="12"/>
      <c r="P101" s="12"/>
      <c r="Q101" s="12"/>
      <c r="R101" s="12"/>
      <c r="S101" s="12"/>
      <c r="T101" s="12"/>
      <c r="U101" s="12"/>
      <c r="V101" s="12"/>
      <c r="W101" s="12"/>
      <c r="X101" s="12"/>
      <c r="Y101" s="12"/>
      <c r="Z101" s="12"/>
      <c r="AA101" s="12"/>
      <c r="AB101" s="12"/>
      <c r="AC101" s="12"/>
      <c r="AD101" s="12"/>
      <c r="AE101" s="12"/>
      <c r="AF101" s="12"/>
      <c r="AG101" s="12"/>
      <c r="AH101" s="12"/>
      <c r="AI101" s="12"/>
      <c r="AJ101" s="12"/>
      <c r="AK101" s="12"/>
      <c r="AL101" s="12"/>
    </row>
    <row r="102" spans="1:38">
      <c r="A102" s="12"/>
      <c r="B102" s="13"/>
      <c r="C102" s="12"/>
      <c r="D102" s="12"/>
      <c r="E102" s="12"/>
      <c r="F102" s="12"/>
      <c r="G102" s="12"/>
      <c r="H102" s="12"/>
      <c r="I102" s="12"/>
      <c r="J102" s="12"/>
      <c r="K102" s="12"/>
      <c r="L102" s="12"/>
      <c r="M102" s="12"/>
      <c r="N102" s="12"/>
      <c r="O102" s="12"/>
      <c r="P102" s="12"/>
      <c r="Q102" s="12"/>
      <c r="R102" s="12"/>
      <c r="S102" s="12"/>
      <c r="T102" s="12"/>
      <c r="U102" s="12"/>
      <c r="V102" s="12"/>
      <c r="W102" s="12"/>
      <c r="X102" s="12"/>
      <c r="Y102" s="12"/>
      <c r="Z102" s="12"/>
      <c r="AA102" s="12"/>
      <c r="AB102" s="12"/>
      <c r="AC102" s="12"/>
      <c r="AD102" s="12"/>
      <c r="AE102" s="12"/>
      <c r="AF102" s="12"/>
      <c r="AG102" s="12"/>
      <c r="AH102" s="12"/>
      <c r="AI102" s="12"/>
      <c r="AJ102" s="12"/>
      <c r="AK102" s="12"/>
      <c r="AL102" s="12"/>
    </row>
  </sheetData>
  <phoneticPr fontId="2" type="noConversion"/>
  <pageMargins left="0.7" right="0.7" top="0.75" bottom="0.75" header="0.3" footer="0.3"/>
  <pageSetup paperSize="9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8A6968-7CC0-4C99-8C44-1BD8295D1564}">
  <dimension ref="A1:G102"/>
  <sheetViews>
    <sheetView workbookViewId="0"/>
  </sheetViews>
  <sheetFormatPr defaultRowHeight="14.4"/>
  <cols>
    <col min="1" max="1" width="14.21875" bestFit="1" customWidth="1"/>
    <col min="2" max="7" width="20.109375" bestFit="1" customWidth="1"/>
  </cols>
  <sheetData>
    <row r="1" spans="1:7">
      <c r="A1" t="s">
        <v>59</v>
      </c>
    </row>
    <row r="2" spans="1:7">
      <c r="A2" s="2" t="s">
        <v>74</v>
      </c>
    </row>
    <row r="3" spans="1:7">
      <c r="A3" t="str">
        <f>E電入力!C4&amp;";"</f>
        <v>168950;</v>
      </c>
      <c r="B3" t="str">
        <f ca="1">"Beacon.Put(113,0,1"&amp;TEXT(E電入力!AM4,"00")&amp;");"</f>
        <v>Beacon.Put(113,0,103);</v>
      </c>
      <c r="C3" t="str">
        <f ca="1">"Beacon.Put(113,0,2"&amp;TEXT(E電入力!AN4,"00")&amp;");"</f>
        <v>Beacon.Put(113,0,200);</v>
      </c>
      <c r="D3" t="str">
        <f ca="1">"Beacon.Put(113,0,3"&amp;TEXT(E電入力!AO4,"00")&amp;");"</f>
        <v>Beacon.Put(113,0,302);</v>
      </c>
      <c r="E3" t="str">
        <f ca="1">"Beacon.Put(113,0,4"&amp;TEXT(E電入力!AP4,"00")&amp;");"</f>
        <v>Beacon.Put(113,0,404);</v>
      </c>
      <c r="F3" t="str">
        <f ca="1">"Beacon.Put(113,0,5"&amp;TEXT(E電入力!AQ4,"00")&amp;");"</f>
        <v>Beacon.Put(113,0,500);</v>
      </c>
      <c r="G3" t="str">
        <f ca="1">"Beacon.Put(113,0,6"&amp;TEXT(E電入力!AR4,"00")&amp;");"</f>
        <v>Beacon.Put(113,0,603);</v>
      </c>
    </row>
    <row r="4" spans="1:7">
      <c r="A4" t="str">
        <f>E電入力!C5&amp;"+25;"</f>
        <v>172525+25;</v>
      </c>
      <c r="B4" t="str">
        <f ca="1">"Beacon.Put(113,0,1"&amp;TEXT(E電入力!AM5,"00")&amp;");"</f>
        <v>Beacon.Put(113,0,100);</v>
      </c>
      <c r="C4" t="str">
        <f ca="1">"Beacon.Put(113,0,2"&amp;TEXT(E電入力!AN5,"00")&amp;");"</f>
        <v>Beacon.Put(113,0,202);</v>
      </c>
      <c r="D4" t="str">
        <f ca="1">"Beacon.Put(113,0,3"&amp;TEXT(E電入力!AO5,"00")&amp;");"</f>
        <v>Beacon.Put(113,0,304);</v>
      </c>
      <c r="E4" t="str">
        <f ca="1">"Beacon.Put(113,0,4"&amp;TEXT(E電入力!AP5,"00")&amp;");"</f>
        <v>Beacon.Put(113,0,400);</v>
      </c>
      <c r="F4" t="str">
        <f ca="1">"Beacon.Put(113,0,5"&amp;TEXT(E電入力!AQ5,"00")&amp;");"</f>
        <v>Beacon.Put(113,0,503);</v>
      </c>
      <c r="G4" t="str">
        <f ca="1">"Beacon.Put(113,0,6"&amp;TEXT(E電入力!AR5,"00")&amp;");"</f>
        <v>Beacon.Put(113,0,603);</v>
      </c>
    </row>
    <row r="5" spans="1:7">
      <c r="A5" t="str">
        <f>E電入力!C6&amp;"+25;"</f>
        <v>175225+25;</v>
      </c>
      <c r="B5" t="str">
        <f ca="1">"Beacon.Put(113,0,1"&amp;TEXT(E電入力!AM6,"00")&amp;");"</f>
        <v>Beacon.Put(113,0,102);</v>
      </c>
      <c r="C5" t="str">
        <f ca="1">"Beacon.Put(113,0,2"&amp;TEXT(E電入力!AN6,"00")&amp;");"</f>
        <v>Beacon.Put(113,0,204);</v>
      </c>
      <c r="D5" t="str">
        <f ca="1">"Beacon.Put(113,0,3"&amp;TEXT(E電入力!AO6,"00")&amp;");"</f>
        <v>Beacon.Put(113,0,300);</v>
      </c>
      <c r="E5" t="str">
        <f ca="1">"Beacon.Put(113,0,4"&amp;TEXT(E電入力!AP6,"00")&amp;");"</f>
        <v>Beacon.Put(113,0,403);</v>
      </c>
      <c r="F5" t="str">
        <f ca="1">"Beacon.Put(113,0,5"&amp;TEXT(E電入力!AQ6,"00")&amp;");"</f>
        <v>Beacon.Put(113,0,503);</v>
      </c>
      <c r="G5" t="str">
        <f ca="1">"Beacon.Put(113,0,6"&amp;TEXT(E電入力!AR6,"00")&amp;");"</f>
        <v>Beacon.Put(113,0,600);</v>
      </c>
    </row>
    <row r="6" spans="1:7">
      <c r="A6" t="str">
        <f>E電入力!C7&amp;"+25;"</f>
        <v>179525+25;</v>
      </c>
      <c r="B6" t="str">
        <f ca="1">"Beacon.Put(113,0,1"&amp;TEXT(E電入力!AM7,"00")&amp;");"</f>
        <v>Beacon.Put(113,0,104);</v>
      </c>
      <c r="C6" t="str">
        <f ca="1">"Beacon.Put(113,0,2"&amp;TEXT(E電入力!AN7,"00")&amp;");"</f>
        <v>Beacon.Put(113,0,200);</v>
      </c>
      <c r="D6" t="str">
        <f ca="1">"Beacon.Put(113,0,3"&amp;TEXT(E電入力!AO7,"00")&amp;");"</f>
        <v>Beacon.Put(113,0,303);</v>
      </c>
      <c r="E6" t="str">
        <f ca="1">"Beacon.Put(113,0,4"&amp;TEXT(E電入力!AP7,"00")&amp;");"</f>
        <v>Beacon.Put(113,0,403);</v>
      </c>
      <c r="F6" t="str">
        <f ca="1">"Beacon.Put(113,0,5"&amp;TEXT(E電入力!AQ7,"00")&amp;");"</f>
        <v>Beacon.Put(113,0,500);</v>
      </c>
      <c r="G6" t="str">
        <f ca="1">"Beacon.Put(113,0,6"&amp;TEXT(E電入力!AR7,"00")&amp;");"</f>
        <v>Beacon.Put(113,0,603);</v>
      </c>
    </row>
    <row r="7" spans="1:7">
      <c r="A7" t="str">
        <f>E電入力!C8&amp;"+25;"</f>
        <v>181975+25;</v>
      </c>
      <c r="B7" t="str">
        <f ca="1">"Beacon.Put(113,0,1"&amp;TEXT(E電入力!AM8,"00")&amp;");"</f>
        <v>Beacon.Put(113,0,100);</v>
      </c>
      <c r="C7" t="str">
        <f ca="1">"Beacon.Put(113,0,2"&amp;TEXT(E電入力!AN8,"00")&amp;");"</f>
        <v>Beacon.Put(113,0,203);</v>
      </c>
      <c r="D7" t="str">
        <f ca="1">"Beacon.Put(113,0,3"&amp;TEXT(E電入力!AO8,"00")&amp;");"</f>
        <v>Beacon.Put(113,0,303);</v>
      </c>
      <c r="E7" t="str">
        <f ca="1">"Beacon.Put(113,0,4"&amp;TEXT(E電入力!AP8,"00")&amp;");"</f>
        <v>Beacon.Put(113,0,400);</v>
      </c>
      <c r="F7" t="str">
        <f ca="1">"Beacon.Put(113,0,5"&amp;TEXT(E電入力!AQ8,"00")&amp;");"</f>
        <v>Beacon.Put(113,0,503);</v>
      </c>
      <c r="G7" t="str">
        <f ca="1">"Beacon.Put(113,0,6"&amp;TEXT(E電入力!AR8,"00")&amp;");"</f>
        <v>Beacon.Put(113,0,604);</v>
      </c>
    </row>
    <row r="8" spans="1:7">
      <c r="A8" t="str">
        <f>E電入力!C9&amp;"+25;"</f>
        <v>185325+25;</v>
      </c>
      <c r="B8" t="str">
        <f ca="1">"Beacon.Put(113,0,1"&amp;TEXT(E電入力!AM9,"00")&amp;");"</f>
        <v>Beacon.Put(113,0,103);</v>
      </c>
      <c r="C8" t="str">
        <f ca="1">"Beacon.Put(113,0,2"&amp;TEXT(E電入力!AN9,"00")&amp;");"</f>
        <v>Beacon.Put(113,0,203);</v>
      </c>
      <c r="D8" t="str">
        <f ca="1">"Beacon.Put(113,0,3"&amp;TEXT(E電入力!AO9,"00")&amp;");"</f>
        <v>Beacon.Put(113,0,300);</v>
      </c>
      <c r="E8" t="str">
        <f ca="1">"Beacon.Put(113,0,4"&amp;TEXT(E電入力!AP9,"00")&amp;");"</f>
        <v>Beacon.Put(113,0,403);</v>
      </c>
      <c r="F8" t="str">
        <f ca="1">"Beacon.Put(113,0,5"&amp;TEXT(E電入力!AQ9,"00")&amp;");"</f>
        <v>Beacon.Put(113,0,504);</v>
      </c>
      <c r="G8" t="str">
        <f ca="1">"Beacon.Put(113,0,6"&amp;TEXT(E電入力!AR9,"00")&amp;");"</f>
        <v>Beacon.Put(113,0,601);</v>
      </c>
    </row>
    <row r="9" spans="1:7">
      <c r="A9" t="str">
        <f>E電入力!C10&amp;"+25;"</f>
        <v>188425+25;</v>
      </c>
      <c r="B9" t="str">
        <f ca="1">"Beacon.Put(113,0,1"&amp;TEXT(E電入力!AM10,"00")&amp;");"</f>
        <v>Beacon.Put(113,0,103);</v>
      </c>
      <c r="C9" t="str">
        <f ca="1">"Beacon.Put(113,0,2"&amp;TEXT(E電入力!AN10,"00")&amp;");"</f>
        <v>Beacon.Put(113,0,200);</v>
      </c>
      <c r="D9" t="str">
        <f ca="1">"Beacon.Put(113,0,3"&amp;TEXT(E電入力!AO10,"00")&amp;");"</f>
        <v>Beacon.Put(113,0,303);</v>
      </c>
      <c r="E9" t="str">
        <f ca="1">"Beacon.Put(113,0,4"&amp;TEXT(E電入力!AP10,"00")&amp;");"</f>
        <v>Beacon.Put(113,0,404);</v>
      </c>
      <c r="F9" t="str">
        <f ca="1">"Beacon.Put(113,0,5"&amp;TEXT(E電入力!AQ10,"00")&amp;");"</f>
        <v>Beacon.Put(113,0,501);</v>
      </c>
      <c r="G9" t="str">
        <f ca="1">"Beacon.Put(113,0,6"&amp;TEXT(E電入力!AR10,"00")&amp;");"</f>
        <v>Beacon.Put(113,0,600);</v>
      </c>
    </row>
    <row r="10" spans="1:7">
      <c r="A10" t="str">
        <f>E電入力!C11&amp;"+25;"</f>
        <v>190150+25;</v>
      </c>
      <c r="B10" t="str">
        <f ca="1">"Beacon.Put(113,0,1"&amp;TEXT(E電入力!AM11,"00")&amp;");"</f>
        <v>Beacon.Put(113,0,100);</v>
      </c>
      <c r="C10" t="str">
        <f ca="1">"Beacon.Put(113,0,2"&amp;TEXT(E電入力!AN11,"00")&amp;");"</f>
        <v>Beacon.Put(113,0,203);</v>
      </c>
      <c r="D10" t="str">
        <f ca="1">"Beacon.Put(113,0,3"&amp;TEXT(E電入力!AO11,"00")&amp;");"</f>
        <v>Beacon.Put(113,0,304);</v>
      </c>
      <c r="E10" t="str">
        <f ca="1">"Beacon.Put(113,0,4"&amp;TEXT(E電入力!AP11,"00")&amp;");"</f>
        <v>Beacon.Put(113,0,401);</v>
      </c>
      <c r="F10" t="str">
        <f ca="1">"Beacon.Put(113,0,5"&amp;TEXT(E電入力!AQ11,"00")&amp;");"</f>
        <v>Beacon.Put(113,0,500);</v>
      </c>
      <c r="G10" t="str">
        <f ca="1">"Beacon.Put(113,0,6"&amp;TEXT(E電入力!AR11,"00")&amp;");"</f>
        <v>Beacon.Put(113,0,606);</v>
      </c>
    </row>
    <row r="11" spans="1:7">
      <c r="A11" t="str">
        <f>E電入力!C12&amp;"+25;"</f>
        <v>191625+25;</v>
      </c>
      <c r="B11" t="str">
        <f ca="1">"Beacon.Put(113,0,1"&amp;TEXT(E電入力!AM12,"00")&amp;");"</f>
        <v>Beacon.Put(113,0,103);</v>
      </c>
      <c r="C11" t="str">
        <f ca="1">"Beacon.Put(113,0,2"&amp;TEXT(E電入力!AN12,"00")&amp;");"</f>
        <v>Beacon.Put(113,0,204);</v>
      </c>
      <c r="D11" t="str">
        <f ca="1">"Beacon.Put(113,0,3"&amp;TEXT(E電入力!AO12,"00")&amp;");"</f>
        <v>Beacon.Put(113,0,301);</v>
      </c>
      <c r="E11" t="str">
        <f ca="1">"Beacon.Put(113,0,4"&amp;TEXT(E電入力!AP12,"00")&amp;");"</f>
        <v>Beacon.Put(113,0,400);</v>
      </c>
      <c r="F11" t="str">
        <f ca="1">"Beacon.Put(113,0,5"&amp;TEXT(E電入力!AQ12,"00")&amp;");"</f>
        <v>Beacon.Put(113,0,506);</v>
      </c>
      <c r="G11" t="str">
        <f ca="1">"Beacon.Put(113,0,6"&amp;TEXT(E電入力!AR12,"00")&amp;");"</f>
        <v>Beacon.Put(113,0,600);</v>
      </c>
    </row>
    <row r="12" spans="1:7">
      <c r="A12" t="str">
        <f>E電入力!C13&amp;"+25;"</f>
        <v>193900+25;</v>
      </c>
      <c r="B12" t="str">
        <f ca="1">"Beacon.Put(113,0,1"&amp;TEXT(E電入力!AM13,"00")&amp;");"</f>
        <v>Beacon.Put(113,0,104);</v>
      </c>
      <c r="C12" t="str">
        <f ca="1">"Beacon.Put(113,0,2"&amp;TEXT(E電入力!AN13,"00")&amp;");"</f>
        <v>Beacon.Put(113,0,201);</v>
      </c>
      <c r="D12" t="str">
        <f ca="1">"Beacon.Put(113,0,3"&amp;TEXT(E電入力!AO13,"00")&amp;");"</f>
        <v>Beacon.Put(113,0,300);</v>
      </c>
      <c r="E12" t="str">
        <f ca="1">"Beacon.Put(113,0,4"&amp;TEXT(E電入力!AP13,"00")&amp;");"</f>
        <v>Beacon.Put(113,0,406);</v>
      </c>
      <c r="F12" t="str">
        <f ca="1">"Beacon.Put(113,0,5"&amp;TEXT(E電入力!AQ13,"00")&amp;");"</f>
        <v>Beacon.Put(113,0,500);</v>
      </c>
      <c r="G12" t="str">
        <f ca="1">"Beacon.Put(113,0,6"&amp;TEXT(E電入力!AR13,"00")&amp;");"</f>
        <v>Beacon.Put(113,0,600);</v>
      </c>
    </row>
    <row r="13" spans="1:7">
      <c r="A13" t="str">
        <f>E電入力!C14&amp;"+25;"</f>
        <v>195600+25;</v>
      </c>
      <c r="B13" t="str">
        <f ca="1">"Beacon.Put(113,0,1"&amp;TEXT(E電入力!AM14,"00")&amp;");"</f>
        <v>Beacon.Put(113,0,101);</v>
      </c>
      <c r="C13" t="str">
        <f ca="1">"Beacon.Put(113,0,2"&amp;TEXT(E電入力!AN14,"00")&amp;");"</f>
        <v>Beacon.Put(113,0,200);</v>
      </c>
      <c r="D13" t="str">
        <f ca="1">"Beacon.Put(113,0,3"&amp;TEXT(E電入力!AO14,"00")&amp;");"</f>
        <v>Beacon.Put(113,0,306);</v>
      </c>
      <c r="E13" t="str">
        <f ca="1">"Beacon.Put(113,0,4"&amp;TEXT(E電入力!AP14,"00")&amp;");"</f>
        <v>Beacon.Put(113,0,400);</v>
      </c>
      <c r="F13" t="str">
        <f ca="1">"Beacon.Put(113,0,5"&amp;TEXT(E電入力!AQ14,"00")&amp;");"</f>
        <v>Beacon.Put(113,0,500);</v>
      </c>
      <c r="G13" t="str">
        <f ca="1">"Beacon.Put(113,0,6"&amp;TEXT(E電入力!AR14,"00")&amp;");"</f>
        <v>Beacon.Put(113,0,600);</v>
      </c>
    </row>
    <row r="14" spans="1:7">
      <c r="A14" t="str">
        <f>E電入力!C15&amp;"+25;"</f>
        <v>197325+25;</v>
      </c>
      <c r="B14" t="str">
        <f ca="1">"Beacon.Put(113,0,1"&amp;TEXT(E電入力!AM15,"00")&amp;");"</f>
        <v>Beacon.Put(113,0,100);</v>
      </c>
      <c r="C14" t="str">
        <f ca="1">"Beacon.Put(113,0,2"&amp;TEXT(E電入力!AN15,"00")&amp;");"</f>
        <v>Beacon.Put(113,0,206);</v>
      </c>
      <c r="D14" t="str">
        <f ca="1">"Beacon.Put(113,0,3"&amp;TEXT(E電入力!AO15,"00")&amp;");"</f>
        <v>Beacon.Put(113,0,300);</v>
      </c>
      <c r="E14" t="str">
        <f ca="1">"Beacon.Put(113,0,4"&amp;TEXT(E電入力!AP15,"00")&amp;");"</f>
        <v>Beacon.Put(113,0,400);</v>
      </c>
      <c r="F14" t="str">
        <f ca="1">"Beacon.Put(113,0,5"&amp;TEXT(E電入力!AQ15,"00")&amp;");"</f>
        <v>Beacon.Put(113,0,500);</v>
      </c>
      <c r="G14" t="str">
        <f ca="1">"Beacon.Put(113,0,6"&amp;TEXT(E電入力!AR15,"00")&amp;");"</f>
        <v>Beacon.Put(113,0,600);</v>
      </c>
    </row>
    <row r="15" spans="1:7">
      <c r="A15" t="str">
        <f>E電入力!C16&amp;"+25;"</f>
        <v>198925+25;</v>
      </c>
      <c r="B15" t="str">
        <f ca="1">"Beacon.Put(113,0,1"&amp;TEXT(E電入力!AM16,"00")&amp;");"</f>
        <v>Beacon.Put(113,0,106);</v>
      </c>
      <c r="C15" t="str">
        <f ca="1">"Beacon.Put(113,0,2"&amp;TEXT(E電入力!AN16,"00")&amp;");"</f>
        <v>Beacon.Put(113,0,200);</v>
      </c>
      <c r="D15" t="str">
        <f ca="1">"Beacon.Put(113,0,3"&amp;TEXT(E電入力!AO16,"00")&amp;");"</f>
        <v>Beacon.Put(113,0,300);</v>
      </c>
      <c r="E15" t="str">
        <f ca="1">"Beacon.Put(113,0,4"&amp;TEXT(E電入力!AP16,"00")&amp;");"</f>
        <v>Beacon.Put(113,0,400);</v>
      </c>
      <c r="F15" t="str">
        <f ca="1">"Beacon.Put(113,0,5"&amp;TEXT(E電入力!AQ16,"00")&amp;");"</f>
        <v>Beacon.Put(113,0,500);</v>
      </c>
      <c r="G15" t="str">
        <f ca="1">"Beacon.Put(113,0,6"&amp;TEXT(E電入力!AR16,"00")&amp;");"</f>
        <v>Beacon.Put(113,0,600);</v>
      </c>
    </row>
    <row r="16" spans="1:7">
      <c r="A16" t="str">
        <f>E電入力!C17&amp;"+25;"</f>
        <v>200475+25;</v>
      </c>
      <c r="B16" t="str">
        <f ca="1">"Beacon.Put(113,0,1"&amp;TEXT(E電入力!AM17,"00")&amp;");"</f>
        <v>Beacon.Put(113,0,100);</v>
      </c>
      <c r="C16" t="str">
        <f ca="1">"Beacon.Put(113,0,2"&amp;TEXT(E電入力!AN17,"00")&amp;");"</f>
        <v>Beacon.Put(113,0,200);</v>
      </c>
      <c r="D16" t="str">
        <f ca="1">"Beacon.Put(113,0,3"&amp;TEXT(E電入力!AO17,"00")&amp;");"</f>
        <v>Beacon.Put(113,0,300);</v>
      </c>
      <c r="E16" t="str">
        <f ca="1">"Beacon.Put(113,0,4"&amp;TEXT(E電入力!AP17,"00")&amp;");"</f>
        <v>Beacon.Put(113,0,400);</v>
      </c>
      <c r="F16" t="str">
        <f ca="1">"Beacon.Put(113,0,5"&amp;TEXT(E電入力!AQ17,"00")&amp;");"</f>
        <v>Beacon.Put(113,0,500);</v>
      </c>
      <c r="G16" t="str">
        <f ca="1">"Beacon.Put(113,0,6"&amp;TEXT(E電入力!AR17,"00")&amp;");"</f>
        <v>Beacon.Put(113,0,608);</v>
      </c>
    </row>
    <row r="17" spans="1:7">
      <c r="A17" t="str">
        <f>E電入力!C18&amp;"+25;"</f>
        <v>202075+25;</v>
      </c>
      <c r="B17" t="str">
        <f ca="1">"Beacon.Put(113,0,1"&amp;TEXT(E電入力!AM18,"00")&amp;");"</f>
        <v>Beacon.Put(113,0,100);</v>
      </c>
      <c r="C17" t="str">
        <f ca="1">"Beacon.Put(113,0,2"&amp;TEXT(E電入力!AN18,"00")&amp;");"</f>
        <v>Beacon.Put(113,0,200);</v>
      </c>
      <c r="D17" t="str">
        <f ca="1">"Beacon.Put(113,0,3"&amp;TEXT(E電入力!AO18,"00")&amp;");"</f>
        <v>Beacon.Put(113,0,300);</v>
      </c>
      <c r="E17" t="str">
        <f ca="1">"Beacon.Put(113,0,4"&amp;TEXT(E電入力!AP18,"00")&amp;");"</f>
        <v>Beacon.Put(113,0,400);</v>
      </c>
      <c r="F17" t="str">
        <f ca="1">"Beacon.Put(113,0,5"&amp;TEXT(E電入力!AQ18,"00")&amp;");"</f>
        <v>Beacon.Put(113,0,508);</v>
      </c>
      <c r="G17" t="str">
        <f ca="1">"Beacon.Put(113,0,6"&amp;TEXT(E電入力!AR18,"00")&amp;");"</f>
        <v>Beacon.Put(113,0,608);</v>
      </c>
    </row>
    <row r="18" spans="1:7">
      <c r="A18" t="str">
        <f>E電入力!C19&amp;"+25;"</f>
        <v>203845+25;</v>
      </c>
      <c r="B18" t="str">
        <f ca="1">"Beacon.Put(113,0,1"&amp;TEXT(E電入力!AM19,"00")&amp;");"</f>
        <v>Beacon.Put(113,0,100);</v>
      </c>
      <c r="C18" t="str">
        <f ca="1">"Beacon.Put(113,0,2"&amp;TEXT(E電入力!AN19,"00")&amp;");"</f>
        <v>Beacon.Put(113,0,200);</v>
      </c>
      <c r="D18" t="str">
        <f ca="1">"Beacon.Put(113,0,3"&amp;TEXT(E電入力!AO19,"00")&amp;");"</f>
        <v>Beacon.Put(113,0,300);</v>
      </c>
      <c r="E18" t="str">
        <f ca="1">"Beacon.Put(113,0,4"&amp;TEXT(E電入力!AP19,"00")&amp;");"</f>
        <v>Beacon.Put(113,0,408);</v>
      </c>
      <c r="F18" t="str">
        <f ca="1">"Beacon.Put(113,0,5"&amp;TEXT(E電入力!AQ19,"00")&amp;");"</f>
        <v>Beacon.Put(113,0,508);</v>
      </c>
      <c r="G18" t="str">
        <f ca="1">"Beacon.Put(113,0,6"&amp;TEXT(E電入力!AR19,"00")&amp;");"</f>
        <v>Beacon.Put(113,0,600);</v>
      </c>
    </row>
    <row r="19" spans="1:7">
      <c r="A19" t="str">
        <f>E電入力!C20&amp;"+25;"</f>
        <v>205325+25;</v>
      </c>
      <c r="B19" t="str">
        <f ca="1">"Beacon.Put(113,0,1"&amp;TEXT(E電入力!AM20,"00")&amp;");"</f>
        <v>Beacon.Put(113,0,100);</v>
      </c>
      <c r="C19" t="str">
        <f ca="1">"Beacon.Put(113,0,2"&amp;TEXT(E電入力!AN20,"00")&amp;");"</f>
        <v>Beacon.Put(113,0,200);</v>
      </c>
      <c r="D19" t="str">
        <f ca="1">"Beacon.Put(113,0,3"&amp;TEXT(E電入力!AO20,"00")&amp;");"</f>
        <v>Beacon.Put(113,0,308);</v>
      </c>
      <c r="E19" t="str">
        <f ca="1">"Beacon.Put(113,0,4"&amp;TEXT(E電入力!AP20,"00")&amp;");"</f>
        <v>Beacon.Put(113,0,408);</v>
      </c>
      <c r="F19" t="str">
        <f ca="1">"Beacon.Put(113,0,5"&amp;TEXT(E電入力!AQ20,"00")&amp;");"</f>
        <v>Beacon.Put(113,0,500);</v>
      </c>
      <c r="G19" t="str">
        <f ca="1">"Beacon.Put(113,0,6"&amp;TEXT(E電入力!AR20,"00")&amp;");"</f>
        <v>Beacon.Put(113,0,600);</v>
      </c>
    </row>
    <row r="20" spans="1:7">
      <c r="A20" t="str">
        <f>E電入力!C21&amp;"+25;"</f>
        <v>206725+25;</v>
      </c>
      <c r="B20" t="str">
        <f ca="1">"Beacon.Put(113,0,1"&amp;TEXT(E電入力!AM21,"00")&amp;");"</f>
        <v>Beacon.Put(113,0,100);</v>
      </c>
      <c r="C20" t="str">
        <f ca="1">"Beacon.Put(113,0,2"&amp;TEXT(E電入力!AN21,"00")&amp;");"</f>
        <v>Beacon.Put(113,0,208);</v>
      </c>
      <c r="D20" t="str">
        <f ca="1">"Beacon.Put(113,0,3"&amp;TEXT(E電入力!AO21,"00")&amp;");"</f>
        <v>Beacon.Put(113,0,308);</v>
      </c>
      <c r="E20" t="str">
        <f ca="1">"Beacon.Put(113,0,4"&amp;TEXT(E電入力!AP21,"00")&amp;");"</f>
        <v>Beacon.Put(113,0,400);</v>
      </c>
      <c r="F20" t="str">
        <f ca="1">"Beacon.Put(113,0,5"&amp;TEXT(E電入力!AQ21,"00")&amp;");"</f>
        <v>Beacon.Put(113,0,500);</v>
      </c>
      <c r="G20" t="str">
        <f ca="1">"Beacon.Put(113,0,6"&amp;TEXT(E電入力!AR21,"00")&amp;");"</f>
        <v>Beacon.Put(113,0,600);</v>
      </c>
    </row>
    <row r="21" spans="1:7">
      <c r="A21" t="str">
        <f>E電入力!C22&amp;"+25;"</f>
        <v>208225+25;</v>
      </c>
      <c r="B21" t="str">
        <f ca="1">"Beacon.Put(113,0,1"&amp;TEXT(E電入力!AM22,"00")&amp;");"</f>
        <v>Beacon.Put(113,0,108);</v>
      </c>
      <c r="C21" t="str">
        <f ca="1">"Beacon.Put(113,0,2"&amp;TEXT(E電入力!AN22,"00")&amp;");"</f>
        <v>Beacon.Put(113,0,208);</v>
      </c>
      <c r="D21" t="str">
        <f ca="1">"Beacon.Put(113,0,3"&amp;TEXT(E電入力!AO22,"00")&amp;");"</f>
        <v>Beacon.Put(113,0,300);</v>
      </c>
      <c r="E21" t="str">
        <f ca="1">"Beacon.Put(113,0,4"&amp;TEXT(E電入力!AP22,"00")&amp;");"</f>
        <v>Beacon.Put(113,0,400);</v>
      </c>
      <c r="F21" t="str">
        <f ca="1">"Beacon.Put(113,0,5"&amp;TEXT(E電入力!AQ22,"00")&amp;");"</f>
        <v>Beacon.Put(113,0,500);</v>
      </c>
      <c r="G21" t="str">
        <f ca="1">"Beacon.Put(113,0,6"&amp;TEXT(E電入力!AR22,"00")&amp;");"</f>
        <v>Beacon.Put(113,0,601);</v>
      </c>
    </row>
    <row r="22" spans="1:7">
      <c r="A22" t="str">
        <f>E電入力!C23&amp;"+25;"</f>
        <v>212675+25;</v>
      </c>
      <c r="B22" t="str">
        <f ca="1">"Beacon.Put(113,0,1"&amp;TEXT(E電入力!AM23,"00")&amp;");"</f>
        <v>Beacon.Put(113,0,108);</v>
      </c>
      <c r="C22" t="str">
        <f ca="1">"Beacon.Put(113,0,2"&amp;TEXT(E電入力!AN23,"00")&amp;");"</f>
        <v>Beacon.Put(113,0,200);</v>
      </c>
      <c r="D22" t="str">
        <f ca="1">"Beacon.Put(113,0,3"&amp;TEXT(E電入力!AO23,"00")&amp;");"</f>
        <v>Beacon.Put(113,0,300);</v>
      </c>
      <c r="E22" t="str">
        <f ca="1">"Beacon.Put(113,0,4"&amp;TEXT(E電入力!AP23,"00")&amp;");"</f>
        <v>Beacon.Put(113,0,400);</v>
      </c>
      <c r="F22" t="str">
        <f ca="1">"Beacon.Put(113,0,5"&amp;TEXT(E電入力!AQ23,"00")&amp;");"</f>
        <v>Beacon.Put(113,0,501);</v>
      </c>
      <c r="G22" t="str">
        <f ca="1">"Beacon.Put(113,0,6"&amp;TEXT(E電入力!AR23,"00")&amp;");"</f>
        <v>Beacon.Put(113,0,600);</v>
      </c>
    </row>
    <row r="23" spans="1:7">
      <c r="A23" t="str">
        <f>E電入力!C24&amp;"+25;"</f>
        <v>216375+25;</v>
      </c>
      <c r="B23" t="str">
        <f ca="1">"Beacon.Put(113,0,1"&amp;TEXT(E電入力!AM24,"00")&amp;");"</f>
        <v>Beacon.Put(113,0,108);</v>
      </c>
      <c r="C23" t="str">
        <f ca="1">"Beacon.Put(113,0,2"&amp;TEXT(E電入力!AN24,"00")&amp;");"</f>
        <v>Beacon.Put(113,0,200);</v>
      </c>
      <c r="D23" t="str">
        <f ca="1">"Beacon.Put(113,0,3"&amp;TEXT(E電入力!AO24,"00")&amp;");"</f>
        <v>Beacon.Put(113,0,300);</v>
      </c>
      <c r="E23" t="str">
        <f ca="1">"Beacon.Put(113,0,4"&amp;TEXT(E電入力!AP24,"00")&amp;");"</f>
        <v>Beacon.Put(113,0,400);</v>
      </c>
      <c r="F23" t="str">
        <f ca="1">"Beacon.Put(113,0,5"&amp;TEXT(E電入力!AQ24,"00")&amp;");"</f>
        <v>Beacon.Put(113,0,501);</v>
      </c>
      <c r="G23" t="str">
        <f ca="1">"Beacon.Put(113,0,6"&amp;TEXT(E電入力!AR24,"00")&amp;");"</f>
        <v>Beacon.Put(113,0,600);</v>
      </c>
    </row>
    <row r="24" spans="1:7">
      <c r="A24" t="str">
        <f>E電入力!C25&amp;"+25;"</f>
        <v>220540+25;</v>
      </c>
      <c r="B24" t="str">
        <f ca="1">"Beacon.Put(113,0,1"&amp;TEXT(E電入力!AM25,"00")&amp;");"</f>
        <v>Beacon.Put(113,0,108);</v>
      </c>
      <c r="C24" t="str">
        <f ca="1">"Beacon.Put(113,0,2"&amp;TEXT(E電入力!AN25,"00")&amp;");"</f>
        <v>Beacon.Put(113,0,200);</v>
      </c>
      <c r="D24" t="str">
        <f ca="1">"Beacon.Put(113,0,3"&amp;TEXT(E電入力!AO25,"00")&amp;");"</f>
        <v>Beacon.Put(113,0,300);</v>
      </c>
      <c r="E24" t="str">
        <f ca="1">"Beacon.Put(113,0,4"&amp;TEXT(E電入力!AP25,"00")&amp;");"</f>
        <v>Beacon.Put(113,0,400);</v>
      </c>
      <c r="F24" t="str">
        <f ca="1">"Beacon.Put(113,0,5"&amp;TEXT(E電入力!AQ25,"00")&amp;");"</f>
        <v>Beacon.Put(113,0,501);</v>
      </c>
      <c r="G24" t="str">
        <f ca="1">"Beacon.Put(113,0,6"&amp;TEXT(E電入力!AR25,"00")&amp;");"</f>
        <v>Beacon.Put(113,0,600);</v>
      </c>
    </row>
    <row r="25" spans="1:7">
      <c r="A25" t="str">
        <f>E電入力!C26&amp;"+25;"</f>
        <v>221770+25;</v>
      </c>
      <c r="B25" t="str">
        <f ca="1">"Beacon.Put(113,0,1"&amp;TEXT(E電入力!AM26,"00")&amp;");"</f>
        <v>Beacon.Put(113,0,108);</v>
      </c>
      <c r="C25" t="str">
        <f ca="1">"Beacon.Put(113,0,2"&amp;TEXT(E電入力!AN26,"00")&amp;");"</f>
        <v>Beacon.Put(113,0,200);</v>
      </c>
      <c r="D25" t="str">
        <f ca="1">"Beacon.Put(113,0,3"&amp;TEXT(E電入力!AO26,"00")&amp;");"</f>
        <v>Beacon.Put(113,0,300);</v>
      </c>
      <c r="E25" t="str">
        <f ca="1">"Beacon.Put(113,0,4"&amp;TEXT(E電入力!AP26,"00")&amp;");"</f>
        <v>Beacon.Put(113,0,400);</v>
      </c>
      <c r="F25" t="str">
        <f ca="1">"Beacon.Put(113,0,5"&amp;TEXT(E電入力!AQ26,"00")&amp;");"</f>
        <v>Beacon.Put(113,0,501);</v>
      </c>
      <c r="G25" t="str">
        <f ca="1">"Beacon.Put(113,0,6"&amp;TEXT(E電入力!AR26,"00")&amp;");"</f>
        <v>Beacon.Put(113,0,600);</v>
      </c>
    </row>
    <row r="26" spans="1:7">
      <c r="A26" t="str">
        <f>E電入力!C27&amp;"+25;"</f>
        <v>223075+25;</v>
      </c>
      <c r="B26" t="str">
        <f ca="1">"Beacon.Put(113,0,1"&amp;TEXT(E電入力!AM27,"00")&amp;");"</f>
        <v>Beacon.Put(113,0,108);</v>
      </c>
      <c r="C26" t="str">
        <f ca="1">"Beacon.Put(113,0,2"&amp;TEXT(E電入力!AN27,"00")&amp;");"</f>
        <v>Beacon.Put(113,0,200);</v>
      </c>
      <c r="D26" t="str">
        <f ca="1">"Beacon.Put(113,0,3"&amp;TEXT(E電入力!AO27,"00")&amp;");"</f>
        <v>Beacon.Put(113,0,300);</v>
      </c>
      <c r="E26" t="str">
        <f ca="1">"Beacon.Put(113,0,4"&amp;TEXT(E電入力!AP27,"00")&amp;");"</f>
        <v>Beacon.Put(113,0,400);</v>
      </c>
      <c r="F26" t="str">
        <f ca="1">"Beacon.Put(113,0,5"&amp;TEXT(E電入力!AQ27,"00")&amp;");"</f>
        <v>Beacon.Put(113,0,501);</v>
      </c>
      <c r="G26" t="str">
        <f ca="1">"Beacon.Put(113,0,6"&amp;TEXT(E電入力!AR27,"00")&amp;");"</f>
        <v>Beacon.Put(113,0,600);</v>
      </c>
    </row>
    <row r="27" spans="1:7">
      <c r="A27" t="str">
        <f>E電入力!C28&amp;"+25;"</f>
        <v>+25;</v>
      </c>
      <c r="B27" t="str">
        <f ca="1">"Beacon.Put(113,0,1"&amp;TEXT(E電入力!AM28,"00")&amp;");"</f>
        <v>Beacon.Put(113,0,108);</v>
      </c>
      <c r="C27" t="str">
        <f ca="1">"Beacon.Put(113,0,2"&amp;TEXT(E電入力!AN28,"00")&amp;");"</f>
        <v>Beacon.Put(113,0,200);</v>
      </c>
      <c r="D27" t="str">
        <f ca="1">"Beacon.Put(113,0,3"&amp;TEXT(E電入力!AO28,"00")&amp;");"</f>
        <v>Beacon.Put(113,0,300);</v>
      </c>
      <c r="E27" t="str">
        <f ca="1">"Beacon.Put(113,0,4"&amp;TEXT(E電入力!AP28,"00")&amp;");"</f>
        <v>Beacon.Put(113,0,400);</v>
      </c>
      <c r="F27" t="str">
        <f ca="1">"Beacon.Put(113,0,5"&amp;TEXT(E電入力!AQ28,"00")&amp;");"</f>
        <v>Beacon.Put(113,0,501);</v>
      </c>
      <c r="G27" t="str">
        <f ca="1">"Beacon.Put(113,0,6"&amp;TEXT(E電入力!AR28,"00")&amp;");"</f>
        <v>Beacon.Put(113,0,600);</v>
      </c>
    </row>
    <row r="28" spans="1:7">
      <c r="A28" t="str">
        <f>E電入力!C29&amp;"+25;"</f>
        <v>+25;</v>
      </c>
      <c r="B28" t="str">
        <f ca="1">"Beacon.Put(113,0,1"&amp;TEXT(E電入力!AM29,"00")&amp;");"</f>
        <v>Beacon.Put(113,0,108);</v>
      </c>
      <c r="C28" t="str">
        <f ca="1">"Beacon.Put(113,0,2"&amp;TEXT(E電入力!AN29,"00")&amp;");"</f>
        <v>Beacon.Put(113,0,200);</v>
      </c>
      <c r="D28" t="str">
        <f ca="1">"Beacon.Put(113,0,3"&amp;TEXT(E電入力!AO29,"00")&amp;");"</f>
        <v>Beacon.Put(113,0,300);</v>
      </c>
      <c r="E28" t="str">
        <f ca="1">"Beacon.Put(113,0,4"&amp;TEXT(E電入力!AP29,"00")&amp;");"</f>
        <v>Beacon.Put(113,0,400);</v>
      </c>
      <c r="F28" t="str">
        <f ca="1">"Beacon.Put(113,0,5"&amp;TEXT(E電入力!AQ29,"00")&amp;");"</f>
        <v>Beacon.Put(113,0,501);</v>
      </c>
      <c r="G28" t="str">
        <f ca="1">"Beacon.Put(113,0,6"&amp;TEXT(E電入力!AR29,"00")&amp;");"</f>
        <v>Beacon.Put(113,0,600);</v>
      </c>
    </row>
    <row r="29" spans="1:7">
      <c r="A29" t="str">
        <f>E電入力!C30&amp;"+25;"</f>
        <v>+25;</v>
      </c>
      <c r="B29" t="str">
        <f ca="1">"Beacon.Put(113,0,1"&amp;TEXT(E電入力!AM30,"00")&amp;");"</f>
        <v>Beacon.Put(113,0,108);</v>
      </c>
      <c r="C29" t="str">
        <f ca="1">"Beacon.Put(113,0,2"&amp;TEXT(E電入力!AN30,"00")&amp;");"</f>
        <v>Beacon.Put(113,0,200);</v>
      </c>
      <c r="D29" t="str">
        <f ca="1">"Beacon.Put(113,0,3"&amp;TEXT(E電入力!AO30,"00")&amp;");"</f>
        <v>Beacon.Put(113,0,300);</v>
      </c>
      <c r="E29" t="str">
        <f ca="1">"Beacon.Put(113,0,4"&amp;TEXT(E電入力!AP30,"00")&amp;");"</f>
        <v>Beacon.Put(113,0,400);</v>
      </c>
      <c r="F29" t="str">
        <f ca="1">"Beacon.Put(113,0,5"&amp;TEXT(E電入力!AQ30,"00")&amp;");"</f>
        <v>Beacon.Put(113,0,501);</v>
      </c>
      <c r="G29" t="str">
        <f ca="1">"Beacon.Put(113,0,6"&amp;TEXT(E電入力!AR30,"00")&amp;");"</f>
        <v>Beacon.Put(113,0,600);</v>
      </c>
    </row>
    <row r="30" spans="1:7">
      <c r="A30" t="str">
        <f>E電入力!C31&amp;"+25;"</f>
        <v>+25;</v>
      </c>
      <c r="B30" t="str">
        <f ca="1">"Beacon.Put(113,0,1"&amp;TEXT(E電入力!AM31,"00")&amp;");"</f>
        <v>Beacon.Put(113,0,108);</v>
      </c>
      <c r="C30" t="str">
        <f ca="1">"Beacon.Put(113,0,2"&amp;TEXT(E電入力!AN31,"00")&amp;");"</f>
        <v>Beacon.Put(113,0,200);</v>
      </c>
      <c r="D30" t="str">
        <f ca="1">"Beacon.Put(113,0,3"&amp;TEXT(E電入力!AO31,"00")&amp;");"</f>
        <v>Beacon.Put(113,0,300);</v>
      </c>
      <c r="E30" t="str">
        <f ca="1">"Beacon.Put(113,0,4"&amp;TEXT(E電入力!AP31,"00")&amp;");"</f>
        <v>Beacon.Put(113,0,400);</v>
      </c>
      <c r="F30" t="str">
        <f ca="1">"Beacon.Put(113,0,5"&amp;TEXT(E電入力!AQ31,"00")&amp;");"</f>
        <v>Beacon.Put(113,0,501);</v>
      </c>
      <c r="G30" t="str">
        <f ca="1">"Beacon.Put(113,0,6"&amp;TEXT(E電入力!AR31,"00")&amp;");"</f>
        <v>Beacon.Put(113,0,600);</v>
      </c>
    </row>
    <row r="31" spans="1:7">
      <c r="A31" t="str">
        <f>E電入力!C32&amp;"+25;"</f>
        <v>+25;</v>
      </c>
      <c r="B31" t="str">
        <f ca="1">"Beacon.Put(113,0,1"&amp;TEXT(E電入力!AM32,"00")&amp;");"</f>
        <v>Beacon.Put(113,0,108);</v>
      </c>
      <c r="C31" t="str">
        <f ca="1">"Beacon.Put(113,0,2"&amp;TEXT(E電入力!AN32,"00")&amp;");"</f>
        <v>Beacon.Put(113,0,200);</v>
      </c>
      <c r="D31" t="str">
        <f ca="1">"Beacon.Put(113,0,3"&amp;TEXT(E電入力!AO32,"00")&amp;");"</f>
        <v>Beacon.Put(113,0,300);</v>
      </c>
      <c r="E31" t="str">
        <f ca="1">"Beacon.Put(113,0,4"&amp;TEXT(E電入力!AP32,"00")&amp;");"</f>
        <v>Beacon.Put(113,0,400);</v>
      </c>
      <c r="F31" t="str">
        <f ca="1">"Beacon.Put(113,0,5"&amp;TEXT(E電入力!AQ32,"00")&amp;");"</f>
        <v>Beacon.Put(113,0,501);</v>
      </c>
      <c r="G31" t="str">
        <f ca="1">"Beacon.Put(113,0,6"&amp;TEXT(E電入力!AR32,"00")&amp;");"</f>
        <v>Beacon.Put(113,0,600);</v>
      </c>
    </row>
    <row r="32" spans="1:7">
      <c r="A32" t="str">
        <f>E電入力!C33&amp;"+25;"</f>
        <v>+25;</v>
      </c>
      <c r="B32" t="str">
        <f ca="1">"Beacon.Put(113,0,1"&amp;TEXT(E電入力!AM33,"00")&amp;");"</f>
        <v>Beacon.Put(113,0,108);</v>
      </c>
      <c r="C32" t="str">
        <f ca="1">"Beacon.Put(113,0,2"&amp;TEXT(E電入力!AN33,"00")&amp;");"</f>
        <v>Beacon.Put(113,0,200);</v>
      </c>
      <c r="D32" t="str">
        <f ca="1">"Beacon.Put(113,0,3"&amp;TEXT(E電入力!AO33,"00")&amp;");"</f>
        <v>Beacon.Put(113,0,300);</v>
      </c>
      <c r="E32" t="str">
        <f ca="1">"Beacon.Put(113,0,4"&amp;TEXT(E電入力!AP33,"00")&amp;");"</f>
        <v>Beacon.Put(113,0,400);</v>
      </c>
      <c r="F32" t="str">
        <f ca="1">"Beacon.Put(113,0,5"&amp;TEXT(E電入力!AQ33,"00")&amp;");"</f>
        <v>Beacon.Put(113,0,501);</v>
      </c>
      <c r="G32" t="str">
        <f ca="1">"Beacon.Put(113,0,6"&amp;TEXT(E電入力!AR33,"00")&amp;");"</f>
        <v>Beacon.Put(113,0,600);</v>
      </c>
    </row>
    <row r="33" spans="1:7">
      <c r="A33" t="str">
        <f>E電入力!C34&amp;"+25;"</f>
        <v>+25;</v>
      </c>
      <c r="B33" t="str">
        <f ca="1">"Beacon.Put(113,0,1"&amp;TEXT(E電入力!AM34,"00")&amp;");"</f>
        <v>Beacon.Put(113,0,108);</v>
      </c>
      <c r="C33" t="str">
        <f ca="1">"Beacon.Put(113,0,2"&amp;TEXT(E電入力!AN34,"00")&amp;");"</f>
        <v>Beacon.Put(113,0,200);</v>
      </c>
      <c r="D33" t="str">
        <f ca="1">"Beacon.Put(113,0,3"&amp;TEXT(E電入力!AO34,"00")&amp;");"</f>
        <v>Beacon.Put(113,0,300);</v>
      </c>
      <c r="E33" t="str">
        <f ca="1">"Beacon.Put(113,0,4"&amp;TEXT(E電入力!AP34,"00")&amp;");"</f>
        <v>Beacon.Put(113,0,400);</v>
      </c>
      <c r="F33" t="str">
        <f ca="1">"Beacon.Put(113,0,5"&amp;TEXT(E電入力!AQ34,"00")&amp;");"</f>
        <v>Beacon.Put(113,0,501);</v>
      </c>
      <c r="G33" t="str">
        <f ca="1">"Beacon.Put(113,0,6"&amp;TEXT(E電入力!AR34,"00")&amp;");"</f>
        <v>Beacon.Put(113,0,600);</v>
      </c>
    </row>
    <row r="34" spans="1:7">
      <c r="A34" t="str">
        <f>E電入力!C35&amp;"+25;"</f>
        <v>+25;</v>
      </c>
      <c r="B34" t="str">
        <f ca="1">"Beacon.Put(113,0,1"&amp;TEXT(E電入力!AM35,"00")&amp;");"</f>
        <v>Beacon.Put(113,0,108);</v>
      </c>
      <c r="C34" t="str">
        <f ca="1">"Beacon.Put(113,0,2"&amp;TEXT(E電入力!AN35,"00")&amp;");"</f>
        <v>Beacon.Put(113,0,200);</v>
      </c>
      <c r="D34" t="str">
        <f ca="1">"Beacon.Put(113,0,3"&amp;TEXT(E電入力!AO35,"00")&amp;");"</f>
        <v>Beacon.Put(113,0,300);</v>
      </c>
      <c r="E34" t="str">
        <f ca="1">"Beacon.Put(113,0,4"&amp;TEXT(E電入力!AP35,"00")&amp;");"</f>
        <v>Beacon.Put(113,0,400);</v>
      </c>
      <c r="F34" t="str">
        <f ca="1">"Beacon.Put(113,0,5"&amp;TEXT(E電入力!AQ35,"00")&amp;");"</f>
        <v>Beacon.Put(113,0,501);</v>
      </c>
      <c r="G34" t="str">
        <f ca="1">"Beacon.Put(113,0,6"&amp;TEXT(E電入力!AR35,"00")&amp;");"</f>
        <v>Beacon.Put(113,0,600);</v>
      </c>
    </row>
    <row r="35" spans="1:7">
      <c r="A35" t="str">
        <f>E電入力!C36&amp;"+25;"</f>
        <v>+25;</v>
      </c>
      <c r="B35" t="str">
        <f ca="1">"Beacon.Put(113,0,1"&amp;TEXT(E電入力!AM36,"00")&amp;");"</f>
        <v>Beacon.Put(113,0,108);</v>
      </c>
      <c r="C35" t="str">
        <f ca="1">"Beacon.Put(113,0,2"&amp;TEXT(E電入力!AN36,"00")&amp;");"</f>
        <v>Beacon.Put(113,0,200);</v>
      </c>
      <c r="D35" t="str">
        <f ca="1">"Beacon.Put(113,0,3"&amp;TEXT(E電入力!AO36,"00")&amp;");"</f>
        <v>Beacon.Put(113,0,300);</v>
      </c>
      <c r="E35" t="str">
        <f ca="1">"Beacon.Put(113,0,4"&amp;TEXT(E電入力!AP36,"00")&amp;");"</f>
        <v>Beacon.Put(113,0,400);</v>
      </c>
      <c r="F35" t="str">
        <f ca="1">"Beacon.Put(113,0,5"&amp;TEXT(E電入力!AQ36,"00")&amp;");"</f>
        <v>Beacon.Put(113,0,501);</v>
      </c>
      <c r="G35" t="str">
        <f ca="1">"Beacon.Put(113,0,6"&amp;TEXT(E電入力!AR36,"00")&amp;");"</f>
        <v>Beacon.Put(113,0,600);</v>
      </c>
    </row>
    <row r="36" spans="1:7">
      <c r="A36" t="str">
        <f>E電入力!C37&amp;"+25;"</f>
        <v>+25;</v>
      </c>
      <c r="B36" t="str">
        <f ca="1">"Beacon.Put(113,0,1"&amp;TEXT(E電入力!AM37,"00")&amp;");"</f>
        <v>Beacon.Put(113,0,108);</v>
      </c>
      <c r="C36" t="str">
        <f ca="1">"Beacon.Put(113,0,2"&amp;TEXT(E電入力!AN37,"00")&amp;");"</f>
        <v>Beacon.Put(113,0,200);</v>
      </c>
      <c r="D36" t="str">
        <f ca="1">"Beacon.Put(113,0,3"&amp;TEXT(E電入力!AO37,"00")&amp;");"</f>
        <v>Beacon.Put(113,0,300);</v>
      </c>
      <c r="E36" t="str">
        <f ca="1">"Beacon.Put(113,0,4"&amp;TEXT(E電入力!AP37,"00")&amp;");"</f>
        <v>Beacon.Put(113,0,400);</v>
      </c>
      <c r="F36" t="str">
        <f ca="1">"Beacon.Put(113,0,5"&amp;TEXT(E電入力!AQ37,"00")&amp;");"</f>
        <v>Beacon.Put(113,0,501);</v>
      </c>
      <c r="G36" t="str">
        <f ca="1">"Beacon.Put(113,0,6"&amp;TEXT(E電入力!AR37,"00")&amp;");"</f>
        <v>Beacon.Put(113,0,600);</v>
      </c>
    </row>
    <row r="37" spans="1:7">
      <c r="A37" t="str">
        <f>E電入力!C38&amp;"+25;"</f>
        <v>+25;</v>
      </c>
      <c r="B37" t="str">
        <f ca="1">"Beacon.Put(113,0,1"&amp;TEXT(E電入力!AM38,"00")&amp;");"</f>
        <v>Beacon.Put(113,0,108);</v>
      </c>
      <c r="C37" t="str">
        <f ca="1">"Beacon.Put(113,0,2"&amp;TEXT(E電入力!AN38,"00")&amp;");"</f>
        <v>Beacon.Put(113,0,200);</v>
      </c>
      <c r="D37" t="str">
        <f ca="1">"Beacon.Put(113,0,3"&amp;TEXT(E電入力!AO38,"00")&amp;");"</f>
        <v>Beacon.Put(113,0,300);</v>
      </c>
      <c r="E37" t="str">
        <f ca="1">"Beacon.Put(113,0,4"&amp;TEXT(E電入力!AP38,"00")&amp;");"</f>
        <v>Beacon.Put(113,0,400);</v>
      </c>
      <c r="F37" t="str">
        <f ca="1">"Beacon.Put(113,0,5"&amp;TEXT(E電入力!AQ38,"00")&amp;");"</f>
        <v>Beacon.Put(113,0,501);</v>
      </c>
      <c r="G37" t="str">
        <f ca="1">"Beacon.Put(113,0,6"&amp;TEXT(E電入力!AR38,"00")&amp;");"</f>
        <v>Beacon.Put(113,0,600);</v>
      </c>
    </row>
    <row r="38" spans="1:7">
      <c r="A38" t="str">
        <f>E電入力!C39&amp;"+25;"</f>
        <v>+25;</v>
      </c>
      <c r="B38" t="str">
        <f ca="1">"Beacon.Put(113,0,1"&amp;TEXT(E電入力!AM39,"00")&amp;");"</f>
        <v>Beacon.Put(113,0,108);</v>
      </c>
      <c r="C38" t="str">
        <f ca="1">"Beacon.Put(113,0,2"&amp;TEXT(E電入力!AN39,"00")&amp;");"</f>
        <v>Beacon.Put(113,0,200);</v>
      </c>
      <c r="D38" t="str">
        <f ca="1">"Beacon.Put(113,0,3"&amp;TEXT(E電入力!AO39,"00")&amp;");"</f>
        <v>Beacon.Put(113,0,300);</v>
      </c>
      <c r="E38" t="str">
        <f ca="1">"Beacon.Put(113,0,4"&amp;TEXT(E電入力!AP39,"00")&amp;");"</f>
        <v>Beacon.Put(113,0,400);</v>
      </c>
      <c r="F38" t="str">
        <f ca="1">"Beacon.Put(113,0,5"&amp;TEXT(E電入力!AQ39,"00")&amp;");"</f>
        <v>Beacon.Put(113,0,501);</v>
      </c>
      <c r="G38" t="str">
        <f ca="1">"Beacon.Put(113,0,6"&amp;TEXT(E電入力!AR39,"00")&amp;");"</f>
        <v>Beacon.Put(113,0,600);</v>
      </c>
    </row>
    <row r="39" spans="1:7">
      <c r="A39" t="str">
        <f>E電入力!C40&amp;"+25;"</f>
        <v>+25;</v>
      </c>
      <c r="B39" t="str">
        <f ca="1">"Beacon.Put(113,0,1"&amp;TEXT(E電入力!AM40,"00")&amp;");"</f>
        <v>Beacon.Put(113,0,108);</v>
      </c>
      <c r="C39" t="str">
        <f ca="1">"Beacon.Put(113,0,2"&amp;TEXT(E電入力!AN40,"00")&amp;");"</f>
        <v>Beacon.Put(113,0,200);</v>
      </c>
      <c r="D39" t="str">
        <f ca="1">"Beacon.Put(113,0,3"&amp;TEXT(E電入力!AO40,"00")&amp;");"</f>
        <v>Beacon.Put(113,0,300);</v>
      </c>
      <c r="E39" t="str">
        <f ca="1">"Beacon.Put(113,0,4"&amp;TEXT(E電入力!AP40,"00")&amp;");"</f>
        <v>Beacon.Put(113,0,400);</v>
      </c>
      <c r="F39" t="str">
        <f ca="1">"Beacon.Put(113,0,5"&amp;TEXT(E電入力!AQ40,"00")&amp;");"</f>
        <v>Beacon.Put(113,0,501);</v>
      </c>
      <c r="G39" t="str">
        <f ca="1">"Beacon.Put(113,0,6"&amp;TEXT(E電入力!AR40,"00")&amp;");"</f>
        <v>Beacon.Put(113,0,600);</v>
      </c>
    </row>
    <row r="40" spans="1:7">
      <c r="A40" t="str">
        <f>E電入力!C41&amp;"+25;"</f>
        <v>+25;</v>
      </c>
      <c r="B40" t="str">
        <f ca="1">"Beacon.Put(113,0,1"&amp;TEXT(E電入力!AM41,"00")&amp;");"</f>
        <v>Beacon.Put(113,0,108);</v>
      </c>
      <c r="C40" t="str">
        <f ca="1">"Beacon.Put(113,0,2"&amp;TEXT(E電入力!AN41,"00")&amp;");"</f>
        <v>Beacon.Put(113,0,200);</v>
      </c>
      <c r="D40" t="str">
        <f ca="1">"Beacon.Put(113,0,3"&amp;TEXT(E電入力!AO41,"00")&amp;");"</f>
        <v>Beacon.Put(113,0,300);</v>
      </c>
      <c r="E40" t="str">
        <f ca="1">"Beacon.Put(113,0,4"&amp;TEXT(E電入力!AP41,"00")&amp;");"</f>
        <v>Beacon.Put(113,0,400);</v>
      </c>
      <c r="F40" t="str">
        <f ca="1">"Beacon.Put(113,0,5"&amp;TEXT(E電入力!AQ41,"00")&amp;");"</f>
        <v>Beacon.Put(113,0,501);</v>
      </c>
      <c r="G40" t="str">
        <f ca="1">"Beacon.Put(113,0,6"&amp;TEXT(E電入力!AR41,"00")&amp;");"</f>
        <v>Beacon.Put(113,0,600);</v>
      </c>
    </row>
    <row r="41" spans="1:7">
      <c r="A41" t="str">
        <f>E電入力!C42&amp;"+25;"</f>
        <v>+25;</v>
      </c>
      <c r="B41" t="str">
        <f ca="1">"Beacon.Put(113,0,1"&amp;TEXT(E電入力!AM42,"00")&amp;");"</f>
        <v>Beacon.Put(113,0,108);</v>
      </c>
      <c r="C41" t="str">
        <f ca="1">"Beacon.Put(113,0,2"&amp;TEXT(E電入力!AN42,"00")&amp;");"</f>
        <v>Beacon.Put(113,0,200);</v>
      </c>
      <c r="D41" t="str">
        <f ca="1">"Beacon.Put(113,0,3"&amp;TEXT(E電入力!AO42,"00")&amp;");"</f>
        <v>Beacon.Put(113,0,300);</v>
      </c>
      <c r="E41" t="str">
        <f ca="1">"Beacon.Put(113,0,4"&amp;TEXT(E電入力!AP42,"00")&amp;");"</f>
        <v>Beacon.Put(113,0,400);</v>
      </c>
      <c r="F41" t="str">
        <f ca="1">"Beacon.Put(113,0,5"&amp;TEXT(E電入力!AQ42,"00")&amp;");"</f>
        <v>Beacon.Put(113,0,501);</v>
      </c>
      <c r="G41" t="str">
        <f ca="1">"Beacon.Put(113,0,6"&amp;TEXT(E電入力!AR42,"00")&amp;");"</f>
        <v>Beacon.Put(113,0,600);</v>
      </c>
    </row>
    <row r="42" spans="1:7">
      <c r="A42" t="str">
        <f>E電入力!C43&amp;"+25;"</f>
        <v>+25;</v>
      </c>
      <c r="B42" t="str">
        <f ca="1">"Beacon.Put(113,0,1"&amp;TEXT(E電入力!AM43,"00")&amp;");"</f>
        <v>Beacon.Put(113,0,108);</v>
      </c>
      <c r="C42" t="str">
        <f ca="1">"Beacon.Put(113,0,2"&amp;TEXT(E電入力!AN43,"00")&amp;");"</f>
        <v>Beacon.Put(113,0,200);</v>
      </c>
      <c r="D42" t="str">
        <f ca="1">"Beacon.Put(113,0,3"&amp;TEXT(E電入力!AO43,"00")&amp;");"</f>
        <v>Beacon.Put(113,0,300);</v>
      </c>
      <c r="E42" t="str">
        <f ca="1">"Beacon.Put(113,0,4"&amp;TEXT(E電入力!AP43,"00")&amp;");"</f>
        <v>Beacon.Put(113,0,400);</v>
      </c>
      <c r="F42" t="str">
        <f ca="1">"Beacon.Put(113,0,5"&amp;TEXT(E電入力!AQ43,"00")&amp;");"</f>
        <v>Beacon.Put(113,0,501);</v>
      </c>
      <c r="G42" t="str">
        <f ca="1">"Beacon.Put(113,0,6"&amp;TEXT(E電入力!AR43,"00")&amp;");"</f>
        <v>Beacon.Put(113,0,600);</v>
      </c>
    </row>
    <row r="43" spans="1:7">
      <c r="A43" t="str">
        <f>E電入力!C44&amp;"+25;"</f>
        <v>+25;</v>
      </c>
      <c r="B43" t="str">
        <f ca="1">"Beacon.Put(113,0,1"&amp;TEXT(E電入力!AM44,"00")&amp;");"</f>
        <v>Beacon.Put(113,0,108);</v>
      </c>
      <c r="C43" t="str">
        <f ca="1">"Beacon.Put(113,0,2"&amp;TEXT(E電入力!AN44,"00")&amp;");"</f>
        <v>Beacon.Put(113,0,200);</v>
      </c>
      <c r="D43" t="str">
        <f ca="1">"Beacon.Put(113,0,3"&amp;TEXT(E電入力!AO44,"00")&amp;");"</f>
        <v>Beacon.Put(113,0,300);</v>
      </c>
      <c r="E43" t="str">
        <f ca="1">"Beacon.Put(113,0,4"&amp;TEXT(E電入力!AP44,"00")&amp;");"</f>
        <v>Beacon.Put(113,0,400);</v>
      </c>
      <c r="F43" t="str">
        <f ca="1">"Beacon.Put(113,0,5"&amp;TEXT(E電入力!AQ44,"00")&amp;");"</f>
        <v>Beacon.Put(113,0,501);</v>
      </c>
      <c r="G43" t="str">
        <f ca="1">"Beacon.Put(113,0,6"&amp;TEXT(E電入力!AR44,"00")&amp;");"</f>
        <v>Beacon.Put(113,0,600);</v>
      </c>
    </row>
    <row r="44" spans="1:7">
      <c r="A44" t="str">
        <f>E電入力!C45&amp;"+25;"</f>
        <v>+25;</v>
      </c>
      <c r="B44" t="str">
        <f ca="1">"Beacon.Put(113,0,1"&amp;TEXT(E電入力!AM45,"00")&amp;");"</f>
        <v>Beacon.Put(113,0,108);</v>
      </c>
      <c r="C44" t="str">
        <f ca="1">"Beacon.Put(113,0,2"&amp;TEXT(E電入力!AN45,"00")&amp;");"</f>
        <v>Beacon.Put(113,0,200);</v>
      </c>
      <c r="D44" t="str">
        <f ca="1">"Beacon.Put(113,0,3"&amp;TEXT(E電入力!AO45,"00")&amp;");"</f>
        <v>Beacon.Put(113,0,300);</v>
      </c>
      <c r="E44" t="str">
        <f ca="1">"Beacon.Put(113,0,4"&amp;TEXT(E電入力!AP45,"00")&amp;");"</f>
        <v>Beacon.Put(113,0,400);</v>
      </c>
      <c r="F44" t="str">
        <f ca="1">"Beacon.Put(113,0,5"&amp;TEXT(E電入力!AQ45,"00")&amp;");"</f>
        <v>Beacon.Put(113,0,501);</v>
      </c>
      <c r="G44" t="str">
        <f ca="1">"Beacon.Put(113,0,6"&amp;TEXT(E電入力!AR45,"00")&amp;");"</f>
        <v>Beacon.Put(113,0,600);</v>
      </c>
    </row>
    <row r="45" spans="1:7">
      <c r="A45" t="str">
        <f>E電入力!C46&amp;"+25;"</f>
        <v>+25;</v>
      </c>
      <c r="B45" t="str">
        <f ca="1">"Beacon.Put(113,0,1"&amp;TEXT(E電入力!AM46,"00")&amp;");"</f>
        <v>Beacon.Put(113,0,108);</v>
      </c>
      <c r="C45" t="str">
        <f ca="1">"Beacon.Put(113,0,2"&amp;TEXT(E電入力!AN46,"00")&amp;");"</f>
        <v>Beacon.Put(113,0,200);</v>
      </c>
      <c r="D45" t="str">
        <f ca="1">"Beacon.Put(113,0,3"&amp;TEXT(E電入力!AO46,"00")&amp;");"</f>
        <v>Beacon.Put(113,0,300);</v>
      </c>
      <c r="E45" t="str">
        <f ca="1">"Beacon.Put(113,0,4"&amp;TEXT(E電入力!AP46,"00")&amp;");"</f>
        <v>Beacon.Put(113,0,400);</v>
      </c>
      <c r="F45" t="str">
        <f ca="1">"Beacon.Put(113,0,5"&amp;TEXT(E電入力!AQ46,"00")&amp;");"</f>
        <v>Beacon.Put(113,0,501);</v>
      </c>
      <c r="G45" t="str">
        <f ca="1">"Beacon.Put(113,0,6"&amp;TEXT(E電入力!AR46,"00")&amp;");"</f>
        <v>Beacon.Put(113,0,600);</v>
      </c>
    </row>
    <row r="46" spans="1:7">
      <c r="A46" t="str">
        <f>E電入力!C47&amp;"+25;"</f>
        <v>+25;</v>
      </c>
      <c r="B46" t="str">
        <f ca="1">"Beacon.Put(113,0,1"&amp;TEXT(E電入力!AM47,"00")&amp;");"</f>
        <v>Beacon.Put(113,0,108);</v>
      </c>
      <c r="C46" t="str">
        <f ca="1">"Beacon.Put(113,0,2"&amp;TEXT(E電入力!AN47,"00")&amp;");"</f>
        <v>Beacon.Put(113,0,200);</v>
      </c>
      <c r="D46" t="str">
        <f ca="1">"Beacon.Put(113,0,3"&amp;TEXT(E電入力!AO47,"00")&amp;");"</f>
        <v>Beacon.Put(113,0,300);</v>
      </c>
      <c r="E46" t="str">
        <f ca="1">"Beacon.Put(113,0,4"&amp;TEXT(E電入力!AP47,"00")&amp;");"</f>
        <v>Beacon.Put(113,0,400);</v>
      </c>
      <c r="F46" t="str">
        <f ca="1">"Beacon.Put(113,0,5"&amp;TEXT(E電入力!AQ47,"00")&amp;");"</f>
        <v>Beacon.Put(113,0,501);</v>
      </c>
      <c r="G46" t="str">
        <f ca="1">"Beacon.Put(113,0,6"&amp;TEXT(E電入力!AR47,"00")&amp;");"</f>
        <v>Beacon.Put(113,0,600);</v>
      </c>
    </row>
    <row r="47" spans="1:7">
      <c r="A47" t="str">
        <f>E電入力!C48&amp;"+25;"</f>
        <v>+25;</v>
      </c>
      <c r="B47" t="str">
        <f ca="1">"Beacon.Put(113,0,1"&amp;TEXT(E電入力!AM48,"00")&amp;");"</f>
        <v>Beacon.Put(113,0,108);</v>
      </c>
      <c r="C47" t="str">
        <f ca="1">"Beacon.Put(113,0,2"&amp;TEXT(E電入力!AN48,"00")&amp;");"</f>
        <v>Beacon.Put(113,0,200);</v>
      </c>
      <c r="D47" t="str">
        <f ca="1">"Beacon.Put(113,0,3"&amp;TEXT(E電入力!AO48,"00")&amp;");"</f>
        <v>Beacon.Put(113,0,300);</v>
      </c>
      <c r="E47" t="str">
        <f ca="1">"Beacon.Put(113,0,4"&amp;TEXT(E電入力!AP48,"00")&amp;");"</f>
        <v>Beacon.Put(113,0,400);</v>
      </c>
      <c r="F47" t="str">
        <f ca="1">"Beacon.Put(113,0,5"&amp;TEXT(E電入力!AQ48,"00")&amp;");"</f>
        <v>Beacon.Put(113,0,501);</v>
      </c>
      <c r="G47" t="str">
        <f ca="1">"Beacon.Put(113,0,6"&amp;TEXT(E電入力!AR48,"00")&amp;");"</f>
        <v>Beacon.Put(113,0,600);</v>
      </c>
    </row>
    <row r="48" spans="1:7">
      <c r="A48" t="str">
        <f>E電入力!C49&amp;"+25;"</f>
        <v>+25;</v>
      </c>
      <c r="B48" t="str">
        <f ca="1">"Beacon.Put(113,0,1"&amp;TEXT(E電入力!AM49,"00")&amp;");"</f>
        <v>Beacon.Put(113,0,108);</v>
      </c>
      <c r="C48" t="str">
        <f ca="1">"Beacon.Put(113,0,2"&amp;TEXT(E電入力!AN49,"00")&amp;");"</f>
        <v>Beacon.Put(113,0,200);</v>
      </c>
      <c r="D48" t="str">
        <f ca="1">"Beacon.Put(113,0,3"&amp;TEXT(E電入力!AO49,"00")&amp;");"</f>
        <v>Beacon.Put(113,0,300);</v>
      </c>
      <c r="E48" t="str">
        <f ca="1">"Beacon.Put(113,0,4"&amp;TEXT(E電入力!AP49,"00")&amp;");"</f>
        <v>Beacon.Put(113,0,400);</v>
      </c>
      <c r="F48" t="str">
        <f ca="1">"Beacon.Put(113,0,5"&amp;TEXT(E電入力!AQ49,"00")&amp;");"</f>
        <v>Beacon.Put(113,0,501);</v>
      </c>
      <c r="G48" t="str">
        <f ca="1">"Beacon.Put(113,0,6"&amp;TEXT(E電入力!AR49,"00")&amp;");"</f>
        <v>Beacon.Put(113,0,600);</v>
      </c>
    </row>
    <row r="49" spans="1:7">
      <c r="A49" t="str">
        <f>E電入力!C50&amp;"+25;"</f>
        <v>+25;</v>
      </c>
      <c r="B49" t="str">
        <f ca="1">"Beacon.Put(113,0,1"&amp;TEXT(E電入力!AM50,"00")&amp;");"</f>
        <v>Beacon.Put(113,0,108);</v>
      </c>
      <c r="C49" t="str">
        <f ca="1">"Beacon.Put(113,0,2"&amp;TEXT(E電入力!AN50,"00")&amp;");"</f>
        <v>Beacon.Put(113,0,200);</v>
      </c>
      <c r="D49" t="str">
        <f ca="1">"Beacon.Put(113,0,3"&amp;TEXT(E電入力!AO50,"00")&amp;");"</f>
        <v>Beacon.Put(113,0,300);</v>
      </c>
      <c r="E49" t="str">
        <f ca="1">"Beacon.Put(113,0,4"&amp;TEXT(E電入力!AP50,"00")&amp;");"</f>
        <v>Beacon.Put(113,0,400);</v>
      </c>
      <c r="F49" t="str">
        <f ca="1">"Beacon.Put(113,0,5"&amp;TEXT(E電入力!AQ50,"00")&amp;");"</f>
        <v>Beacon.Put(113,0,501);</v>
      </c>
      <c r="G49" t="str">
        <f ca="1">"Beacon.Put(113,0,6"&amp;TEXT(E電入力!AR50,"00")&amp;");"</f>
        <v>Beacon.Put(113,0,600);</v>
      </c>
    </row>
    <row r="50" spans="1:7">
      <c r="A50" t="str">
        <f>E電入力!C51&amp;"+25;"</f>
        <v>+25;</v>
      </c>
      <c r="B50" t="str">
        <f ca="1">"Beacon.Put(113,0,1"&amp;TEXT(E電入力!AM51,"00")&amp;");"</f>
        <v>Beacon.Put(113,0,108);</v>
      </c>
      <c r="C50" t="str">
        <f ca="1">"Beacon.Put(113,0,2"&amp;TEXT(E電入力!AN51,"00")&amp;");"</f>
        <v>Beacon.Put(113,0,200);</v>
      </c>
      <c r="D50" t="str">
        <f ca="1">"Beacon.Put(113,0,3"&amp;TEXT(E電入力!AO51,"00")&amp;");"</f>
        <v>Beacon.Put(113,0,300);</v>
      </c>
      <c r="E50" t="str">
        <f ca="1">"Beacon.Put(113,0,4"&amp;TEXT(E電入力!AP51,"00")&amp;");"</f>
        <v>Beacon.Put(113,0,400);</v>
      </c>
      <c r="F50" t="str">
        <f ca="1">"Beacon.Put(113,0,5"&amp;TEXT(E電入力!AQ51,"00")&amp;");"</f>
        <v>Beacon.Put(113,0,501);</v>
      </c>
      <c r="G50" t="str">
        <f ca="1">"Beacon.Put(113,0,6"&amp;TEXT(E電入力!AR51,"00")&amp;");"</f>
        <v>Beacon.Put(113,0,600);</v>
      </c>
    </row>
    <row r="51" spans="1:7">
      <c r="A51" t="str">
        <f>E電入力!C52&amp;"+25;"</f>
        <v>+25;</v>
      </c>
      <c r="B51" t="str">
        <f ca="1">"Beacon.Put(113,0,1"&amp;TEXT(E電入力!AM52,"00")&amp;");"</f>
        <v>Beacon.Put(113,0,108);</v>
      </c>
      <c r="C51" t="str">
        <f ca="1">"Beacon.Put(113,0,2"&amp;TEXT(E電入力!AN52,"00")&amp;");"</f>
        <v>Beacon.Put(113,0,200);</v>
      </c>
      <c r="D51" t="str">
        <f ca="1">"Beacon.Put(113,0,3"&amp;TEXT(E電入力!AO52,"00")&amp;");"</f>
        <v>Beacon.Put(113,0,300);</v>
      </c>
      <c r="E51" t="str">
        <f ca="1">"Beacon.Put(113,0,4"&amp;TEXT(E電入力!AP52,"00")&amp;");"</f>
        <v>Beacon.Put(113,0,400);</v>
      </c>
      <c r="F51" t="str">
        <f ca="1">"Beacon.Put(113,0,5"&amp;TEXT(E電入力!AQ52,"00")&amp;");"</f>
        <v>Beacon.Put(113,0,501);</v>
      </c>
      <c r="G51" t="str">
        <f ca="1">"Beacon.Put(113,0,6"&amp;TEXT(E電入力!AR52,"00")&amp;");"</f>
        <v>Beacon.Put(113,0,600);</v>
      </c>
    </row>
    <row r="52" spans="1:7">
      <c r="A52" t="str">
        <f>E電入力!C53&amp;"+25;"</f>
        <v>+25;</v>
      </c>
      <c r="B52" t="str">
        <f ca="1">"Beacon.Put(113,0,1"&amp;TEXT(E電入力!AM53,"00")&amp;");"</f>
        <v>Beacon.Put(113,0,108);</v>
      </c>
      <c r="C52" t="str">
        <f ca="1">"Beacon.Put(113,0,2"&amp;TEXT(E電入力!AN53,"00")&amp;");"</f>
        <v>Beacon.Put(113,0,200);</v>
      </c>
      <c r="D52" t="str">
        <f ca="1">"Beacon.Put(113,0,3"&amp;TEXT(E電入力!AO53,"00")&amp;");"</f>
        <v>Beacon.Put(113,0,300);</v>
      </c>
      <c r="E52" t="str">
        <f ca="1">"Beacon.Put(113,0,4"&amp;TEXT(E電入力!AP53,"00")&amp;");"</f>
        <v>Beacon.Put(113,0,400);</v>
      </c>
      <c r="F52" t="str">
        <f ca="1">"Beacon.Put(113,0,5"&amp;TEXT(E電入力!AQ53,"00")&amp;");"</f>
        <v>Beacon.Put(113,0,501);</v>
      </c>
      <c r="G52" t="str">
        <f ca="1">"Beacon.Put(113,0,6"&amp;TEXT(E電入力!AR53,"00")&amp;");"</f>
        <v>Beacon.Put(113,0,600);</v>
      </c>
    </row>
    <row r="53" spans="1:7">
      <c r="A53" t="str">
        <f>E電入力!C54&amp;"+25;"</f>
        <v>+25;</v>
      </c>
      <c r="B53" t="str">
        <f ca="1">"Beacon.Put(113,0,1"&amp;TEXT(E電入力!AM54,"00")&amp;");"</f>
        <v>Beacon.Put(113,0,108);</v>
      </c>
      <c r="C53" t="str">
        <f ca="1">"Beacon.Put(113,0,2"&amp;TEXT(E電入力!AN54,"00")&amp;");"</f>
        <v>Beacon.Put(113,0,200);</v>
      </c>
      <c r="D53" t="str">
        <f ca="1">"Beacon.Put(113,0,3"&amp;TEXT(E電入力!AO54,"00")&amp;");"</f>
        <v>Beacon.Put(113,0,300);</v>
      </c>
      <c r="E53" t="str">
        <f ca="1">"Beacon.Put(113,0,4"&amp;TEXT(E電入力!AP54,"00")&amp;");"</f>
        <v>Beacon.Put(113,0,400);</v>
      </c>
      <c r="F53" t="str">
        <f ca="1">"Beacon.Put(113,0,5"&amp;TEXT(E電入力!AQ54,"00")&amp;");"</f>
        <v>Beacon.Put(113,0,501);</v>
      </c>
      <c r="G53" t="str">
        <f ca="1">"Beacon.Put(113,0,6"&amp;TEXT(E電入力!AR54,"00")&amp;");"</f>
        <v>Beacon.Put(113,0,600);</v>
      </c>
    </row>
    <row r="54" spans="1:7">
      <c r="A54" t="str">
        <f>E電入力!C55&amp;"+25;"</f>
        <v>+25;</v>
      </c>
      <c r="B54" t="str">
        <f ca="1">"Beacon.Put(113,0,1"&amp;TEXT(E電入力!AM55,"00")&amp;");"</f>
        <v>Beacon.Put(113,0,108);</v>
      </c>
      <c r="C54" t="str">
        <f ca="1">"Beacon.Put(113,0,2"&amp;TEXT(E電入力!AN55,"00")&amp;");"</f>
        <v>Beacon.Put(113,0,200);</v>
      </c>
      <c r="D54" t="str">
        <f ca="1">"Beacon.Put(113,0,3"&amp;TEXT(E電入力!AO55,"00")&amp;");"</f>
        <v>Beacon.Put(113,0,300);</v>
      </c>
      <c r="E54" t="str">
        <f ca="1">"Beacon.Put(113,0,4"&amp;TEXT(E電入力!AP55,"00")&amp;");"</f>
        <v>Beacon.Put(113,0,400);</v>
      </c>
      <c r="F54" t="str">
        <f ca="1">"Beacon.Put(113,0,5"&amp;TEXT(E電入力!AQ55,"00")&amp;");"</f>
        <v>Beacon.Put(113,0,501);</v>
      </c>
      <c r="G54" t="str">
        <f ca="1">"Beacon.Put(113,0,6"&amp;TEXT(E電入力!AR55,"00")&amp;");"</f>
        <v>Beacon.Put(113,0,600);</v>
      </c>
    </row>
    <row r="55" spans="1:7">
      <c r="A55" t="str">
        <f>E電入力!C56&amp;"+25;"</f>
        <v>+25;</v>
      </c>
      <c r="B55" t="str">
        <f ca="1">"Beacon.Put(113,0,1"&amp;TEXT(E電入力!AM56,"00")&amp;");"</f>
        <v>Beacon.Put(113,0,108);</v>
      </c>
      <c r="C55" t="str">
        <f ca="1">"Beacon.Put(113,0,2"&amp;TEXT(E電入力!AN56,"00")&amp;");"</f>
        <v>Beacon.Put(113,0,200);</v>
      </c>
      <c r="D55" t="str">
        <f ca="1">"Beacon.Put(113,0,3"&amp;TEXT(E電入力!AO56,"00")&amp;");"</f>
        <v>Beacon.Put(113,0,300);</v>
      </c>
      <c r="E55" t="str">
        <f ca="1">"Beacon.Put(113,0,4"&amp;TEXT(E電入力!AP56,"00")&amp;");"</f>
        <v>Beacon.Put(113,0,400);</v>
      </c>
      <c r="F55" t="str">
        <f ca="1">"Beacon.Put(113,0,5"&amp;TEXT(E電入力!AQ56,"00")&amp;");"</f>
        <v>Beacon.Put(113,0,501);</v>
      </c>
      <c r="G55" t="str">
        <f ca="1">"Beacon.Put(113,0,6"&amp;TEXT(E電入力!AR56,"00")&amp;");"</f>
        <v>Beacon.Put(113,0,600);</v>
      </c>
    </row>
    <row r="56" spans="1:7">
      <c r="A56" t="str">
        <f>E電入力!C57&amp;"+25;"</f>
        <v>+25;</v>
      </c>
      <c r="B56" t="str">
        <f ca="1">"Beacon.Put(113,0,1"&amp;TEXT(E電入力!AM57,"00")&amp;");"</f>
        <v>Beacon.Put(113,0,108);</v>
      </c>
      <c r="C56" t="str">
        <f ca="1">"Beacon.Put(113,0,2"&amp;TEXT(E電入力!AN57,"00")&amp;");"</f>
        <v>Beacon.Put(113,0,200);</v>
      </c>
      <c r="D56" t="str">
        <f ca="1">"Beacon.Put(113,0,3"&amp;TEXT(E電入力!AO57,"00")&amp;");"</f>
        <v>Beacon.Put(113,0,300);</v>
      </c>
      <c r="E56" t="str">
        <f ca="1">"Beacon.Put(113,0,4"&amp;TEXT(E電入力!AP57,"00")&amp;");"</f>
        <v>Beacon.Put(113,0,400);</v>
      </c>
      <c r="F56" t="str">
        <f ca="1">"Beacon.Put(113,0,5"&amp;TEXT(E電入力!AQ57,"00")&amp;");"</f>
        <v>Beacon.Put(113,0,501);</v>
      </c>
      <c r="G56" t="str">
        <f ca="1">"Beacon.Put(113,0,6"&amp;TEXT(E電入力!AR57,"00")&amp;");"</f>
        <v>Beacon.Put(113,0,600);</v>
      </c>
    </row>
    <row r="57" spans="1:7">
      <c r="A57" t="str">
        <f>E電入力!C58&amp;"+25;"</f>
        <v>+25;</v>
      </c>
      <c r="B57" t="str">
        <f ca="1">"Beacon.Put(113,0,1"&amp;TEXT(E電入力!AM58,"00")&amp;");"</f>
        <v>Beacon.Put(113,0,108);</v>
      </c>
      <c r="C57" t="str">
        <f ca="1">"Beacon.Put(113,0,2"&amp;TEXT(E電入力!AN58,"00")&amp;");"</f>
        <v>Beacon.Put(113,0,200);</v>
      </c>
      <c r="D57" t="str">
        <f ca="1">"Beacon.Put(113,0,3"&amp;TEXT(E電入力!AO58,"00")&amp;");"</f>
        <v>Beacon.Put(113,0,300);</v>
      </c>
      <c r="E57" t="str">
        <f ca="1">"Beacon.Put(113,0,4"&amp;TEXT(E電入力!AP58,"00")&amp;");"</f>
        <v>Beacon.Put(113,0,400);</v>
      </c>
      <c r="F57" t="str">
        <f ca="1">"Beacon.Put(113,0,5"&amp;TEXT(E電入力!AQ58,"00")&amp;");"</f>
        <v>Beacon.Put(113,0,501);</v>
      </c>
      <c r="G57" t="str">
        <f ca="1">"Beacon.Put(113,0,6"&amp;TEXT(E電入力!AR58,"00")&amp;");"</f>
        <v>Beacon.Put(113,0,600);</v>
      </c>
    </row>
    <row r="58" spans="1:7">
      <c r="A58" t="str">
        <f>E電入力!C59&amp;"+25;"</f>
        <v>+25;</v>
      </c>
      <c r="B58" t="str">
        <f ca="1">"Beacon.Put(113,0,1"&amp;TEXT(E電入力!AM59,"00")&amp;");"</f>
        <v>Beacon.Put(113,0,108);</v>
      </c>
      <c r="C58" t="str">
        <f ca="1">"Beacon.Put(113,0,2"&amp;TEXT(E電入力!AN59,"00")&amp;");"</f>
        <v>Beacon.Put(113,0,200);</v>
      </c>
      <c r="D58" t="str">
        <f ca="1">"Beacon.Put(113,0,3"&amp;TEXT(E電入力!AO59,"00")&amp;");"</f>
        <v>Beacon.Put(113,0,300);</v>
      </c>
      <c r="E58" t="str">
        <f ca="1">"Beacon.Put(113,0,4"&amp;TEXT(E電入力!AP59,"00")&amp;");"</f>
        <v>Beacon.Put(113,0,400);</v>
      </c>
      <c r="F58" t="str">
        <f ca="1">"Beacon.Put(113,0,5"&amp;TEXT(E電入力!AQ59,"00")&amp;");"</f>
        <v>Beacon.Put(113,0,501);</v>
      </c>
      <c r="G58" t="str">
        <f ca="1">"Beacon.Put(113,0,6"&amp;TEXT(E電入力!AR59,"00")&amp;");"</f>
        <v>Beacon.Put(113,0,600);</v>
      </c>
    </row>
    <row r="59" spans="1:7">
      <c r="A59" t="str">
        <f>E電入力!C60&amp;"+25;"</f>
        <v>+25;</v>
      </c>
      <c r="B59" t="str">
        <f ca="1">"Beacon.Put(113,0,1"&amp;TEXT(E電入力!AM60,"00")&amp;");"</f>
        <v>Beacon.Put(113,0,108);</v>
      </c>
      <c r="C59" t="str">
        <f ca="1">"Beacon.Put(113,0,2"&amp;TEXT(E電入力!AN60,"00")&amp;");"</f>
        <v>Beacon.Put(113,0,200);</v>
      </c>
      <c r="D59" t="str">
        <f ca="1">"Beacon.Put(113,0,3"&amp;TEXT(E電入力!AO60,"00")&amp;");"</f>
        <v>Beacon.Put(113,0,300);</v>
      </c>
      <c r="E59" t="str">
        <f ca="1">"Beacon.Put(113,0,4"&amp;TEXT(E電入力!AP60,"00")&amp;");"</f>
        <v>Beacon.Put(113,0,400);</v>
      </c>
      <c r="F59" t="str">
        <f ca="1">"Beacon.Put(113,0,5"&amp;TEXT(E電入力!AQ60,"00")&amp;");"</f>
        <v>Beacon.Put(113,0,501);</v>
      </c>
      <c r="G59" t="str">
        <f ca="1">"Beacon.Put(113,0,6"&amp;TEXT(E電入力!AR60,"00")&amp;");"</f>
        <v>Beacon.Put(113,0,600);</v>
      </c>
    </row>
    <row r="60" spans="1:7">
      <c r="A60" t="str">
        <f>E電入力!C61&amp;"+25;"</f>
        <v>+25;</v>
      </c>
      <c r="B60" t="str">
        <f ca="1">"Beacon.Put(113,0,1"&amp;TEXT(E電入力!AM61,"00")&amp;");"</f>
        <v>Beacon.Put(113,0,108);</v>
      </c>
      <c r="C60" t="str">
        <f ca="1">"Beacon.Put(113,0,2"&amp;TEXT(E電入力!AN61,"00")&amp;");"</f>
        <v>Beacon.Put(113,0,200);</v>
      </c>
      <c r="D60" t="str">
        <f ca="1">"Beacon.Put(113,0,3"&amp;TEXT(E電入力!AO61,"00")&amp;");"</f>
        <v>Beacon.Put(113,0,300);</v>
      </c>
      <c r="E60" t="str">
        <f ca="1">"Beacon.Put(113,0,4"&amp;TEXT(E電入力!AP61,"00")&amp;");"</f>
        <v>Beacon.Put(113,0,400);</v>
      </c>
      <c r="F60" t="str">
        <f ca="1">"Beacon.Put(113,0,5"&amp;TEXT(E電入力!AQ61,"00")&amp;");"</f>
        <v>Beacon.Put(113,0,501);</v>
      </c>
      <c r="G60" t="str">
        <f ca="1">"Beacon.Put(113,0,6"&amp;TEXT(E電入力!AR61,"00")&amp;");"</f>
        <v>Beacon.Put(113,0,600);</v>
      </c>
    </row>
    <row r="61" spans="1:7">
      <c r="A61" t="str">
        <f>E電入力!C62&amp;"+25;"</f>
        <v>+25;</v>
      </c>
      <c r="B61" t="str">
        <f ca="1">"Beacon.Put(113,0,1"&amp;TEXT(E電入力!AM62,"00")&amp;");"</f>
        <v>Beacon.Put(113,0,108);</v>
      </c>
      <c r="C61" t="str">
        <f ca="1">"Beacon.Put(113,0,2"&amp;TEXT(E電入力!AN62,"00")&amp;");"</f>
        <v>Beacon.Put(113,0,200);</v>
      </c>
      <c r="D61" t="str">
        <f ca="1">"Beacon.Put(113,0,3"&amp;TEXT(E電入力!AO62,"00")&amp;");"</f>
        <v>Beacon.Put(113,0,300);</v>
      </c>
      <c r="E61" t="str">
        <f ca="1">"Beacon.Put(113,0,4"&amp;TEXT(E電入力!AP62,"00")&amp;");"</f>
        <v>Beacon.Put(113,0,400);</v>
      </c>
      <c r="F61" t="str">
        <f ca="1">"Beacon.Put(113,0,5"&amp;TEXT(E電入力!AQ62,"00")&amp;");"</f>
        <v>Beacon.Put(113,0,501);</v>
      </c>
      <c r="G61" t="str">
        <f ca="1">"Beacon.Put(113,0,6"&amp;TEXT(E電入力!AR62,"00")&amp;");"</f>
        <v>Beacon.Put(113,0,600);</v>
      </c>
    </row>
    <row r="62" spans="1:7">
      <c r="A62" t="str">
        <f>E電入力!C63&amp;"+25;"</f>
        <v>+25;</v>
      </c>
      <c r="B62" t="str">
        <f ca="1">"Beacon.Put(113,0,1"&amp;TEXT(E電入力!AM63,"00")&amp;");"</f>
        <v>Beacon.Put(113,0,108);</v>
      </c>
      <c r="C62" t="str">
        <f ca="1">"Beacon.Put(113,0,2"&amp;TEXT(E電入力!AN63,"00")&amp;");"</f>
        <v>Beacon.Put(113,0,200);</v>
      </c>
      <c r="D62" t="str">
        <f ca="1">"Beacon.Put(113,0,3"&amp;TEXT(E電入力!AO63,"00")&amp;");"</f>
        <v>Beacon.Put(113,0,300);</v>
      </c>
      <c r="E62" t="str">
        <f ca="1">"Beacon.Put(113,0,4"&amp;TEXT(E電入力!AP63,"00")&amp;");"</f>
        <v>Beacon.Put(113,0,400);</v>
      </c>
      <c r="F62" t="str">
        <f ca="1">"Beacon.Put(113,0,5"&amp;TEXT(E電入力!AQ63,"00")&amp;");"</f>
        <v>Beacon.Put(113,0,501);</v>
      </c>
      <c r="G62" t="str">
        <f ca="1">"Beacon.Put(113,0,6"&amp;TEXT(E電入力!AR63,"00")&amp;");"</f>
        <v>Beacon.Put(113,0,600);</v>
      </c>
    </row>
    <row r="63" spans="1:7">
      <c r="A63" t="str">
        <f>E電入力!C64&amp;"+25;"</f>
        <v>+25;</v>
      </c>
      <c r="B63" t="str">
        <f ca="1">"Beacon.Put(113,0,1"&amp;TEXT(E電入力!AM64,"00")&amp;");"</f>
        <v>Beacon.Put(113,0,108);</v>
      </c>
      <c r="C63" t="str">
        <f ca="1">"Beacon.Put(113,0,2"&amp;TEXT(E電入力!AN64,"00")&amp;");"</f>
        <v>Beacon.Put(113,0,200);</v>
      </c>
      <c r="D63" t="str">
        <f ca="1">"Beacon.Put(113,0,3"&amp;TEXT(E電入力!AO64,"00")&amp;");"</f>
        <v>Beacon.Put(113,0,300);</v>
      </c>
      <c r="E63" t="str">
        <f ca="1">"Beacon.Put(113,0,4"&amp;TEXT(E電入力!AP64,"00")&amp;");"</f>
        <v>Beacon.Put(113,0,400);</v>
      </c>
      <c r="F63" t="str">
        <f ca="1">"Beacon.Put(113,0,5"&amp;TEXT(E電入力!AQ64,"00")&amp;");"</f>
        <v>Beacon.Put(113,0,501);</v>
      </c>
      <c r="G63" t="str">
        <f ca="1">"Beacon.Put(113,0,6"&amp;TEXT(E電入力!AR64,"00")&amp;");"</f>
        <v>Beacon.Put(113,0,600);</v>
      </c>
    </row>
    <row r="64" spans="1:7">
      <c r="A64" t="str">
        <f>E電入力!C65&amp;"+25;"</f>
        <v>+25;</v>
      </c>
      <c r="B64" t="str">
        <f ca="1">"Beacon.Put(113,0,1"&amp;TEXT(E電入力!AM65,"00")&amp;");"</f>
        <v>Beacon.Put(113,0,108);</v>
      </c>
      <c r="C64" t="str">
        <f ca="1">"Beacon.Put(113,0,2"&amp;TEXT(E電入力!AN65,"00")&amp;");"</f>
        <v>Beacon.Put(113,0,200);</v>
      </c>
      <c r="D64" t="str">
        <f ca="1">"Beacon.Put(113,0,3"&amp;TEXT(E電入力!AO65,"00")&amp;");"</f>
        <v>Beacon.Put(113,0,300);</v>
      </c>
      <c r="E64" t="str">
        <f ca="1">"Beacon.Put(113,0,4"&amp;TEXT(E電入力!AP65,"00")&amp;");"</f>
        <v>Beacon.Put(113,0,400);</v>
      </c>
      <c r="F64" t="str">
        <f ca="1">"Beacon.Put(113,0,5"&amp;TEXT(E電入力!AQ65,"00")&amp;");"</f>
        <v>Beacon.Put(113,0,501);</v>
      </c>
      <c r="G64" t="str">
        <f ca="1">"Beacon.Put(113,0,6"&amp;TEXT(E電入力!AR65,"00")&amp;");"</f>
        <v>Beacon.Put(113,0,600);</v>
      </c>
    </row>
    <row r="65" spans="1:7">
      <c r="A65" t="str">
        <f>E電入力!C66&amp;"+25;"</f>
        <v>+25;</v>
      </c>
      <c r="B65" t="str">
        <f ca="1">"Beacon.Put(113,0,1"&amp;TEXT(E電入力!AM66,"00")&amp;");"</f>
        <v>Beacon.Put(113,0,108);</v>
      </c>
      <c r="C65" t="str">
        <f ca="1">"Beacon.Put(113,0,2"&amp;TEXT(E電入力!AN66,"00")&amp;");"</f>
        <v>Beacon.Put(113,0,200);</v>
      </c>
      <c r="D65" t="str">
        <f ca="1">"Beacon.Put(113,0,3"&amp;TEXT(E電入力!AO66,"00")&amp;");"</f>
        <v>Beacon.Put(113,0,300);</v>
      </c>
      <c r="E65" t="str">
        <f ca="1">"Beacon.Put(113,0,4"&amp;TEXT(E電入力!AP66,"00")&amp;");"</f>
        <v>Beacon.Put(113,0,400);</v>
      </c>
      <c r="F65" t="str">
        <f ca="1">"Beacon.Put(113,0,5"&amp;TEXT(E電入力!AQ66,"00")&amp;");"</f>
        <v>Beacon.Put(113,0,501);</v>
      </c>
      <c r="G65" t="str">
        <f ca="1">"Beacon.Put(113,0,6"&amp;TEXT(E電入力!AR66,"00")&amp;");"</f>
        <v>Beacon.Put(113,0,600);</v>
      </c>
    </row>
    <row r="66" spans="1:7">
      <c r="A66" t="str">
        <f>E電入力!C67&amp;"+25;"</f>
        <v>+25;</v>
      </c>
      <c r="B66" t="str">
        <f ca="1">"Beacon.Put(113,0,1"&amp;TEXT(E電入力!AM67,"00")&amp;");"</f>
        <v>Beacon.Put(113,0,108);</v>
      </c>
      <c r="C66" t="str">
        <f ca="1">"Beacon.Put(113,0,2"&amp;TEXT(E電入力!AN67,"00")&amp;");"</f>
        <v>Beacon.Put(113,0,200);</v>
      </c>
      <c r="D66" t="str">
        <f ca="1">"Beacon.Put(113,0,3"&amp;TEXT(E電入力!AO67,"00")&amp;");"</f>
        <v>Beacon.Put(113,0,300);</v>
      </c>
      <c r="E66" t="str">
        <f ca="1">"Beacon.Put(113,0,4"&amp;TEXT(E電入力!AP67,"00")&amp;");"</f>
        <v>Beacon.Put(113,0,400);</v>
      </c>
      <c r="F66" t="str">
        <f ca="1">"Beacon.Put(113,0,5"&amp;TEXT(E電入力!AQ67,"00")&amp;");"</f>
        <v>Beacon.Put(113,0,501);</v>
      </c>
      <c r="G66" t="str">
        <f ca="1">"Beacon.Put(113,0,6"&amp;TEXT(E電入力!AR67,"00")&amp;");"</f>
        <v>Beacon.Put(113,0,600);</v>
      </c>
    </row>
    <row r="67" spans="1:7">
      <c r="A67" t="str">
        <f>E電入力!C68&amp;"+25;"</f>
        <v>+25;</v>
      </c>
      <c r="B67" t="str">
        <f ca="1">"Beacon.Put(113,0,1"&amp;TEXT(E電入力!AM68,"00")&amp;");"</f>
        <v>Beacon.Put(113,0,108);</v>
      </c>
      <c r="C67" t="str">
        <f ca="1">"Beacon.Put(113,0,2"&amp;TEXT(E電入力!AN68,"00")&amp;");"</f>
        <v>Beacon.Put(113,0,200);</v>
      </c>
      <c r="D67" t="str">
        <f ca="1">"Beacon.Put(113,0,3"&amp;TEXT(E電入力!AO68,"00")&amp;");"</f>
        <v>Beacon.Put(113,0,300);</v>
      </c>
      <c r="E67" t="str">
        <f ca="1">"Beacon.Put(113,0,4"&amp;TEXT(E電入力!AP68,"00")&amp;");"</f>
        <v>Beacon.Put(113,0,400);</v>
      </c>
      <c r="F67" t="str">
        <f ca="1">"Beacon.Put(113,0,5"&amp;TEXT(E電入力!AQ68,"00")&amp;");"</f>
        <v>Beacon.Put(113,0,501);</v>
      </c>
      <c r="G67" t="str">
        <f ca="1">"Beacon.Put(113,0,6"&amp;TEXT(E電入力!AR68,"00")&amp;");"</f>
        <v>Beacon.Put(113,0,600);</v>
      </c>
    </row>
    <row r="68" spans="1:7">
      <c r="A68" t="str">
        <f>E電入力!C69&amp;"+25;"</f>
        <v>+25;</v>
      </c>
      <c r="B68" t="str">
        <f ca="1">"Beacon.Put(113,0,1"&amp;TEXT(E電入力!AM69,"00")&amp;");"</f>
        <v>Beacon.Put(113,0,108);</v>
      </c>
      <c r="C68" t="str">
        <f ca="1">"Beacon.Put(113,0,2"&amp;TEXT(E電入力!AN69,"00")&amp;");"</f>
        <v>Beacon.Put(113,0,200);</v>
      </c>
      <c r="D68" t="str">
        <f ca="1">"Beacon.Put(113,0,3"&amp;TEXT(E電入力!AO69,"00")&amp;");"</f>
        <v>Beacon.Put(113,0,300);</v>
      </c>
      <c r="E68" t="str">
        <f ca="1">"Beacon.Put(113,0,4"&amp;TEXT(E電入力!AP69,"00")&amp;");"</f>
        <v>Beacon.Put(113,0,400);</v>
      </c>
      <c r="F68" t="str">
        <f ca="1">"Beacon.Put(113,0,5"&amp;TEXT(E電入力!AQ69,"00")&amp;");"</f>
        <v>Beacon.Put(113,0,501);</v>
      </c>
      <c r="G68" t="str">
        <f ca="1">"Beacon.Put(113,0,6"&amp;TEXT(E電入力!AR69,"00")&amp;");"</f>
        <v>Beacon.Put(113,0,600);</v>
      </c>
    </row>
    <row r="69" spans="1:7">
      <c r="A69" t="str">
        <f>E電入力!C70&amp;"+25;"</f>
        <v>+25;</v>
      </c>
      <c r="B69" t="str">
        <f ca="1">"Beacon.Put(113,0,1"&amp;TEXT(E電入力!AM70,"00")&amp;");"</f>
        <v>Beacon.Put(113,0,108);</v>
      </c>
      <c r="C69" t="str">
        <f ca="1">"Beacon.Put(113,0,2"&amp;TEXT(E電入力!AN70,"00")&amp;");"</f>
        <v>Beacon.Put(113,0,200);</v>
      </c>
      <c r="D69" t="str">
        <f ca="1">"Beacon.Put(113,0,3"&amp;TEXT(E電入力!AO70,"00")&amp;");"</f>
        <v>Beacon.Put(113,0,300);</v>
      </c>
      <c r="E69" t="str">
        <f ca="1">"Beacon.Put(113,0,4"&amp;TEXT(E電入力!AP70,"00")&amp;");"</f>
        <v>Beacon.Put(113,0,400);</v>
      </c>
      <c r="F69" t="str">
        <f ca="1">"Beacon.Put(113,0,5"&amp;TEXT(E電入力!AQ70,"00")&amp;");"</f>
        <v>Beacon.Put(113,0,501);</v>
      </c>
      <c r="G69" t="str">
        <f ca="1">"Beacon.Put(113,0,6"&amp;TEXT(E電入力!AR70,"00")&amp;");"</f>
        <v>Beacon.Put(113,0,600);</v>
      </c>
    </row>
    <row r="70" spans="1:7">
      <c r="A70" t="str">
        <f>E電入力!C71&amp;"+25;"</f>
        <v>+25;</v>
      </c>
      <c r="B70" t="str">
        <f ca="1">"Beacon.Put(113,0,1"&amp;TEXT(E電入力!AM71,"00")&amp;");"</f>
        <v>Beacon.Put(113,0,108);</v>
      </c>
      <c r="C70" t="str">
        <f ca="1">"Beacon.Put(113,0,2"&amp;TEXT(E電入力!AN71,"00")&amp;");"</f>
        <v>Beacon.Put(113,0,200);</v>
      </c>
      <c r="D70" t="str">
        <f ca="1">"Beacon.Put(113,0,3"&amp;TEXT(E電入力!AO71,"00")&amp;");"</f>
        <v>Beacon.Put(113,0,300);</v>
      </c>
      <c r="E70" t="str">
        <f ca="1">"Beacon.Put(113,0,4"&amp;TEXT(E電入力!AP71,"00")&amp;");"</f>
        <v>Beacon.Put(113,0,400);</v>
      </c>
      <c r="F70" t="str">
        <f ca="1">"Beacon.Put(113,0,5"&amp;TEXT(E電入力!AQ71,"00")&amp;");"</f>
        <v>Beacon.Put(113,0,501);</v>
      </c>
      <c r="G70" t="str">
        <f ca="1">"Beacon.Put(113,0,6"&amp;TEXT(E電入力!AR71,"00")&amp;");"</f>
        <v>Beacon.Put(113,0,600);</v>
      </c>
    </row>
    <row r="71" spans="1:7">
      <c r="A71" t="str">
        <f>E電入力!C72&amp;"+25;"</f>
        <v>+25;</v>
      </c>
      <c r="B71" t="str">
        <f ca="1">"Beacon.Put(113,0,1"&amp;TEXT(E電入力!AM72,"00")&amp;");"</f>
        <v>Beacon.Put(113,0,108);</v>
      </c>
      <c r="C71" t="str">
        <f ca="1">"Beacon.Put(113,0,2"&amp;TEXT(E電入力!AN72,"00")&amp;");"</f>
        <v>Beacon.Put(113,0,200);</v>
      </c>
      <c r="D71" t="str">
        <f ca="1">"Beacon.Put(113,0,3"&amp;TEXT(E電入力!AO72,"00")&amp;");"</f>
        <v>Beacon.Put(113,0,300);</v>
      </c>
      <c r="E71" t="str">
        <f ca="1">"Beacon.Put(113,0,4"&amp;TEXT(E電入力!AP72,"00")&amp;");"</f>
        <v>Beacon.Put(113,0,400);</v>
      </c>
      <c r="F71" t="str">
        <f ca="1">"Beacon.Put(113,0,5"&amp;TEXT(E電入力!AQ72,"00")&amp;");"</f>
        <v>Beacon.Put(113,0,501);</v>
      </c>
      <c r="G71" t="str">
        <f ca="1">"Beacon.Put(113,0,6"&amp;TEXT(E電入力!AR72,"00")&amp;");"</f>
        <v>Beacon.Put(113,0,600);</v>
      </c>
    </row>
    <row r="72" spans="1:7">
      <c r="A72" t="str">
        <f>E電入力!C73&amp;"+25;"</f>
        <v>+25;</v>
      </c>
      <c r="B72" t="str">
        <f ca="1">"Beacon.Put(113,0,1"&amp;TEXT(E電入力!AM73,"00")&amp;");"</f>
        <v>Beacon.Put(113,0,108);</v>
      </c>
      <c r="C72" t="str">
        <f ca="1">"Beacon.Put(113,0,2"&amp;TEXT(E電入力!AN73,"00")&amp;");"</f>
        <v>Beacon.Put(113,0,200);</v>
      </c>
      <c r="D72" t="str">
        <f ca="1">"Beacon.Put(113,0,3"&amp;TEXT(E電入力!AO73,"00")&amp;");"</f>
        <v>Beacon.Put(113,0,300);</v>
      </c>
      <c r="E72" t="str">
        <f ca="1">"Beacon.Put(113,0,4"&amp;TEXT(E電入力!AP73,"00")&amp;");"</f>
        <v>Beacon.Put(113,0,400);</v>
      </c>
      <c r="F72" t="str">
        <f ca="1">"Beacon.Put(113,0,5"&amp;TEXT(E電入力!AQ73,"00")&amp;");"</f>
        <v>Beacon.Put(113,0,501);</v>
      </c>
      <c r="G72" t="str">
        <f ca="1">"Beacon.Put(113,0,6"&amp;TEXT(E電入力!AR73,"00")&amp;");"</f>
        <v>Beacon.Put(113,0,600);</v>
      </c>
    </row>
    <row r="73" spans="1:7">
      <c r="A73" t="str">
        <f>E電入力!C74&amp;"+25;"</f>
        <v>+25;</v>
      </c>
      <c r="B73" t="str">
        <f ca="1">"Beacon.Put(113,0,1"&amp;TEXT(E電入力!AM74,"00")&amp;");"</f>
        <v>Beacon.Put(113,0,108);</v>
      </c>
      <c r="C73" t="str">
        <f ca="1">"Beacon.Put(113,0,2"&amp;TEXT(E電入力!AN74,"00")&amp;");"</f>
        <v>Beacon.Put(113,0,200);</v>
      </c>
      <c r="D73" t="str">
        <f ca="1">"Beacon.Put(113,0,3"&amp;TEXT(E電入力!AO74,"00")&amp;");"</f>
        <v>Beacon.Put(113,0,300);</v>
      </c>
      <c r="E73" t="str">
        <f ca="1">"Beacon.Put(113,0,4"&amp;TEXT(E電入力!AP74,"00")&amp;");"</f>
        <v>Beacon.Put(113,0,400);</v>
      </c>
      <c r="F73" t="str">
        <f ca="1">"Beacon.Put(113,0,5"&amp;TEXT(E電入力!AQ74,"00")&amp;");"</f>
        <v>Beacon.Put(113,0,501);</v>
      </c>
      <c r="G73" t="str">
        <f ca="1">"Beacon.Put(113,0,6"&amp;TEXT(E電入力!AR74,"00")&amp;");"</f>
        <v>Beacon.Put(113,0,600);</v>
      </c>
    </row>
    <row r="74" spans="1:7">
      <c r="A74" t="str">
        <f>E電入力!C75&amp;"+25;"</f>
        <v>+25;</v>
      </c>
      <c r="B74" t="str">
        <f ca="1">"Beacon.Put(113,0,1"&amp;TEXT(E電入力!AM75,"00")&amp;");"</f>
        <v>Beacon.Put(113,0,108);</v>
      </c>
      <c r="C74" t="str">
        <f ca="1">"Beacon.Put(113,0,2"&amp;TEXT(E電入力!AN75,"00")&amp;");"</f>
        <v>Beacon.Put(113,0,200);</v>
      </c>
      <c r="D74" t="str">
        <f ca="1">"Beacon.Put(113,0,3"&amp;TEXT(E電入力!AO75,"00")&amp;");"</f>
        <v>Beacon.Put(113,0,300);</v>
      </c>
      <c r="E74" t="str">
        <f ca="1">"Beacon.Put(113,0,4"&amp;TEXT(E電入力!AP75,"00")&amp;");"</f>
        <v>Beacon.Put(113,0,400);</v>
      </c>
      <c r="F74" t="str">
        <f ca="1">"Beacon.Put(113,0,5"&amp;TEXT(E電入力!AQ75,"00")&amp;");"</f>
        <v>Beacon.Put(113,0,501);</v>
      </c>
      <c r="G74" t="str">
        <f ca="1">"Beacon.Put(113,0,6"&amp;TEXT(E電入力!AR75,"00")&amp;");"</f>
        <v>Beacon.Put(113,0,600);</v>
      </c>
    </row>
    <row r="75" spans="1:7">
      <c r="A75" t="str">
        <f>E電入力!C76&amp;"+25;"</f>
        <v>+25;</v>
      </c>
      <c r="B75" t="str">
        <f ca="1">"Beacon.Put(113,0,1"&amp;TEXT(E電入力!AM76,"00")&amp;");"</f>
        <v>Beacon.Put(113,0,108);</v>
      </c>
      <c r="C75" t="str">
        <f ca="1">"Beacon.Put(113,0,2"&amp;TEXT(E電入力!AN76,"00")&amp;");"</f>
        <v>Beacon.Put(113,0,200);</v>
      </c>
      <c r="D75" t="str">
        <f ca="1">"Beacon.Put(113,0,3"&amp;TEXT(E電入力!AO76,"00")&amp;");"</f>
        <v>Beacon.Put(113,0,300);</v>
      </c>
      <c r="E75" t="str">
        <f ca="1">"Beacon.Put(113,0,4"&amp;TEXT(E電入力!AP76,"00")&amp;");"</f>
        <v>Beacon.Put(113,0,400);</v>
      </c>
      <c r="F75" t="str">
        <f ca="1">"Beacon.Put(113,0,5"&amp;TEXT(E電入力!AQ76,"00")&amp;");"</f>
        <v>Beacon.Put(113,0,501);</v>
      </c>
      <c r="G75" t="str">
        <f ca="1">"Beacon.Put(113,0,6"&amp;TEXT(E電入力!AR76,"00")&amp;");"</f>
        <v>Beacon.Put(113,0,600);</v>
      </c>
    </row>
    <row r="76" spans="1:7">
      <c r="A76" t="str">
        <f>E電入力!C77&amp;"+25;"</f>
        <v>+25;</v>
      </c>
      <c r="B76" t="str">
        <f ca="1">"Beacon.Put(113,0,1"&amp;TEXT(E電入力!AM77,"00")&amp;");"</f>
        <v>Beacon.Put(113,0,108);</v>
      </c>
      <c r="C76" t="str">
        <f ca="1">"Beacon.Put(113,0,2"&amp;TEXT(E電入力!AN77,"00")&amp;");"</f>
        <v>Beacon.Put(113,0,200);</v>
      </c>
      <c r="D76" t="str">
        <f ca="1">"Beacon.Put(113,0,3"&amp;TEXT(E電入力!AO77,"00")&amp;");"</f>
        <v>Beacon.Put(113,0,300);</v>
      </c>
      <c r="E76" t="str">
        <f ca="1">"Beacon.Put(113,0,4"&amp;TEXT(E電入力!AP77,"00")&amp;");"</f>
        <v>Beacon.Put(113,0,400);</v>
      </c>
      <c r="F76" t="str">
        <f ca="1">"Beacon.Put(113,0,5"&amp;TEXT(E電入力!AQ77,"00")&amp;");"</f>
        <v>Beacon.Put(113,0,501);</v>
      </c>
      <c r="G76" t="str">
        <f ca="1">"Beacon.Put(113,0,6"&amp;TEXT(E電入力!AR77,"00")&amp;");"</f>
        <v>Beacon.Put(113,0,600);</v>
      </c>
    </row>
    <row r="77" spans="1:7">
      <c r="A77" t="str">
        <f>E電入力!C78&amp;"+25;"</f>
        <v>+25;</v>
      </c>
      <c r="B77" t="str">
        <f ca="1">"Beacon.Put(113,0,1"&amp;TEXT(E電入力!AM78,"00")&amp;");"</f>
        <v>Beacon.Put(113,0,108);</v>
      </c>
      <c r="C77" t="str">
        <f ca="1">"Beacon.Put(113,0,2"&amp;TEXT(E電入力!AN78,"00")&amp;");"</f>
        <v>Beacon.Put(113,0,200);</v>
      </c>
      <c r="D77" t="str">
        <f ca="1">"Beacon.Put(113,0,3"&amp;TEXT(E電入力!AO78,"00")&amp;");"</f>
        <v>Beacon.Put(113,0,300);</v>
      </c>
      <c r="E77" t="str">
        <f ca="1">"Beacon.Put(113,0,4"&amp;TEXT(E電入力!AP78,"00")&amp;");"</f>
        <v>Beacon.Put(113,0,400);</v>
      </c>
      <c r="F77" t="str">
        <f ca="1">"Beacon.Put(113,0,5"&amp;TEXT(E電入力!AQ78,"00")&amp;");"</f>
        <v>Beacon.Put(113,0,501);</v>
      </c>
      <c r="G77" t="str">
        <f ca="1">"Beacon.Put(113,0,6"&amp;TEXT(E電入力!AR78,"00")&amp;");"</f>
        <v>Beacon.Put(113,0,600);</v>
      </c>
    </row>
    <row r="78" spans="1:7">
      <c r="A78" t="str">
        <f>E電入力!C79&amp;"+25;"</f>
        <v>+25;</v>
      </c>
      <c r="B78" t="str">
        <f ca="1">"Beacon.Put(113,0,1"&amp;TEXT(E電入力!AM79,"00")&amp;");"</f>
        <v>Beacon.Put(113,0,108);</v>
      </c>
      <c r="C78" t="str">
        <f ca="1">"Beacon.Put(113,0,2"&amp;TEXT(E電入力!AN79,"00")&amp;");"</f>
        <v>Beacon.Put(113,0,200);</v>
      </c>
      <c r="D78" t="str">
        <f ca="1">"Beacon.Put(113,0,3"&amp;TEXT(E電入力!AO79,"00")&amp;");"</f>
        <v>Beacon.Put(113,0,300);</v>
      </c>
      <c r="E78" t="str">
        <f ca="1">"Beacon.Put(113,0,4"&amp;TEXT(E電入力!AP79,"00")&amp;");"</f>
        <v>Beacon.Put(113,0,400);</v>
      </c>
      <c r="F78" t="str">
        <f ca="1">"Beacon.Put(113,0,5"&amp;TEXT(E電入力!AQ79,"00")&amp;");"</f>
        <v>Beacon.Put(113,0,501);</v>
      </c>
      <c r="G78" t="str">
        <f ca="1">"Beacon.Put(113,0,6"&amp;TEXT(E電入力!AR79,"00")&amp;");"</f>
        <v>Beacon.Put(113,0,600);</v>
      </c>
    </row>
    <row r="79" spans="1:7">
      <c r="A79" t="str">
        <f>E電入力!C80&amp;"+25;"</f>
        <v>+25;</v>
      </c>
      <c r="B79" t="str">
        <f ca="1">"Beacon.Put(113,0,1"&amp;TEXT(E電入力!AM80,"00")&amp;");"</f>
        <v>Beacon.Put(113,0,108);</v>
      </c>
      <c r="C79" t="str">
        <f ca="1">"Beacon.Put(113,0,2"&amp;TEXT(E電入力!AN80,"00")&amp;");"</f>
        <v>Beacon.Put(113,0,200);</v>
      </c>
      <c r="D79" t="str">
        <f ca="1">"Beacon.Put(113,0,3"&amp;TEXT(E電入力!AO80,"00")&amp;");"</f>
        <v>Beacon.Put(113,0,300);</v>
      </c>
      <c r="E79" t="str">
        <f ca="1">"Beacon.Put(113,0,4"&amp;TEXT(E電入力!AP80,"00")&amp;");"</f>
        <v>Beacon.Put(113,0,400);</v>
      </c>
      <c r="F79" t="str">
        <f ca="1">"Beacon.Put(113,0,5"&amp;TEXT(E電入力!AQ80,"00")&amp;");"</f>
        <v>Beacon.Put(113,0,501);</v>
      </c>
      <c r="G79" t="str">
        <f ca="1">"Beacon.Put(113,0,6"&amp;TEXT(E電入力!AR80,"00")&amp;");"</f>
        <v>Beacon.Put(113,0,600);</v>
      </c>
    </row>
    <row r="80" spans="1:7">
      <c r="A80" t="str">
        <f>E電入力!C81&amp;"+25;"</f>
        <v>+25;</v>
      </c>
      <c r="B80" t="str">
        <f ca="1">"Beacon.Put(113,0,1"&amp;TEXT(E電入力!AM81,"00")&amp;");"</f>
        <v>Beacon.Put(113,0,108);</v>
      </c>
      <c r="C80" t="str">
        <f ca="1">"Beacon.Put(113,0,2"&amp;TEXT(E電入力!AN81,"00")&amp;");"</f>
        <v>Beacon.Put(113,0,200);</v>
      </c>
      <c r="D80" t="str">
        <f ca="1">"Beacon.Put(113,0,3"&amp;TEXT(E電入力!AO81,"00")&amp;");"</f>
        <v>Beacon.Put(113,0,300);</v>
      </c>
      <c r="E80" t="str">
        <f ca="1">"Beacon.Put(113,0,4"&amp;TEXT(E電入力!AP81,"00")&amp;");"</f>
        <v>Beacon.Put(113,0,400);</v>
      </c>
      <c r="F80" t="str">
        <f ca="1">"Beacon.Put(113,0,5"&amp;TEXT(E電入力!AQ81,"00")&amp;");"</f>
        <v>Beacon.Put(113,0,501);</v>
      </c>
      <c r="G80" t="str">
        <f ca="1">"Beacon.Put(113,0,6"&amp;TEXT(E電入力!AR81,"00")&amp;");"</f>
        <v>Beacon.Put(113,0,600);</v>
      </c>
    </row>
    <row r="81" spans="1:7">
      <c r="A81" t="str">
        <f>E電入力!C82&amp;"+25;"</f>
        <v>+25;</v>
      </c>
      <c r="B81" t="str">
        <f ca="1">"Beacon.Put(113,0,1"&amp;TEXT(E電入力!AM82,"00")&amp;");"</f>
        <v>Beacon.Put(113,0,108);</v>
      </c>
      <c r="C81" t="str">
        <f ca="1">"Beacon.Put(113,0,2"&amp;TEXT(E電入力!AN82,"00")&amp;");"</f>
        <v>Beacon.Put(113,0,200);</v>
      </c>
      <c r="D81" t="str">
        <f ca="1">"Beacon.Put(113,0,3"&amp;TEXT(E電入力!AO82,"00")&amp;");"</f>
        <v>Beacon.Put(113,0,300);</v>
      </c>
      <c r="E81" t="str">
        <f ca="1">"Beacon.Put(113,0,4"&amp;TEXT(E電入力!AP82,"00")&amp;");"</f>
        <v>Beacon.Put(113,0,400);</v>
      </c>
      <c r="F81" t="str">
        <f ca="1">"Beacon.Put(113,0,5"&amp;TEXT(E電入力!AQ82,"00")&amp;");"</f>
        <v>Beacon.Put(113,0,501);</v>
      </c>
      <c r="G81" t="str">
        <f ca="1">"Beacon.Put(113,0,6"&amp;TEXT(E電入力!AR82,"00")&amp;");"</f>
        <v>Beacon.Put(113,0,600);</v>
      </c>
    </row>
    <row r="82" spans="1:7">
      <c r="A82" t="str">
        <f>E電入力!C83&amp;"+25;"</f>
        <v>+25;</v>
      </c>
      <c r="B82" t="str">
        <f ca="1">"Beacon.Put(113,0,1"&amp;TEXT(E電入力!AM83,"00")&amp;");"</f>
        <v>Beacon.Put(113,0,108);</v>
      </c>
      <c r="C82" t="str">
        <f ca="1">"Beacon.Put(113,0,2"&amp;TEXT(E電入力!AN83,"00")&amp;");"</f>
        <v>Beacon.Put(113,0,200);</v>
      </c>
      <c r="D82" t="str">
        <f ca="1">"Beacon.Put(113,0,3"&amp;TEXT(E電入力!AO83,"00")&amp;");"</f>
        <v>Beacon.Put(113,0,300);</v>
      </c>
      <c r="E82" t="str">
        <f ca="1">"Beacon.Put(113,0,4"&amp;TEXT(E電入力!AP83,"00")&amp;");"</f>
        <v>Beacon.Put(113,0,400);</v>
      </c>
      <c r="F82" t="str">
        <f ca="1">"Beacon.Put(113,0,5"&amp;TEXT(E電入力!AQ83,"00")&amp;");"</f>
        <v>Beacon.Put(113,0,501);</v>
      </c>
      <c r="G82" t="str">
        <f ca="1">"Beacon.Put(113,0,6"&amp;TEXT(E電入力!AR83,"00")&amp;");"</f>
        <v>Beacon.Put(113,0,600);</v>
      </c>
    </row>
    <row r="83" spans="1:7">
      <c r="A83" t="str">
        <f>E電入力!C84&amp;"+25;"</f>
        <v>+25;</v>
      </c>
      <c r="B83" t="str">
        <f ca="1">"Beacon.Put(113,0,1"&amp;TEXT(E電入力!AM84,"00")&amp;");"</f>
        <v>Beacon.Put(113,0,108);</v>
      </c>
      <c r="C83" t="str">
        <f ca="1">"Beacon.Put(113,0,2"&amp;TEXT(E電入力!AN84,"00")&amp;");"</f>
        <v>Beacon.Put(113,0,200);</v>
      </c>
      <c r="D83" t="str">
        <f ca="1">"Beacon.Put(113,0,3"&amp;TEXT(E電入力!AO84,"00")&amp;");"</f>
        <v>Beacon.Put(113,0,300);</v>
      </c>
      <c r="E83" t="str">
        <f ca="1">"Beacon.Put(113,0,4"&amp;TEXT(E電入力!AP84,"00")&amp;");"</f>
        <v>Beacon.Put(113,0,400);</v>
      </c>
      <c r="F83" t="str">
        <f ca="1">"Beacon.Put(113,0,5"&amp;TEXT(E電入力!AQ84,"00")&amp;");"</f>
        <v>Beacon.Put(113,0,501);</v>
      </c>
      <c r="G83" t="str">
        <f ca="1">"Beacon.Put(113,0,6"&amp;TEXT(E電入力!AR84,"00")&amp;");"</f>
        <v>Beacon.Put(113,0,600);</v>
      </c>
    </row>
    <row r="84" spans="1:7">
      <c r="A84" t="str">
        <f>E電入力!C85&amp;"+25;"</f>
        <v>+25;</v>
      </c>
      <c r="B84" t="str">
        <f ca="1">"Beacon.Put(113,0,1"&amp;TEXT(E電入力!AM85,"00")&amp;");"</f>
        <v>Beacon.Put(113,0,108);</v>
      </c>
      <c r="C84" t="str">
        <f ca="1">"Beacon.Put(113,0,2"&amp;TEXT(E電入力!AN85,"00")&amp;");"</f>
        <v>Beacon.Put(113,0,200);</v>
      </c>
      <c r="D84" t="str">
        <f ca="1">"Beacon.Put(113,0,3"&amp;TEXT(E電入力!AO85,"00")&amp;");"</f>
        <v>Beacon.Put(113,0,300);</v>
      </c>
      <c r="E84" t="str">
        <f ca="1">"Beacon.Put(113,0,4"&amp;TEXT(E電入力!AP85,"00")&amp;");"</f>
        <v>Beacon.Put(113,0,400);</v>
      </c>
      <c r="F84" t="str">
        <f ca="1">"Beacon.Put(113,0,5"&amp;TEXT(E電入力!AQ85,"00")&amp;");"</f>
        <v>Beacon.Put(113,0,501);</v>
      </c>
      <c r="G84" t="str">
        <f ca="1">"Beacon.Put(113,0,6"&amp;TEXT(E電入力!AR85,"00")&amp;");"</f>
        <v>Beacon.Put(113,0,600);</v>
      </c>
    </row>
    <row r="85" spans="1:7">
      <c r="A85" t="str">
        <f>E電入力!C86&amp;"+25;"</f>
        <v>+25;</v>
      </c>
      <c r="B85" t="str">
        <f ca="1">"Beacon.Put(113,0,1"&amp;TEXT(E電入力!AM86,"00")&amp;");"</f>
        <v>Beacon.Put(113,0,108);</v>
      </c>
      <c r="C85" t="str">
        <f ca="1">"Beacon.Put(113,0,2"&amp;TEXT(E電入力!AN86,"00")&amp;");"</f>
        <v>Beacon.Put(113,0,200);</v>
      </c>
      <c r="D85" t="str">
        <f ca="1">"Beacon.Put(113,0,3"&amp;TEXT(E電入力!AO86,"00")&amp;");"</f>
        <v>Beacon.Put(113,0,300);</v>
      </c>
      <c r="E85" t="str">
        <f ca="1">"Beacon.Put(113,0,4"&amp;TEXT(E電入力!AP86,"00")&amp;");"</f>
        <v>Beacon.Put(113,0,400);</v>
      </c>
      <c r="F85" t="str">
        <f ca="1">"Beacon.Put(113,0,5"&amp;TEXT(E電入力!AQ86,"00")&amp;");"</f>
        <v>Beacon.Put(113,0,501);</v>
      </c>
      <c r="G85" t="str">
        <f ca="1">"Beacon.Put(113,0,6"&amp;TEXT(E電入力!AR86,"00")&amp;");"</f>
        <v>Beacon.Put(113,0,600);</v>
      </c>
    </row>
    <row r="86" spans="1:7">
      <c r="A86" t="str">
        <f>E電入力!C87&amp;"+25;"</f>
        <v>+25;</v>
      </c>
      <c r="B86" t="str">
        <f ca="1">"Beacon.Put(113,0,1"&amp;TEXT(E電入力!AM87,"00")&amp;");"</f>
        <v>Beacon.Put(113,0,108);</v>
      </c>
      <c r="C86" t="str">
        <f ca="1">"Beacon.Put(113,0,2"&amp;TEXT(E電入力!AN87,"00")&amp;");"</f>
        <v>Beacon.Put(113,0,200);</v>
      </c>
      <c r="D86" t="str">
        <f ca="1">"Beacon.Put(113,0,3"&amp;TEXT(E電入力!AO87,"00")&amp;");"</f>
        <v>Beacon.Put(113,0,300);</v>
      </c>
      <c r="E86" t="str">
        <f ca="1">"Beacon.Put(113,0,4"&amp;TEXT(E電入力!AP87,"00")&amp;");"</f>
        <v>Beacon.Put(113,0,400);</v>
      </c>
      <c r="F86" t="str">
        <f ca="1">"Beacon.Put(113,0,5"&amp;TEXT(E電入力!AQ87,"00")&amp;");"</f>
        <v>Beacon.Put(113,0,501);</v>
      </c>
      <c r="G86" t="str">
        <f ca="1">"Beacon.Put(113,0,6"&amp;TEXT(E電入力!AR87,"00")&amp;");"</f>
        <v>Beacon.Put(113,0,600);</v>
      </c>
    </row>
    <row r="87" spans="1:7">
      <c r="A87" t="str">
        <f>E電入力!C88&amp;"+25;"</f>
        <v>+25;</v>
      </c>
      <c r="B87" t="str">
        <f ca="1">"Beacon.Put(113,0,1"&amp;TEXT(E電入力!AM88,"00")&amp;");"</f>
        <v>Beacon.Put(113,0,108);</v>
      </c>
      <c r="C87" t="str">
        <f ca="1">"Beacon.Put(113,0,2"&amp;TEXT(E電入力!AN88,"00")&amp;");"</f>
        <v>Beacon.Put(113,0,200);</v>
      </c>
      <c r="D87" t="str">
        <f ca="1">"Beacon.Put(113,0,3"&amp;TEXT(E電入力!AO88,"00")&amp;");"</f>
        <v>Beacon.Put(113,0,300);</v>
      </c>
      <c r="E87" t="str">
        <f ca="1">"Beacon.Put(113,0,4"&amp;TEXT(E電入力!AP88,"00")&amp;");"</f>
        <v>Beacon.Put(113,0,400);</v>
      </c>
      <c r="F87" t="str">
        <f ca="1">"Beacon.Put(113,0,5"&amp;TEXT(E電入力!AQ88,"00")&amp;");"</f>
        <v>Beacon.Put(113,0,501);</v>
      </c>
      <c r="G87" t="str">
        <f ca="1">"Beacon.Put(113,0,6"&amp;TEXT(E電入力!AR88,"00")&amp;");"</f>
        <v>Beacon.Put(113,0,600);</v>
      </c>
    </row>
    <row r="88" spans="1:7">
      <c r="A88" t="str">
        <f>E電入力!C89&amp;"+25;"</f>
        <v>+25;</v>
      </c>
      <c r="B88" t="str">
        <f ca="1">"Beacon.Put(113,0,1"&amp;TEXT(E電入力!AM89,"00")&amp;");"</f>
        <v>Beacon.Put(113,0,108);</v>
      </c>
      <c r="C88" t="str">
        <f ca="1">"Beacon.Put(113,0,2"&amp;TEXT(E電入力!AN89,"00")&amp;");"</f>
        <v>Beacon.Put(113,0,200);</v>
      </c>
      <c r="D88" t="str">
        <f ca="1">"Beacon.Put(113,0,3"&amp;TEXT(E電入力!AO89,"00")&amp;");"</f>
        <v>Beacon.Put(113,0,300);</v>
      </c>
      <c r="E88" t="str">
        <f ca="1">"Beacon.Put(113,0,4"&amp;TEXT(E電入力!AP89,"00")&amp;");"</f>
        <v>Beacon.Put(113,0,400);</v>
      </c>
      <c r="F88" t="str">
        <f ca="1">"Beacon.Put(113,0,5"&amp;TEXT(E電入力!AQ89,"00")&amp;");"</f>
        <v>Beacon.Put(113,0,501);</v>
      </c>
      <c r="G88" t="str">
        <f ca="1">"Beacon.Put(113,0,6"&amp;TEXT(E電入力!AR89,"00")&amp;");"</f>
        <v>Beacon.Put(113,0,600);</v>
      </c>
    </row>
    <row r="89" spans="1:7">
      <c r="A89" t="str">
        <f>E電入力!C90&amp;"+25;"</f>
        <v>+25;</v>
      </c>
      <c r="B89" t="str">
        <f ca="1">"Beacon.Put(113,0,1"&amp;TEXT(E電入力!AM90,"00")&amp;");"</f>
        <v>Beacon.Put(113,0,108);</v>
      </c>
      <c r="C89" t="str">
        <f ca="1">"Beacon.Put(113,0,2"&amp;TEXT(E電入力!AN90,"00")&amp;");"</f>
        <v>Beacon.Put(113,0,200);</v>
      </c>
      <c r="D89" t="str">
        <f ca="1">"Beacon.Put(113,0,3"&amp;TEXT(E電入力!AO90,"00")&amp;");"</f>
        <v>Beacon.Put(113,0,300);</v>
      </c>
      <c r="E89" t="str">
        <f ca="1">"Beacon.Put(113,0,4"&amp;TEXT(E電入力!AP90,"00")&amp;");"</f>
        <v>Beacon.Put(113,0,400);</v>
      </c>
      <c r="F89" t="str">
        <f ca="1">"Beacon.Put(113,0,5"&amp;TEXT(E電入力!AQ90,"00")&amp;");"</f>
        <v>Beacon.Put(113,0,501);</v>
      </c>
      <c r="G89" t="str">
        <f ca="1">"Beacon.Put(113,0,6"&amp;TEXT(E電入力!AR90,"00")&amp;");"</f>
        <v>Beacon.Put(113,0,600);</v>
      </c>
    </row>
    <row r="90" spans="1:7">
      <c r="A90" t="str">
        <f>E電入力!C91&amp;"+25;"</f>
        <v>+25;</v>
      </c>
      <c r="B90" t="str">
        <f ca="1">"Beacon.Put(113,0,1"&amp;TEXT(E電入力!AM91,"00")&amp;");"</f>
        <v>Beacon.Put(113,0,108);</v>
      </c>
      <c r="C90" t="str">
        <f ca="1">"Beacon.Put(113,0,2"&amp;TEXT(E電入力!AN91,"00")&amp;");"</f>
        <v>Beacon.Put(113,0,200);</v>
      </c>
      <c r="D90" t="str">
        <f ca="1">"Beacon.Put(113,0,3"&amp;TEXT(E電入力!AO91,"00")&amp;");"</f>
        <v>Beacon.Put(113,0,300);</v>
      </c>
      <c r="E90" t="str">
        <f ca="1">"Beacon.Put(113,0,4"&amp;TEXT(E電入力!AP91,"00")&amp;");"</f>
        <v>Beacon.Put(113,0,400);</v>
      </c>
      <c r="F90" t="str">
        <f ca="1">"Beacon.Put(113,0,5"&amp;TEXT(E電入力!AQ91,"00")&amp;");"</f>
        <v>Beacon.Put(113,0,501);</v>
      </c>
      <c r="G90" t="str">
        <f ca="1">"Beacon.Put(113,0,6"&amp;TEXT(E電入力!AR91,"00")&amp;");"</f>
        <v>Beacon.Put(113,0,600);</v>
      </c>
    </row>
    <row r="91" spans="1:7">
      <c r="A91" t="str">
        <f>E電入力!C92&amp;"+25;"</f>
        <v>+25;</v>
      </c>
      <c r="B91" t="str">
        <f ca="1">"Beacon.Put(113,0,1"&amp;TEXT(E電入力!AM92,"00")&amp;");"</f>
        <v>Beacon.Put(113,0,108);</v>
      </c>
      <c r="C91" t="str">
        <f ca="1">"Beacon.Put(113,0,2"&amp;TEXT(E電入力!AN92,"00")&amp;");"</f>
        <v>Beacon.Put(113,0,200);</v>
      </c>
      <c r="D91" t="str">
        <f ca="1">"Beacon.Put(113,0,3"&amp;TEXT(E電入力!AO92,"00")&amp;");"</f>
        <v>Beacon.Put(113,0,300);</v>
      </c>
      <c r="E91" t="str">
        <f ca="1">"Beacon.Put(113,0,4"&amp;TEXT(E電入力!AP92,"00")&amp;");"</f>
        <v>Beacon.Put(113,0,400);</v>
      </c>
      <c r="F91" t="str">
        <f ca="1">"Beacon.Put(113,0,5"&amp;TEXT(E電入力!AQ92,"00")&amp;");"</f>
        <v>Beacon.Put(113,0,501);</v>
      </c>
      <c r="G91" t="str">
        <f ca="1">"Beacon.Put(113,0,6"&amp;TEXT(E電入力!AR92,"00")&amp;");"</f>
        <v>Beacon.Put(113,0,600);</v>
      </c>
    </row>
    <row r="92" spans="1:7">
      <c r="A92" t="str">
        <f>E電入力!C93&amp;"+25;"</f>
        <v>+25;</v>
      </c>
      <c r="B92" t="str">
        <f ca="1">"Beacon.Put(113,0,1"&amp;TEXT(E電入力!AM93,"00")&amp;");"</f>
        <v>Beacon.Put(113,0,108);</v>
      </c>
      <c r="C92" t="str">
        <f ca="1">"Beacon.Put(113,0,2"&amp;TEXT(E電入力!AN93,"00")&amp;");"</f>
        <v>Beacon.Put(113,0,200);</v>
      </c>
      <c r="D92" t="str">
        <f ca="1">"Beacon.Put(113,0,3"&amp;TEXT(E電入力!AO93,"00")&amp;");"</f>
        <v>Beacon.Put(113,0,300);</v>
      </c>
      <c r="E92" t="str">
        <f ca="1">"Beacon.Put(113,0,4"&amp;TEXT(E電入力!AP93,"00")&amp;");"</f>
        <v>Beacon.Put(113,0,400);</v>
      </c>
      <c r="F92" t="str">
        <f ca="1">"Beacon.Put(113,0,5"&amp;TEXT(E電入力!AQ93,"00")&amp;");"</f>
        <v>Beacon.Put(113,0,501);</v>
      </c>
      <c r="G92" t="str">
        <f ca="1">"Beacon.Put(113,0,6"&amp;TEXT(E電入力!AR93,"00")&amp;");"</f>
        <v>Beacon.Put(113,0,600);</v>
      </c>
    </row>
    <row r="93" spans="1:7">
      <c r="A93" t="str">
        <f>E電入力!C94&amp;"+25;"</f>
        <v>+25;</v>
      </c>
      <c r="B93" t="str">
        <f ca="1">"Beacon.Put(113,0,1"&amp;TEXT(E電入力!AM94,"00")&amp;");"</f>
        <v>Beacon.Put(113,0,108);</v>
      </c>
      <c r="C93" t="str">
        <f ca="1">"Beacon.Put(113,0,2"&amp;TEXT(E電入力!AN94,"00")&amp;");"</f>
        <v>Beacon.Put(113,0,200);</v>
      </c>
      <c r="D93" t="str">
        <f ca="1">"Beacon.Put(113,0,3"&amp;TEXT(E電入力!AO94,"00")&amp;");"</f>
        <v>Beacon.Put(113,0,300);</v>
      </c>
      <c r="E93" t="str">
        <f ca="1">"Beacon.Put(113,0,4"&amp;TEXT(E電入力!AP94,"00")&amp;");"</f>
        <v>Beacon.Put(113,0,400);</v>
      </c>
      <c r="F93" t="str">
        <f ca="1">"Beacon.Put(113,0,5"&amp;TEXT(E電入力!AQ94,"00")&amp;");"</f>
        <v>Beacon.Put(113,0,501);</v>
      </c>
      <c r="G93" t="str">
        <f ca="1">"Beacon.Put(113,0,6"&amp;TEXT(E電入力!AR94,"00")&amp;");"</f>
        <v>Beacon.Put(113,0,600);</v>
      </c>
    </row>
    <row r="94" spans="1:7">
      <c r="A94" t="str">
        <f>E電入力!C95&amp;"+25;"</f>
        <v>+25;</v>
      </c>
      <c r="B94" t="str">
        <f ca="1">"Beacon.Put(113,0,1"&amp;TEXT(E電入力!AM95,"00")&amp;");"</f>
        <v>Beacon.Put(113,0,108);</v>
      </c>
      <c r="C94" t="str">
        <f ca="1">"Beacon.Put(113,0,2"&amp;TEXT(E電入力!AN95,"00")&amp;");"</f>
        <v>Beacon.Put(113,0,200);</v>
      </c>
      <c r="D94" t="str">
        <f ca="1">"Beacon.Put(113,0,3"&amp;TEXT(E電入力!AO95,"00")&amp;");"</f>
        <v>Beacon.Put(113,0,300);</v>
      </c>
      <c r="E94" t="str">
        <f ca="1">"Beacon.Put(113,0,4"&amp;TEXT(E電入力!AP95,"00")&amp;");"</f>
        <v>Beacon.Put(113,0,400);</v>
      </c>
      <c r="F94" t="str">
        <f ca="1">"Beacon.Put(113,0,5"&amp;TEXT(E電入力!AQ95,"00")&amp;");"</f>
        <v>Beacon.Put(113,0,501);</v>
      </c>
      <c r="G94" t="str">
        <f ca="1">"Beacon.Put(113,0,6"&amp;TEXT(E電入力!AR95,"00")&amp;");"</f>
        <v>Beacon.Put(113,0,600);</v>
      </c>
    </row>
    <row r="95" spans="1:7">
      <c r="A95" t="str">
        <f>E電入力!C96&amp;"+25;"</f>
        <v>+25;</v>
      </c>
      <c r="B95" t="str">
        <f ca="1">"Beacon.Put(113,0,1"&amp;TEXT(E電入力!AM96,"00")&amp;");"</f>
        <v>Beacon.Put(113,0,108);</v>
      </c>
      <c r="C95" t="str">
        <f ca="1">"Beacon.Put(113,0,2"&amp;TEXT(E電入力!AN96,"00")&amp;");"</f>
        <v>Beacon.Put(113,0,200);</v>
      </c>
      <c r="D95" t="str">
        <f ca="1">"Beacon.Put(113,0,3"&amp;TEXT(E電入力!AO96,"00")&amp;");"</f>
        <v>Beacon.Put(113,0,300);</v>
      </c>
      <c r="E95" t="str">
        <f ca="1">"Beacon.Put(113,0,4"&amp;TEXT(E電入力!AP96,"00")&amp;");"</f>
        <v>Beacon.Put(113,0,400);</v>
      </c>
      <c r="F95" t="str">
        <f ca="1">"Beacon.Put(113,0,5"&amp;TEXT(E電入力!AQ96,"00")&amp;");"</f>
        <v>Beacon.Put(113,0,501);</v>
      </c>
      <c r="G95" t="str">
        <f ca="1">"Beacon.Put(113,0,6"&amp;TEXT(E電入力!AR96,"00")&amp;");"</f>
        <v>Beacon.Put(113,0,600);</v>
      </c>
    </row>
    <row r="96" spans="1:7">
      <c r="A96" t="str">
        <f>E電入力!C97&amp;"+25;"</f>
        <v>+25;</v>
      </c>
      <c r="B96" t="str">
        <f ca="1">"Beacon.Put(113,0,1"&amp;TEXT(E電入力!AM97,"00")&amp;");"</f>
        <v>Beacon.Put(113,0,108);</v>
      </c>
      <c r="C96" t="str">
        <f ca="1">"Beacon.Put(113,0,2"&amp;TEXT(E電入力!AN97,"00")&amp;");"</f>
        <v>Beacon.Put(113,0,200);</v>
      </c>
      <c r="D96" t="str">
        <f ca="1">"Beacon.Put(113,0,3"&amp;TEXT(E電入力!AO97,"00")&amp;");"</f>
        <v>Beacon.Put(113,0,300);</v>
      </c>
      <c r="E96" t="str">
        <f ca="1">"Beacon.Put(113,0,4"&amp;TEXT(E電入力!AP97,"00")&amp;");"</f>
        <v>Beacon.Put(113,0,400);</v>
      </c>
      <c r="F96" t="str">
        <f ca="1">"Beacon.Put(113,0,5"&amp;TEXT(E電入力!AQ97,"00")&amp;");"</f>
        <v>Beacon.Put(113,0,501);</v>
      </c>
      <c r="G96" t="str">
        <f ca="1">"Beacon.Put(113,0,6"&amp;TEXT(E電入力!AR97,"00")&amp;");"</f>
        <v>Beacon.Put(113,0,600);</v>
      </c>
    </row>
    <row r="97" spans="1:7">
      <c r="A97" t="str">
        <f>E電入力!C98&amp;"+25;"</f>
        <v>+25;</v>
      </c>
      <c r="B97" t="str">
        <f ca="1">"Beacon.Put(113,0,1"&amp;TEXT(E電入力!AM98,"00")&amp;");"</f>
        <v>Beacon.Put(113,0,108);</v>
      </c>
      <c r="C97" t="str">
        <f ca="1">"Beacon.Put(113,0,2"&amp;TEXT(E電入力!AN98,"00")&amp;");"</f>
        <v>Beacon.Put(113,0,200);</v>
      </c>
      <c r="D97" t="str">
        <f ca="1">"Beacon.Put(113,0,3"&amp;TEXT(E電入力!AO98,"00")&amp;");"</f>
        <v>Beacon.Put(113,0,300);</v>
      </c>
      <c r="E97" t="str">
        <f ca="1">"Beacon.Put(113,0,4"&amp;TEXT(E電入力!AP98,"00")&amp;");"</f>
        <v>Beacon.Put(113,0,400);</v>
      </c>
      <c r="F97" t="str">
        <f ca="1">"Beacon.Put(113,0,5"&amp;TEXT(E電入力!AQ98,"00")&amp;");"</f>
        <v>Beacon.Put(113,0,501);</v>
      </c>
      <c r="G97" t="str">
        <f ca="1">"Beacon.Put(113,0,6"&amp;TEXT(E電入力!AR98,"00")&amp;");"</f>
        <v>Beacon.Put(113,0,600);</v>
      </c>
    </row>
    <row r="98" spans="1:7">
      <c r="A98" t="str">
        <f>E電入力!C99&amp;"+25;"</f>
        <v>+25;</v>
      </c>
      <c r="B98" t="str">
        <f ca="1">"Beacon.Put(113,0,1"&amp;TEXT(E電入力!AM99,"00")&amp;");"</f>
        <v>Beacon.Put(113,0,108);</v>
      </c>
      <c r="C98" t="str">
        <f ca="1">"Beacon.Put(113,0,2"&amp;TEXT(E電入力!AN99,"00")&amp;");"</f>
        <v>Beacon.Put(113,0,200);</v>
      </c>
      <c r="D98" t="str">
        <f ca="1">"Beacon.Put(113,0,3"&amp;TEXT(E電入力!AO99,"00")&amp;");"</f>
        <v>Beacon.Put(113,0,300);</v>
      </c>
      <c r="E98" t="str">
        <f ca="1">"Beacon.Put(113,0,4"&amp;TEXT(E電入力!AP99,"00")&amp;");"</f>
        <v>Beacon.Put(113,0,400);</v>
      </c>
      <c r="F98" t="str">
        <f ca="1">"Beacon.Put(113,0,5"&amp;TEXT(E電入力!AQ99,"00")&amp;");"</f>
        <v>Beacon.Put(113,0,501);</v>
      </c>
      <c r="G98" t="str">
        <f ca="1">"Beacon.Put(113,0,6"&amp;TEXT(E電入力!AR99,"00")&amp;");"</f>
        <v>Beacon.Put(113,0,600);</v>
      </c>
    </row>
    <row r="99" spans="1:7">
      <c r="A99" t="str">
        <f>E電入力!C100&amp;"+25;"</f>
        <v>+25;</v>
      </c>
      <c r="B99" t="str">
        <f ca="1">"Beacon.Put(113,0,1"&amp;TEXT(E電入力!AM100,"00")&amp;");"</f>
        <v>Beacon.Put(113,0,108);</v>
      </c>
      <c r="C99" t="str">
        <f ca="1">"Beacon.Put(113,0,2"&amp;TEXT(E電入力!AN100,"00")&amp;");"</f>
        <v>Beacon.Put(113,0,200);</v>
      </c>
      <c r="D99" t="str">
        <f ca="1">"Beacon.Put(113,0,3"&amp;TEXT(E電入力!AO100,"00")&amp;");"</f>
        <v>Beacon.Put(113,0,300);</v>
      </c>
      <c r="E99" t="str">
        <f ca="1">"Beacon.Put(113,0,4"&amp;TEXT(E電入力!AP100,"00")&amp;");"</f>
        <v>Beacon.Put(113,0,400);</v>
      </c>
      <c r="F99" t="str">
        <f ca="1">"Beacon.Put(113,0,5"&amp;TEXT(E電入力!AQ100,"00")&amp;");"</f>
        <v>Beacon.Put(113,0,501);</v>
      </c>
      <c r="G99" t="str">
        <f ca="1">"Beacon.Put(113,0,6"&amp;TEXT(E電入力!AR100,"00")&amp;");"</f>
        <v>Beacon.Put(113,0,600);</v>
      </c>
    </row>
    <row r="100" spans="1:7">
      <c r="A100" t="str">
        <f>E電入力!C101&amp;"+25;"</f>
        <v>+25;</v>
      </c>
      <c r="B100" t="str">
        <f ca="1">"Beacon.Put(113,0,1"&amp;TEXT(E電入力!AM101,"00")&amp;");"</f>
        <v>Beacon.Put(113,0,108);</v>
      </c>
      <c r="C100" t="str">
        <f ca="1">"Beacon.Put(113,0,2"&amp;TEXT(E電入力!AN101,"00")&amp;");"</f>
        <v>Beacon.Put(113,0,200);</v>
      </c>
      <c r="D100" t="str">
        <f ca="1">"Beacon.Put(113,0,3"&amp;TEXT(E電入力!AO101,"00")&amp;");"</f>
        <v>Beacon.Put(113,0,300);</v>
      </c>
      <c r="E100" t="str">
        <f ca="1">"Beacon.Put(113,0,4"&amp;TEXT(E電入力!AP101,"00")&amp;");"</f>
        <v>Beacon.Put(113,0,400);</v>
      </c>
      <c r="F100" t="str">
        <f ca="1">"Beacon.Put(113,0,5"&amp;TEXT(E電入力!AQ101,"00")&amp;");"</f>
        <v>Beacon.Put(113,0,501);</v>
      </c>
      <c r="G100" t="str">
        <f ca="1">"Beacon.Put(113,0,6"&amp;TEXT(E電入力!AR101,"00")&amp;");"</f>
        <v>Beacon.Put(113,0,600);</v>
      </c>
    </row>
    <row r="101" spans="1:7">
      <c r="A101" t="str">
        <f>E電入力!C102&amp;"+25;"</f>
        <v>+25;</v>
      </c>
      <c r="B101" t="str">
        <f ca="1">"Beacon.Put(113,0,1"&amp;TEXT(E電入力!AM102,"00")&amp;");"</f>
        <v>Beacon.Put(113,0,108);</v>
      </c>
      <c r="C101" t="str">
        <f ca="1">"Beacon.Put(113,0,2"&amp;TEXT(E電入力!AN102,"00")&amp;");"</f>
        <v>Beacon.Put(113,0,200);</v>
      </c>
      <c r="D101" t="str">
        <f ca="1">"Beacon.Put(113,0,3"&amp;TEXT(E電入力!AO102,"00")&amp;");"</f>
        <v>Beacon.Put(113,0,300);</v>
      </c>
      <c r="E101" t="str">
        <f ca="1">"Beacon.Put(113,0,4"&amp;TEXT(E電入力!AP102,"00")&amp;");"</f>
        <v>Beacon.Put(113,0,400);</v>
      </c>
      <c r="F101" t="str">
        <f ca="1">"Beacon.Put(113,0,5"&amp;TEXT(E電入力!AQ102,"00")&amp;");"</f>
        <v>Beacon.Put(113,0,501);</v>
      </c>
      <c r="G101" t="str">
        <f ca="1">"Beacon.Put(113,0,6"&amp;TEXT(E電入力!AR102,"00")&amp;");"</f>
        <v>Beacon.Put(113,0,600);</v>
      </c>
    </row>
    <row r="102" spans="1:7">
      <c r="A102" t="str">
        <f>E電入力!C103&amp;"+25;"</f>
        <v>+25;</v>
      </c>
      <c r="B102" t="str">
        <f ca="1">"Beacon.Put(113,0,1"&amp;TEXT(E電入力!AM103,"00")&amp;");"</f>
        <v>Beacon.Put(113,0,108);</v>
      </c>
      <c r="C102" t="str">
        <f ca="1">"Beacon.Put(113,0,2"&amp;TEXT(E電入力!AN103,"00")&amp;");"</f>
        <v>Beacon.Put(113,0,200);</v>
      </c>
      <c r="D102" t="str">
        <f ca="1">"Beacon.Put(113,0,3"&amp;TEXT(E電入力!AO103,"00")&amp;");"</f>
        <v>Beacon.Put(113,0,300);</v>
      </c>
      <c r="E102" t="str">
        <f ca="1">"Beacon.Put(113,0,4"&amp;TEXT(E電入力!AP103,"00")&amp;");"</f>
        <v>Beacon.Put(113,0,400);</v>
      </c>
      <c r="F102" t="str">
        <f ca="1">"Beacon.Put(113,0,5"&amp;TEXT(E電入力!AQ103,"00")&amp;");"</f>
        <v>Beacon.Put(113,0,501);</v>
      </c>
      <c r="G102" t="str">
        <f ca="1">"Beacon.Put(113,0,6"&amp;TEXT(E電入力!AR103,"00")&amp;");"</f>
        <v>Beacon.Put(113,0,600);</v>
      </c>
    </row>
  </sheetData>
  <pageMargins left="0.7" right="0.7" top="0.75" bottom="0.75" header="0.3" footer="0.3"/>
  <pageSetup paperSize="9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4D5AA2-0F2E-4404-9569-3C9BE919C423}">
  <dimension ref="A1:E102"/>
  <sheetViews>
    <sheetView workbookViewId="0"/>
  </sheetViews>
  <sheetFormatPr defaultRowHeight="14.4"/>
  <cols>
    <col min="1" max="1" width="14.21875" style="2" bestFit="1" customWidth="1"/>
    <col min="2" max="2" width="20.21875" style="2" bestFit="1" customWidth="1"/>
    <col min="3" max="3" width="19.109375" style="2" bestFit="1" customWidth="1"/>
    <col min="4" max="4" width="24.88671875" style="2" bestFit="1" customWidth="1"/>
    <col min="5" max="5" width="22.88671875" style="2" bestFit="1" customWidth="1"/>
    <col min="6" max="6" width="23" style="2" bestFit="1" customWidth="1"/>
    <col min="7" max="16384" width="8.88671875" style="2"/>
  </cols>
  <sheetData>
    <row r="1" spans="1:5">
      <c r="A1" s="2" t="s">
        <v>60</v>
      </c>
    </row>
    <row r="2" spans="1:5">
      <c r="A2" s="2" t="s">
        <v>74</v>
      </c>
    </row>
    <row r="3" spans="1:5">
      <c r="A3" s="2" t="str">
        <f>E電入力!C4&amp;";"</f>
        <v>168950;</v>
      </c>
      <c r="E3" s="2" t="str">
        <f>"Beacon.Put(106,0,"&amp;E電入力!AJ4&amp;");"</f>
        <v>Beacon.Put(106,0,058057);</v>
      </c>
    </row>
    <row r="4" spans="1:5">
      <c r="A4" s="2" t="str">
        <f>E電入力!C5&amp;";"</f>
        <v>172525;</v>
      </c>
      <c r="B4" s="2" t="str">
        <f>"$dis=distance;$dis-500;"</f>
        <v>$dis=distance;$dis-500;</v>
      </c>
      <c r="C4" s="2" t="str">
        <f>"Beacon.Put(30,0,"&amp;E電入力!AK4&amp;");"</f>
        <v>Beacon.Put(30,0,500);</v>
      </c>
      <c r="D4" s="2" t="str">
        <f ca="1">"Beacon.Put(105,0,"&amp;E電入力!AL4&amp;");"</f>
        <v>Beacon.Put(105,0,489);</v>
      </c>
      <c r="E4" s="2" t="str">
        <f>"Beacon.Put(106,0,"&amp;E電入力!AJ5&amp;");"</f>
        <v>Beacon.Put(106,0,057056);</v>
      </c>
    </row>
    <row r="5" spans="1:5">
      <c r="A5" s="2" t="str">
        <f>E電入力!C6&amp;";"</f>
        <v>175225;</v>
      </c>
      <c r="B5" s="2" t="str">
        <f t="shared" ref="B5:B68" si="0">"$dis=distance;$dis-500;"</f>
        <v>$dis=distance;$dis-500;</v>
      </c>
      <c r="C5" s="2" t="str">
        <f>"Beacon.Put(30,0,"&amp;E電入力!AK5&amp;");"</f>
        <v>Beacon.Put(30,0,500);</v>
      </c>
      <c r="D5" s="2" t="str">
        <f ca="1">"Beacon.Put(105,0,"&amp;E電入力!AL5&amp;");"</f>
        <v>Beacon.Put(105,0,489);</v>
      </c>
      <c r="E5" s="2" t="str">
        <f>"Beacon.Put(106,0,"&amp;E電入力!AJ6&amp;");"</f>
        <v>Beacon.Put(106,0,056055);</v>
      </c>
    </row>
    <row r="6" spans="1:5">
      <c r="A6" s="2" t="str">
        <f>E電入力!C7&amp;";"</f>
        <v>179525;</v>
      </c>
      <c r="B6" s="2" t="str">
        <f t="shared" si="0"/>
        <v>$dis=distance;$dis-500;</v>
      </c>
      <c r="C6" s="2" t="str">
        <f>"Beacon.Put(30,0,"&amp;E電入力!AK6&amp;");"</f>
        <v>Beacon.Put(30,0,500);</v>
      </c>
      <c r="D6" s="2" t="str">
        <f ca="1">"Beacon.Put(105,0,"&amp;E電入力!AL6&amp;");"</f>
        <v>Beacon.Put(105,0,489);</v>
      </c>
      <c r="E6" s="2" t="str">
        <f>"Beacon.Put(106,0,"&amp;E電入力!AJ7&amp;");"</f>
        <v>Beacon.Put(106,0,055054);</v>
      </c>
    </row>
    <row r="7" spans="1:5">
      <c r="A7" s="2" t="str">
        <f>E電入力!C8&amp;";"</f>
        <v>181975;</v>
      </c>
      <c r="B7" s="2" t="str">
        <f t="shared" si="0"/>
        <v>$dis=distance;$dis-500;</v>
      </c>
      <c r="C7" s="2" t="str">
        <f>"Beacon.Put(30,0,"&amp;E電入力!AK7&amp;");"</f>
        <v>Beacon.Put(30,0,500);</v>
      </c>
      <c r="D7" s="2" t="str">
        <f ca="1">"Beacon.Put(105,0,"&amp;E電入力!AL7&amp;");"</f>
        <v>Beacon.Put(105,0,489);</v>
      </c>
      <c r="E7" s="2" t="str">
        <f>"Beacon.Put(106,0,"&amp;E電入力!AJ8&amp;");"</f>
        <v>Beacon.Put(106,0,054053);</v>
      </c>
    </row>
    <row r="8" spans="1:5">
      <c r="A8" s="2" t="str">
        <f>E電入力!C9&amp;";"</f>
        <v>185325;</v>
      </c>
      <c r="B8" s="2" t="str">
        <f t="shared" si="0"/>
        <v>$dis=distance;$dis-500;</v>
      </c>
      <c r="C8" s="2" t="str">
        <f>"Beacon.Put(30,0,"&amp;E電入力!AK8&amp;");"</f>
        <v>Beacon.Put(30,0,500);</v>
      </c>
      <c r="D8" s="2" t="str">
        <f ca="1">"Beacon.Put(105,0,"&amp;E電入力!AL8&amp;");"</f>
        <v>Beacon.Put(105,0,489);</v>
      </c>
      <c r="E8" s="2" t="str">
        <f>"Beacon.Put(106,0,"&amp;E電入力!AJ9&amp;");"</f>
        <v>Beacon.Put(106,0,053050);</v>
      </c>
    </row>
    <row r="9" spans="1:5">
      <c r="A9" s="2" t="str">
        <f>E電入力!C10&amp;";"</f>
        <v>188425;</v>
      </c>
      <c r="B9" s="2" t="str">
        <f t="shared" si="0"/>
        <v>$dis=distance;$dis-500;</v>
      </c>
      <c r="C9" s="2" t="str">
        <f>"Beacon.Put(30,0,"&amp;E電入力!AK9&amp;");"</f>
        <v>Beacon.Put(30,0,500);</v>
      </c>
      <c r="D9" s="2" t="str">
        <f ca="1">"Beacon.Put(105,0,"&amp;E電入力!AL9&amp;");"</f>
        <v>Beacon.Put(105,0,489);</v>
      </c>
      <c r="E9" s="2" t="str">
        <f>"Beacon.Put(106,0,"&amp;E電入力!AJ10&amp;");"</f>
        <v>Beacon.Put(106,0,052050);</v>
      </c>
    </row>
    <row r="10" spans="1:5">
      <c r="A10" s="2" t="str">
        <f>E電入力!C11&amp;";"</f>
        <v>190150;</v>
      </c>
      <c r="B10" s="2" t="str">
        <f t="shared" si="0"/>
        <v>$dis=distance;$dis-500;</v>
      </c>
      <c r="C10" s="2" t="str">
        <f>"Beacon.Put(30,0,"&amp;E電入力!AK10&amp;");"</f>
        <v>Beacon.Put(30,0,-1);</v>
      </c>
      <c r="D10" s="2" t="str">
        <f ca="1">"Beacon.Put(105,0,"&amp;E電入力!AL10&amp;");"</f>
        <v>Beacon.Put(105,0,-489);</v>
      </c>
      <c r="E10" s="2" t="str">
        <f>"Beacon.Put(106,0,"&amp;E電入力!AJ11&amp;");"</f>
        <v>Beacon.Put(106,0,051050);</v>
      </c>
    </row>
    <row r="11" spans="1:5">
      <c r="A11" s="2" t="str">
        <f>E電入力!C12&amp;";"</f>
        <v>191625;</v>
      </c>
      <c r="B11" s="2" t="str">
        <f t="shared" si="0"/>
        <v>$dis=distance;$dis-500;</v>
      </c>
      <c r="C11" s="2" t="str">
        <f>"Beacon.Put(30,0,"&amp;E電入力!AK11&amp;");"</f>
        <v>Beacon.Put(30,0,-1);</v>
      </c>
      <c r="D11" s="2" t="str">
        <f ca="1">"Beacon.Put(105,0,"&amp;E電入力!AL11&amp;");"</f>
        <v>Beacon.Put(105,0,-489);</v>
      </c>
      <c r="E11" s="2" t="str">
        <f>"Beacon.Put(106,0,"&amp;E電入力!AJ12&amp;");"</f>
        <v>Beacon.Put(106,0,050046);</v>
      </c>
    </row>
    <row r="12" spans="1:5">
      <c r="A12" s="2" t="str">
        <f>E電入力!C13&amp;";"</f>
        <v>193900;</v>
      </c>
      <c r="B12" s="2" t="str">
        <f t="shared" si="0"/>
        <v>$dis=distance;$dis-500;</v>
      </c>
      <c r="C12" s="2" t="str">
        <f>"Beacon.Put(30,0,"&amp;E電入力!AK12&amp;");"</f>
        <v>Beacon.Put(30,0,500);</v>
      </c>
      <c r="D12" s="2" t="str">
        <f ca="1">"Beacon.Put(105,0,"&amp;E電入力!AL12&amp;");"</f>
        <v>Beacon.Put(105,0,489);</v>
      </c>
      <c r="E12" s="2" t="str">
        <f>"Beacon.Put(106,0,"&amp;E電入力!AJ13&amp;");"</f>
        <v>Beacon.Put(106,0,049046);</v>
      </c>
    </row>
    <row r="13" spans="1:5">
      <c r="A13" s="2" t="str">
        <f>E電入力!C14&amp;";"</f>
        <v>195600;</v>
      </c>
      <c r="B13" s="2" t="str">
        <f t="shared" si="0"/>
        <v>$dis=distance;$dis-500;</v>
      </c>
      <c r="C13" s="2" t="str">
        <f>"Beacon.Put(30,0,"&amp;E電入力!AK13&amp;");"</f>
        <v>Beacon.Put(30,0,-1);</v>
      </c>
      <c r="D13" s="2" t="str">
        <f ca="1">"Beacon.Put(105,0,"&amp;E電入力!AL13&amp;");"</f>
        <v>Beacon.Put(105,0,-489);</v>
      </c>
      <c r="E13" s="2" t="str">
        <f>"Beacon.Put(106,0,"&amp;E電入力!AJ14&amp;");"</f>
        <v>Beacon.Put(106,0,048046);</v>
      </c>
    </row>
    <row r="14" spans="1:5">
      <c r="A14" s="2" t="str">
        <f>E電入力!C15&amp;";"</f>
        <v>197325;</v>
      </c>
      <c r="B14" s="2" t="str">
        <f t="shared" si="0"/>
        <v>$dis=distance;$dis-500;</v>
      </c>
      <c r="C14" s="2" t="str">
        <f>"Beacon.Put(30,0,"&amp;E電入力!AK14&amp;");"</f>
        <v>Beacon.Put(30,0,-1);</v>
      </c>
      <c r="D14" s="2" t="str">
        <f ca="1">"Beacon.Put(105,0,"&amp;E電入力!AL14&amp;");"</f>
        <v>Beacon.Put(105,0,-489);</v>
      </c>
      <c r="E14" s="2" t="str">
        <f>"Beacon.Put(106,0,"&amp;E電入力!AJ15&amp;");"</f>
        <v>Beacon.Put(106,0,047046);</v>
      </c>
    </row>
    <row r="15" spans="1:5">
      <c r="A15" s="2" t="str">
        <f>E電入力!C16&amp;";"</f>
        <v>198925;</v>
      </c>
      <c r="B15" s="2" t="str">
        <f t="shared" si="0"/>
        <v>$dis=distance;$dis-500;</v>
      </c>
      <c r="C15" s="2" t="str">
        <f>"Beacon.Put(30,0,"&amp;E電入力!AK15&amp;");"</f>
        <v>Beacon.Put(30,0,-1);</v>
      </c>
      <c r="D15" s="2" t="str">
        <f ca="1">"Beacon.Put(105,0,"&amp;E電入力!AL15&amp;");"</f>
        <v>Beacon.Put(105,0,-489);</v>
      </c>
      <c r="E15" s="2" t="str">
        <f>"Beacon.Put(106,0,"&amp;E電入力!AJ16&amp;");"</f>
        <v>Beacon.Put(106,0,046040);</v>
      </c>
    </row>
    <row r="16" spans="1:5">
      <c r="A16" s="2" t="str">
        <f>E電入力!C17&amp;";"</f>
        <v>200475;</v>
      </c>
      <c r="B16" s="2" t="str">
        <f t="shared" si="0"/>
        <v>$dis=distance;$dis-500;</v>
      </c>
      <c r="C16" s="2" t="str">
        <f>"Beacon.Put(30,0,"&amp;E電入力!AK16&amp;");"</f>
        <v>Beacon.Put(30,0,500);</v>
      </c>
      <c r="D16" s="2" t="str">
        <f ca="1">"Beacon.Put(105,0,"&amp;E電入力!AL16&amp;");"</f>
        <v>Beacon.Put(105,0,489);</v>
      </c>
      <c r="E16" s="2" t="str">
        <f>"Beacon.Put(106,0,"&amp;E電入力!AJ17&amp;");"</f>
        <v>Beacon.Put(106,0,045040);</v>
      </c>
    </row>
    <row r="17" spans="1:5">
      <c r="A17" s="2" t="str">
        <f>E電入力!C18&amp;";"</f>
        <v>202075;</v>
      </c>
      <c r="B17" s="2" t="str">
        <f t="shared" si="0"/>
        <v>$dis=distance;$dis-500;</v>
      </c>
      <c r="C17" s="2" t="str">
        <f>"Beacon.Put(30,0,"&amp;E電入力!AK17&amp;");"</f>
        <v>Beacon.Put(30,0,-1);</v>
      </c>
      <c r="D17" s="2" t="str">
        <f ca="1">"Beacon.Put(105,0,"&amp;E電入力!AL17&amp;");"</f>
        <v>Beacon.Put(105,0,-489);</v>
      </c>
      <c r="E17" s="2" t="str">
        <f>"Beacon.Put(106,0,"&amp;E電入力!AJ18&amp;");"</f>
        <v>Beacon.Put(106,0,044040);</v>
      </c>
    </row>
    <row r="18" spans="1:5">
      <c r="A18" s="2" t="str">
        <f>E電入力!C19&amp;";"</f>
        <v>203845;</v>
      </c>
      <c r="B18" s="2" t="str">
        <f t="shared" si="0"/>
        <v>$dis=distance;$dis-500;</v>
      </c>
      <c r="C18" s="2" t="str">
        <f>"Beacon.Put(30,0,"&amp;E電入力!AK18&amp;");"</f>
        <v>Beacon.Put(30,0,-1);</v>
      </c>
      <c r="D18" s="2" t="str">
        <f ca="1">"Beacon.Put(105,0,"&amp;E電入力!AL18&amp;");"</f>
        <v>Beacon.Put(105,0,-489);</v>
      </c>
      <c r="E18" s="2" t="str">
        <f>"Beacon.Put(106,0,"&amp;E電入力!AJ19&amp;");"</f>
        <v>Beacon.Put(106,0,043040);</v>
      </c>
    </row>
    <row r="19" spans="1:5">
      <c r="A19" s="2" t="str">
        <f>E電入力!C20&amp;";"</f>
        <v>205325;</v>
      </c>
      <c r="B19" s="2" t="str">
        <f t="shared" si="0"/>
        <v>$dis=distance;$dis-500;</v>
      </c>
      <c r="C19" s="2" t="str">
        <f>"Beacon.Put(30,0,"&amp;E電入力!AK19&amp;");"</f>
        <v>Beacon.Put(30,0,-1);</v>
      </c>
      <c r="D19" s="2" t="str">
        <f ca="1">"Beacon.Put(105,0,"&amp;E電入力!AL19&amp;");"</f>
        <v>Beacon.Put(105,0,-489);</v>
      </c>
      <c r="E19" s="2" t="str">
        <f>"Beacon.Put(106,0,"&amp;E電入力!AJ20&amp;");"</f>
        <v>Beacon.Put(106,0,042040);</v>
      </c>
    </row>
    <row r="20" spans="1:5">
      <c r="A20" s="2" t="str">
        <f>E電入力!C21&amp;";"</f>
        <v>206725;</v>
      </c>
      <c r="B20" s="2" t="str">
        <f t="shared" si="0"/>
        <v>$dis=distance;$dis-500;</v>
      </c>
      <c r="C20" s="2" t="str">
        <f>"Beacon.Put(30,0,"&amp;E電入力!AK20&amp;");"</f>
        <v>Beacon.Put(30,0,-1);</v>
      </c>
      <c r="D20" s="2" t="str">
        <f ca="1">"Beacon.Put(105,0,"&amp;E電入力!AL20&amp;");"</f>
        <v>Beacon.Put(105,0,-489);</v>
      </c>
      <c r="E20" s="2" t="str">
        <f>"Beacon.Put(106,0,"&amp;E電入力!AJ21&amp;");"</f>
        <v>Beacon.Put(106,0,041040);</v>
      </c>
    </row>
    <row r="21" spans="1:5">
      <c r="A21" s="2" t="str">
        <f>E電入力!C22&amp;";"</f>
        <v>208225;</v>
      </c>
      <c r="B21" s="2" t="str">
        <f t="shared" si="0"/>
        <v>$dis=distance;$dis-500;</v>
      </c>
      <c r="C21" s="2" t="str">
        <f>"Beacon.Put(30,0,"&amp;E電入力!AK21&amp;");"</f>
        <v>Beacon.Put(30,0,-1);</v>
      </c>
      <c r="D21" s="2" t="str">
        <f ca="1">"Beacon.Put(105,0,"&amp;E電入力!AL21&amp;");"</f>
        <v>Beacon.Put(105,0,-489);</v>
      </c>
      <c r="E21" s="2" t="str">
        <f>"Beacon.Put(106,0,"&amp;E電入力!AJ22&amp;");"</f>
        <v>Beacon.Put(106,0,040039);</v>
      </c>
    </row>
    <row r="22" spans="1:5">
      <c r="A22" s="2" t="str">
        <f>E電入力!C23&amp;";"</f>
        <v>212675;</v>
      </c>
      <c r="B22" s="2" t="str">
        <f t="shared" si="0"/>
        <v>$dis=distance;$dis-500;</v>
      </c>
      <c r="C22" s="2" t="str">
        <f>"Beacon.Put(30,0,"&amp;E電入力!AK22&amp;");"</f>
        <v>Beacon.Put(30,0,500);</v>
      </c>
      <c r="D22" s="2" t="str">
        <f ca="1">"Beacon.Put(105,0,"&amp;E電入力!AL22&amp;");"</f>
        <v>Beacon.Put(105,0,489);</v>
      </c>
      <c r="E22" s="2" t="str">
        <f>"Beacon.Put(106,0,"&amp;E電入力!AJ23&amp;");"</f>
        <v>Beacon.Put(106,0,039038);</v>
      </c>
    </row>
    <row r="23" spans="1:5">
      <c r="A23" s="2" t="str">
        <f>E電入力!C24&amp;";"</f>
        <v>216375;</v>
      </c>
      <c r="B23" s="2" t="str">
        <f t="shared" si="0"/>
        <v>$dis=distance;$dis-500;</v>
      </c>
      <c r="C23" s="2" t="str">
        <f>"Beacon.Put(30,0,"&amp;E電入力!AK23&amp;");"</f>
        <v>Beacon.Put(30,0,500);</v>
      </c>
      <c r="D23" s="2" t="str">
        <f ca="1">"Beacon.Put(105,0,"&amp;E電入力!AL23&amp;");"</f>
        <v>Beacon.Put(105,0,1000489);</v>
      </c>
      <c r="E23" s="2" t="str">
        <f>"Beacon.Put(106,0,"&amp;E電入力!AJ24&amp;");"</f>
        <v>Beacon.Put(106,0,038037);</v>
      </c>
    </row>
    <row r="24" spans="1:5">
      <c r="A24" s="2" t="str">
        <f>E電入力!C25&amp;";"</f>
        <v>220540;</v>
      </c>
      <c r="B24" s="2" t="str">
        <f t="shared" si="0"/>
        <v>$dis=distance;$dis-500;</v>
      </c>
      <c r="C24" s="2" t="str">
        <f>"Beacon.Put(30,0,"&amp;E電入力!AK24&amp;");"</f>
        <v>Beacon.Put(30,0,500);</v>
      </c>
      <c r="D24" s="2" t="str">
        <f ca="1">"Beacon.Put(105,0,"&amp;E電入力!AL24&amp;");"</f>
        <v>Beacon.Put(105,0,1000489);</v>
      </c>
      <c r="E24" s="2" t="str">
        <f>"Beacon.Put(106,0,"&amp;E電入力!AJ25&amp;");"</f>
        <v>Beacon.Put(106,0,037036);</v>
      </c>
    </row>
    <row r="25" spans="1:5">
      <c r="A25" s="2" t="str">
        <f>E電入力!C26&amp;";"</f>
        <v>221770;</v>
      </c>
      <c r="B25" s="2" t="str">
        <f t="shared" si="0"/>
        <v>$dis=distance;$dis-500;</v>
      </c>
      <c r="C25" s="2" t="str">
        <f>"Beacon.Put(30,0,"&amp;E電入力!AK25&amp;");"</f>
        <v>Beacon.Put(30,0,500);</v>
      </c>
      <c r="D25" s="2" t="str">
        <f ca="1">"Beacon.Put(105,0,"&amp;E電入力!AL25&amp;");"</f>
        <v>Beacon.Put(105,0,1000489);</v>
      </c>
      <c r="E25" s="2" t="str">
        <f>"Beacon.Put(106,0,"&amp;E電入力!AJ26&amp;");"</f>
        <v>Beacon.Put(106,0,036035);</v>
      </c>
    </row>
    <row r="26" spans="1:5">
      <c r="A26" s="2" t="str">
        <f>E電入力!C27&amp;";"</f>
        <v>223075;</v>
      </c>
      <c r="B26" s="2" t="str">
        <f t="shared" si="0"/>
        <v>$dis=distance;$dis-500;</v>
      </c>
      <c r="C26" s="2" t="str">
        <f>"Beacon.Put(30,0,"&amp;E電入力!AK26&amp;");"</f>
        <v>Beacon.Put(30,0,500);</v>
      </c>
      <c r="D26" s="2" t="str">
        <f ca="1">"Beacon.Put(105,0,"&amp;E電入力!AL26&amp;");"</f>
        <v>Beacon.Put(105,0,1000489);</v>
      </c>
      <c r="E26" s="2" t="str">
        <f>"Beacon.Put(106,0,"&amp;E電入力!AJ27&amp;");"</f>
        <v>Beacon.Put(106,0,035000);</v>
      </c>
    </row>
    <row r="27" spans="1:5">
      <c r="A27" s="2" t="str">
        <f>E電入力!C28&amp;";"</f>
        <v>;</v>
      </c>
      <c r="B27" s="2" t="str">
        <f t="shared" si="0"/>
        <v>$dis=distance;$dis-500;</v>
      </c>
      <c r="C27" s="2" t="str">
        <f>"Beacon.Put(30,0,"&amp;E電入力!AK27&amp;");"</f>
        <v>Beacon.Put(30,0,500);</v>
      </c>
      <c r="D27" s="2" t="str">
        <f ca="1">"Beacon.Put(105,0,"&amp;E電入力!AL27&amp;");"</f>
        <v>Beacon.Put(105,0,1000489);</v>
      </c>
      <c r="E27" s="2" t="str">
        <f>"Beacon.Put(106,0,"&amp;E電入力!AJ28&amp;");"</f>
        <v>Beacon.Put(106,0,000000);</v>
      </c>
    </row>
    <row r="28" spans="1:5">
      <c r="A28" s="2" t="str">
        <f>E電入力!C29&amp;";"</f>
        <v>;</v>
      </c>
      <c r="B28" s="2" t="str">
        <f t="shared" si="0"/>
        <v>$dis=distance;$dis-500;</v>
      </c>
      <c r="C28" s="2" t="str">
        <f>"Beacon.Put(30,0,"&amp;E電入力!AK28&amp;");"</f>
        <v>Beacon.Put(30,0,500);</v>
      </c>
      <c r="D28" s="2" t="str">
        <f ca="1">"Beacon.Put(105,0,"&amp;E電入力!AL28&amp;");"</f>
        <v>Beacon.Put(105,0,1000489);</v>
      </c>
      <c r="E28" s="2" t="str">
        <f>"Beacon.Put(106,0,"&amp;E電入力!AJ29&amp;");"</f>
        <v>Beacon.Put(106,0,000000);</v>
      </c>
    </row>
    <row r="29" spans="1:5">
      <c r="A29" s="2" t="str">
        <f>E電入力!C30&amp;";"</f>
        <v>;</v>
      </c>
      <c r="B29" s="2" t="str">
        <f t="shared" si="0"/>
        <v>$dis=distance;$dis-500;</v>
      </c>
      <c r="C29" s="2" t="str">
        <f>"Beacon.Put(30,0,"&amp;E電入力!AK29&amp;");"</f>
        <v>Beacon.Put(30,0,500);</v>
      </c>
      <c r="D29" s="2" t="str">
        <f ca="1">"Beacon.Put(105,0,"&amp;E電入力!AL29&amp;");"</f>
        <v>Beacon.Put(105,0,1000489);</v>
      </c>
      <c r="E29" s="2" t="str">
        <f>"Beacon.Put(106,0,"&amp;E電入力!AJ30&amp;");"</f>
        <v>Beacon.Put(106,0,000000);</v>
      </c>
    </row>
    <row r="30" spans="1:5">
      <c r="A30" s="2" t="str">
        <f>E電入力!C31&amp;";"</f>
        <v>;</v>
      </c>
      <c r="B30" s="2" t="str">
        <f t="shared" si="0"/>
        <v>$dis=distance;$dis-500;</v>
      </c>
      <c r="C30" s="2" t="str">
        <f>"Beacon.Put(30,0,"&amp;E電入力!AK30&amp;");"</f>
        <v>Beacon.Put(30,0,500);</v>
      </c>
      <c r="D30" s="2" t="str">
        <f ca="1">"Beacon.Put(105,0,"&amp;E電入力!AL30&amp;");"</f>
        <v>Beacon.Put(105,0,1000489);</v>
      </c>
      <c r="E30" s="2" t="str">
        <f>"Beacon.Put(106,0,"&amp;E電入力!AJ31&amp;");"</f>
        <v>Beacon.Put(106,0,000000);</v>
      </c>
    </row>
    <row r="31" spans="1:5">
      <c r="A31" s="2" t="str">
        <f>E電入力!C32&amp;";"</f>
        <v>;</v>
      </c>
      <c r="B31" s="2" t="str">
        <f t="shared" si="0"/>
        <v>$dis=distance;$dis-500;</v>
      </c>
      <c r="C31" s="2" t="str">
        <f>"Beacon.Put(30,0,"&amp;E電入力!AK31&amp;");"</f>
        <v>Beacon.Put(30,0,500);</v>
      </c>
      <c r="D31" s="2" t="str">
        <f ca="1">"Beacon.Put(105,0,"&amp;E電入力!AL31&amp;");"</f>
        <v>Beacon.Put(105,0,1000489);</v>
      </c>
      <c r="E31" s="2" t="str">
        <f>"Beacon.Put(106,0,"&amp;E電入力!AJ32&amp;");"</f>
        <v>Beacon.Put(106,0,000000);</v>
      </c>
    </row>
    <row r="32" spans="1:5">
      <c r="A32" s="2" t="str">
        <f>E電入力!C33&amp;";"</f>
        <v>;</v>
      </c>
      <c r="B32" s="2" t="str">
        <f t="shared" si="0"/>
        <v>$dis=distance;$dis-500;</v>
      </c>
      <c r="C32" s="2" t="str">
        <f>"Beacon.Put(30,0,"&amp;E電入力!AK32&amp;");"</f>
        <v>Beacon.Put(30,0,500);</v>
      </c>
      <c r="D32" s="2" t="str">
        <f ca="1">"Beacon.Put(105,0,"&amp;E電入力!AL32&amp;");"</f>
        <v>Beacon.Put(105,0,1000489);</v>
      </c>
      <c r="E32" s="2" t="str">
        <f>"Beacon.Put(106,0,"&amp;E電入力!AJ33&amp;");"</f>
        <v>Beacon.Put(106,0,000000);</v>
      </c>
    </row>
    <row r="33" spans="1:5">
      <c r="A33" s="2" t="str">
        <f>E電入力!C34&amp;";"</f>
        <v>;</v>
      </c>
      <c r="B33" s="2" t="str">
        <f t="shared" si="0"/>
        <v>$dis=distance;$dis-500;</v>
      </c>
      <c r="C33" s="2" t="str">
        <f>"Beacon.Put(30,0,"&amp;E電入力!AK33&amp;");"</f>
        <v>Beacon.Put(30,0,500);</v>
      </c>
      <c r="D33" s="2" t="str">
        <f ca="1">"Beacon.Put(105,0,"&amp;E電入力!AL33&amp;");"</f>
        <v>Beacon.Put(105,0,1000489);</v>
      </c>
      <c r="E33" s="2" t="str">
        <f>"Beacon.Put(106,0,"&amp;E電入力!AJ34&amp;");"</f>
        <v>Beacon.Put(106,0,000000);</v>
      </c>
    </row>
    <row r="34" spans="1:5">
      <c r="A34" s="2" t="str">
        <f>E電入力!C35&amp;";"</f>
        <v>;</v>
      </c>
      <c r="B34" s="2" t="str">
        <f t="shared" si="0"/>
        <v>$dis=distance;$dis-500;</v>
      </c>
      <c r="C34" s="2" t="str">
        <f>"Beacon.Put(30,0,"&amp;E電入力!AK34&amp;");"</f>
        <v>Beacon.Put(30,0,500);</v>
      </c>
      <c r="D34" s="2" t="str">
        <f ca="1">"Beacon.Put(105,0,"&amp;E電入力!AL34&amp;");"</f>
        <v>Beacon.Put(105,0,1000489);</v>
      </c>
      <c r="E34" s="2" t="str">
        <f>"Beacon.Put(106,0,"&amp;E電入力!AJ35&amp;");"</f>
        <v>Beacon.Put(106,0,000000);</v>
      </c>
    </row>
    <row r="35" spans="1:5">
      <c r="A35" s="2" t="str">
        <f>E電入力!C36&amp;";"</f>
        <v>;</v>
      </c>
      <c r="B35" s="2" t="str">
        <f t="shared" si="0"/>
        <v>$dis=distance;$dis-500;</v>
      </c>
      <c r="C35" s="2" t="str">
        <f>"Beacon.Put(30,0,"&amp;E電入力!AK35&amp;");"</f>
        <v>Beacon.Put(30,0,500);</v>
      </c>
      <c r="D35" s="2" t="str">
        <f ca="1">"Beacon.Put(105,0,"&amp;E電入力!AL35&amp;");"</f>
        <v>Beacon.Put(105,0,1000489);</v>
      </c>
      <c r="E35" s="2" t="str">
        <f>"Beacon.Put(106,0,"&amp;E電入力!AJ36&amp;");"</f>
        <v>Beacon.Put(106,0,000000);</v>
      </c>
    </row>
    <row r="36" spans="1:5">
      <c r="A36" s="2" t="str">
        <f>E電入力!C37&amp;";"</f>
        <v>;</v>
      </c>
      <c r="B36" s="2" t="str">
        <f t="shared" si="0"/>
        <v>$dis=distance;$dis-500;</v>
      </c>
      <c r="C36" s="2" t="str">
        <f>"Beacon.Put(30,0,"&amp;E電入力!AK36&amp;");"</f>
        <v>Beacon.Put(30,0,500);</v>
      </c>
      <c r="D36" s="2" t="str">
        <f ca="1">"Beacon.Put(105,0,"&amp;E電入力!AL36&amp;");"</f>
        <v>Beacon.Put(105,0,1000489);</v>
      </c>
      <c r="E36" s="2" t="str">
        <f>"Beacon.Put(106,0,"&amp;E電入力!AJ37&amp;");"</f>
        <v>Beacon.Put(106,0,000000);</v>
      </c>
    </row>
    <row r="37" spans="1:5">
      <c r="A37" s="2" t="str">
        <f>E電入力!C38&amp;";"</f>
        <v>;</v>
      </c>
      <c r="B37" s="2" t="str">
        <f t="shared" si="0"/>
        <v>$dis=distance;$dis-500;</v>
      </c>
      <c r="C37" s="2" t="str">
        <f>"Beacon.Put(30,0,"&amp;E電入力!AK37&amp;");"</f>
        <v>Beacon.Put(30,0,500);</v>
      </c>
      <c r="D37" s="2" t="str">
        <f ca="1">"Beacon.Put(105,0,"&amp;E電入力!AL37&amp;");"</f>
        <v>Beacon.Put(105,0,1000489);</v>
      </c>
      <c r="E37" s="2" t="str">
        <f>"Beacon.Put(106,0,"&amp;E電入力!AJ38&amp;");"</f>
        <v>Beacon.Put(106,0,000000);</v>
      </c>
    </row>
    <row r="38" spans="1:5">
      <c r="A38" s="2" t="str">
        <f>E電入力!C39&amp;";"</f>
        <v>;</v>
      </c>
      <c r="B38" s="2" t="str">
        <f t="shared" si="0"/>
        <v>$dis=distance;$dis-500;</v>
      </c>
      <c r="C38" s="2" t="str">
        <f>"Beacon.Put(30,0,"&amp;E電入力!AK38&amp;");"</f>
        <v>Beacon.Put(30,0,500);</v>
      </c>
      <c r="D38" s="2" t="str">
        <f ca="1">"Beacon.Put(105,0,"&amp;E電入力!AL38&amp;");"</f>
        <v>Beacon.Put(105,0,1000489);</v>
      </c>
      <c r="E38" s="2" t="str">
        <f>"Beacon.Put(106,0,"&amp;E電入力!AJ39&amp;");"</f>
        <v>Beacon.Put(106,0,000000);</v>
      </c>
    </row>
    <row r="39" spans="1:5">
      <c r="A39" s="2" t="str">
        <f>E電入力!C40&amp;";"</f>
        <v>;</v>
      </c>
      <c r="B39" s="2" t="str">
        <f t="shared" si="0"/>
        <v>$dis=distance;$dis-500;</v>
      </c>
      <c r="C39" s="2" t="str">
        <f>"Beacon.Put(30,0,"&amp;E電入力!AK39&amp;");"</f>
        <v>Beacon.Put(30,0,500);</v>
      </c>
      <c r="D39" s="2" t="str">
        <f ca="1">"Beacon.Put(105,0,"&amp;E電入力!AL39&amp;");"</f>
        <v>Beacon.Put(105,0,1000489);</v>
      </c>
      <c r="E39" s="2" t="str">
        <f>"Beacon.Put(106,0,"&amp;E電入力!AJ40&amp;");"</f>
        <v>Beacon.Put(106,0,000000);</v>
      </c>
    </row>
    <row r="40" spans="1:5">
      <c r="A40" s="2" t="str">
        <f>E電入力!C41&amp;";"</f>
        <v>;</v>
      </c>
      <c r="B40" s="2" t="str">
        <f t="shared" si="0"/>
        <v>$dis=distance;$dis-500;</v>
      </c>
      <c r="C40" s="2" t="str">
        <f>"Beacon.Put(30,0,"&amp;E電入力!AK40&amp;");"</f>
        <v>Beacon.Put(30,0,500);</v>
      </c>
      <c r="D40" s="2" t="str">
        <f ca="1">"Beacon.Put(105,0,"&amp;E電入力!AL40&amp;");"</f>
        <v>Beacon.Put(105,0,1000489);</v>
      </c>
      <c r="E40" s="2" t="str">
        <f>"Beacon.Put(106,0,"&amp;E電入力!AJ41&amp;");"</f>
        <v>Beacon.Put(106,0,000000);</v>
      </c>
    </row>
    <row r="41" spans="1:5">
      <c r="A41" s="2" t="str">
        <f>E電入力!C42&amp;";"</f>
        <v>;</v>
      </c>
      <c r="B41" s="2" t="str">
        <f t="shared" si="0"/>
        <v>$dis=distance;$dis-500;</v>
      </c>
      <c r="C41" s="2" t="str">
        <f>"Beacon.Put(30,0,"&amp;E電入力!AK41&amp;");"</f>
        <v>Beacon.Put(30,0,500);</v>
      </c>
      <c r="D41" s="2" t="str">
        <f ca="1">"Beacon.Put(105,0,"&amp;E電入力!AL41&amp;");"</f>
        <v>Beacon.Put(105,0,1000489);</v>
      </c>
      <c r="E41" s="2" t="str">
        <f>"Beacon.Put(106,0,"&amp;E電入力!AJ42&amp;");"</f>
        <v>Beacon.Put(106,0,000000);</v>
      </c>
    </row>
    <row r="42" spans="1:5">
      <c r="A42" s="2" t="str">
        <f>E電入力!C43&amp;";"</f>
        <v>;</v>
      </c>
      <c r="B42" s="2" t="str">
        <f t="shared" si="0"/>
        <v>$dis=distance;$dis-500;</v>
      </c>
      <c r="C42" s="2" t="str">
        <f>"Beacon.Put(30,0,"&amp;E電入力!AK42&amp;");"</f>
        <v>Beacon.Put(30,0,500);</v>
      </c>
      <c r="D42" s="2" t="str">
        <f ca="1">"Beacon.Put(105,0,"&amp;E電入力!AL42&amp;");"</f>
        <v>Beacon.Put(105,0,1000489);</v>
      </c>
      <c r="E42" s="2" t="str">
        <f>"Beacon.Put(106,0,"&amp;E電入力!AJ43&amp;");"</f>
        <v>Beacon.Put(106,0,000000);</v>
      </c>
    </row>
    <row r="43" spans="1:5">
      <c r="A43" s="2" t="str">
        <f>E電入力!C44&amp;";"</f>
        <v>;</v>
      </c>
      <c r="B43" s="2" t="str">
        <f t="shared" si="0"/>
        <v>$dis=distance;$dis-500;</v>
      </c>
      <c r="C43" s="2" t="str">
        <f>"Beacon.Put(30,0,"&amp;E電入力!AK43&amp;");"</f>
        <v>Beacon.Put(30,0,500);</v>
      </c>
      <c r="D43" s="2" t="str">
        <f ca="1">"Beacon.Put(105,0,"&amp;E電入力!AL43&amp;");"</f>
        <v>Beacon.Put(105,0,1000489);</v>
      </c>
      <c r="E43" s="2" t="str">
        <f>"Beacon.Put(106,0,"&amp;E電入力!AJ44&amp;");"</f>
        <v>Beacon.Put(106,0,000000);</v>
      </c>
    </row>
    <row r="44" spans="1:5">
      <c r="A44" s="2" t="str">
        <f>E電入力!C45&amp;";"</f>
        <v>;</v>
      </c>
      <c r="B44" s="2" t="str">
        <f t="shared" si="0"/>
        <v>$dis=distance;$dis-500;</v>
      </c>
      <c r="C44" s="2" t="str">
        <f>"Beacon.Put(30,0,"&amp;E電入力!AK44&amp;");"</f>
        <v>Beacon.Put(30,0,500);</v>
      </c>
      <c r="D44" s="2" t="str">
        <f ca="1">"Beacon.Put(105,0,"&amp;E電入力!AL44&amp;");"</f>
        <v>Beacon.Put(105,0,1000489);</v>
      </c>
      <c r="E44" s="2" t="str">
        <f>"Beacon.Put(106,0,"&amp;E電入力!AJ45&amp;");"</f>
        <v>Beacon.Put(106,0,000000);</v>
      </c>
    </row>
    <row r="45" spans="1:5">
      <c r="A45" s="2" t="str">
        <f>E電入力!C46&amp;";"</f>
        <v>;</v>
      </c>
      <c r="B45" s="2" t="str">
        <f t="shared" si="0"/>
        <v>$dis=distance;$dis-500;</v>
      </c>
      <c r="C45" s="2" t="str">
        <f>"Beacon.Put(30,0,"&amp;E電入力!AK45&amp;");"</f>
        <v>Beacon.Put(30,0,500);</v>
      </c>
      <c r="D45" s="2" t="str">
        <f ca="1">"Beacon.Put(105,0,"&amp;E電入力!AL45&amp;");"</f>
        <v>Beacon.Put(105,0,1000489);</v>
      </c>
      <c r="E45" s="2" t="str">
        <f>"Beacon.Put(106,0,"&amp;E電入力!AJ46&amp;");"</f>
        <v>Beacon.Put(106,0,000000);</v>
      </c>
    </row>
    <row r="46" spans="1:5">
      <c r="A46" s="2" t="str">
        <f>E電入力!C47&amp;";"</f>
        <v>;</v>
      </c>
      <c r="B46" s="2" t="str">
        <f t="shared" si="0"/>
        <v>$dis=distance;$dis-500;</v>
      </c>
      <c r="C46" s="2" t="str">
        <f>"Beacon.Put(30,0,"&amp;E電入力!AK46&amp;");"</f>
        <v>Beacon.Put(30,0,500);</v>
      </c>
      <c r="D46" s="2" t="str">
        <f ca="1">"Beacon.Put(105,0,"&amp;E電入力!AL46&amp;");"</f>
        <v>Beacon.Put(105,0,1000489);</v>
      </c>
      <c r="E46" s="2" t="str">
        <f>"Beacon.Put(106,0,"&amp;E電入力!AJ47&amp;");"</f>
        <v>Beacon.Put(106,0,000000);</v>
      </c>
    </row>
    <row r="47" spans="1:5">
      <c r="A47" s="2" t="str">
        <f>E電入力!C48&amp;";"</f>
        <v>;</v>
      </c>
      <c r="B47" s="2" t="str">
        <f t="shared" si="0"/>
        <v>$dis=distance;$dis-500;</v>
      </c>
      <c r="C47" s="2" t="str">
        <f>"Beacon.Put(30,0,"&amp;E電入力!AK47&amp;");"</f>
        <v>Beacon.Put(30,0,500);</v>
      </c>
      <c r="D47" s="2" t="str">
        <f ca="1">"Beacon.Put(105,0,"&amp;E電入力!AL47&amp;");"</f>
        <v>Beacon.Put(105,0,1000489);</v>
      </c>
      <c r="E47" s="2" t="str">
        <f>"Beacon.Put(106,0,"&amp;E電入力!AJ48&amp;");"</f>
        <v>Beacon.Put(106,0,000000);</v>
      </c>
    </row>
    <row r="48" spans="1:5">
      <c r="A48" s="2" t="str">
        <f>E電入力!C49&amp;";"</f>
        <v>;</v>
      </c>
      <c r="B48" s="2" t="str">
        <f t="shared" si="0"/>
        <v>$dis=distance;$dis-500;</v>
      </c>
      <c r="C48" s="2" t="str">
        <f>"Beacon.Put(30,0,"&amp;E電入力!AK48&amp;");"</f>
        <v>Beacon.Put(30,0,500);</v>
      </c>
      <c r="D48" s="2" t="str">
        <f ca="1">"Beacon.Put(105,0,"&amp;E電入力!AL48&amp;");"</f>
        <v>Beacon.Put(105,0,1000489);</v>
      </c>
      <c r="E48" s="2" t="str">
        <f>"Beacon.Put(106,0,"&amp;E電入力!AJ49&amp;");"</f>
        <v>Beacon.Put(106,0,000000);</v>
      </c>
    </row>
    <row r="49" spans="1:5">
      <c r="A49" s="2" t="str">
        <f>E電入力!C50&amp;";"</f>
        <v>;</v>
      </c>
      <c r="B49" s="2" t="str">
        <f t="shared" si="0"/>
        <v>$dis=distance;$dis-500;</v>
      </c>
      <c r="C49" s="2" t="str">
        <f>"Beacon.Put(30,0,"&amp;E電入力!AK49&amp;");"</f>
        <v>Beacon.Put(30,0,500);</v>
      </c>
      <c r="D49" s="2" t="str">
        <f ca="1">"Beacon.Put(105,0,"&amp;E電入力!AL49&amp;");"</f>
        <v>Beacon.Put(105,0,1000489);</v>
      </c>
      <c r="E49" s="2" t="str">
        <f>"Beacon.Put(106,0,"&amp;E電入力!AJ50&amp;");"</f>
        <v>Beacon.Put(106,0,000000);</v>
      </c>
    </row>
    <row r="50" spans="1:5">
      <c r="A50" s="2" t="str">
        <f>E電入力!C51&amp;";"</f>
        <v>;</v>
      </c>
      <c r="B50" s="2" t="str">
        <f t="shared" si="0"/>
        <v>$dis=distance;$dis-500;</v>
      </c>
      <c r="C50" s="2" t="str">
        <f>"Beacon.Put(30,0,"&amp;E電入力!AK50&amp;");"</f>
        <v>Beacon.Put(30,0,500);</v>
      </c>
      <c r="D50" s="2" t="str">
        <f ca="1">"Beacon.Put(105,0,"&amp;E電入力!AL50&amp;");"</f>
        <v>Beacon.Put(105,0,1000489);</v>
      </c>
      <c r="E50" s="2" t="str">
        <f>"Beacon.Put(106,0,"&amp;E電入力!AJ51&amp;");"</f>
        <v>Beacon.Put(106,0,000000);</v>
      </c>
    </row>
    <row r="51" spans="1:5">
      <c r="A51" s="2" t="str">
        <f>E電入力!C52&amp;";"</f>
        <v>;</v>
      </c>
      <c r="B51" s="2" t="str">
        <f t="shared" si="0"/>
        <v>$dis=distance;$dis-500;</v>
      </c>
      <c r="C51" s="2" t="str">
        <f>"Beacon.Put(30,0,"&amp;E電入力!AK51&amp;");"</f>
        <v>Beacon.Put(30,0,500);</v>
      </c>
      <c r="D51" s="2" t="str">
        <f ca="1">"Beacon.Put(105,0,"&amp;E電入力!AL51&amp;");"</f>
        <v>Beacon.Put(105,0,1000489);</v>
      </c>
      <c r="E51" s="2" t="str">
        <f>"Beacon.Put(106,0,"&amp;E電入力!AJ52&amp;");"</f>
        <v>Beacon.Put(106,0,000000);</v>
      </c>
    </row>
    <row r="52" spans="1:5">
      <c r="A52" s="2" t="str">
        <f>E電入力!C53&amp;";"</f>
        <v>;</v>
      </c>
      <c r="B52" s="2" t="str">
        <f t="shared" si="0"/>
        <v>$dis=distance;$dis-500;</v>
      </c>
      <c r="C52" s="2" t="str">
        <f>"Beacon.Put(30,0,"&amp;E電入力!AK52&amp;");"</f>
        <v>Beacon.Put(30,0,500);</v>
      </c>
      <c r="D52" s="2" t="str">
        <f ca="1">"Beacon.Put(105,0,"&amp;E電入力!AL52&amp;");"</f>
        <v>Beacon.Put(105,0,1000489);</v>
      </c>
      <c r="E52" s="2" t="str">
        <f>"Beacon.Put(106,0,"&amp;E電入力!AJ53&amp;");"</f>
        <v>Beacon.Put(106,0,000000);</v>
      </c>
    </row>
    <row r="53" spans="1:5">
      <c r="A53" s="2" t="str">
        <f>E電入力!C54&amp;";"</f>
        <v>;</v>
      </c>
      <c r="B53" s="2" t="str">
        <f t="shared" si="0"/>
        <v>$dis=distance;$dis-500;</v>
      </c>
      <c r="C53" s="2" t="str">
        <f>"Beacon.Put(30,0,"&amp;E電入力!AK53&amp;");"</f>
        <v>Beacon.Put(30,0,500);</v>
      </c>
      <c r="D53" s="2" t="str">
        <f ca="1">"Beacon.Put(105,0,"&amp;E電入力!AL53&amp;");"</f>
        <v>Beacon.Put(105,0,1000489);</v>
      </c>
      <c r="E53" s="2" t="str">
        <f>"Beacon.Put(106,0,"&amp;E電入力!AJ54&amp;");"</f>
        <v>Beacon.Put(106,0,000000);</v>
      </c>
    </row>
    <row r="54" spans="1:5">
      <c r="A54" s="2" t="str">
        <f>E電入力!C55&amp;";"</f>
        <v>;</v>
      </c>
      <c r="B54" s="2" t="str">
        <f t="shared" si="0"/>
        <v>$dis=distance;$dis-500;</v>
      </c>
      <c r="C54" s="2" t="str">
        <f>"Beacon.Put(30,0,"&amp;E電入力!AK54&amp;");"</f>
        <v>Beacon.Put(30,0,500);</v>
      </c>
      <c r="D54" s="2" t="str">
        <f ca="1">"Beacon.Put(105,0,"&amp;E電入力!AL54&amp;");"</f>
        <v>Beacon.Put(105,0,1000489);</v>
      </c>
      <c r="E54" s="2" t="str">
        <f>"Beacon.Put(106,0,"&amp;E電入力!AJ55&amp;");"</f>
        <v>Beacon.Put(106,0,000000);</v>
      </c>
    </row>
    <row r="55" spans="1:5">
      <c r="A55" s="2" t="str">
        <f>E電入力!C56&amp;";"</f>
        <v>;</v>
      </c>
      <c r="B55" s="2" t="str">
        <f t="shared" si="0"/>
        <v>$dis=distance;$dis-500;</v>
      </c>
      <c r="C55" s="2" t="str">
        <f>"Beacon.Put(30,0,"&amp;E電入力!AK55&amp;");"</f>
        <v>Beacon.Put(30,0,500);</v>
      </c>
      <c r="D55" s="2" t="str">
        <f ca="1">"Beacon.Put(105,0,"&amp;E電入力!AL55&amp;");"</f>
        <v>Beacon.Put(105,0,1000489);</v>
      </c>
      <c r="E55" s="2" t="str">
        <f>"Beacon.Put(106,0,"&amp;E電入力!AJ56&amp;");"</f>
        <v>Beacon.Put(106,0,000000);</v>
      </c>
    </row>
    <row r="56" spans="1:5">
      <c r="A56" s="2" t="str">
        <f>E電入力!C57&amp;";"</f>
        <v>;</v>
      </c>
      <c r="B56" s="2" t="str">
        <f t="shared" si="0"/>
        <v>$dis=distance;$dis-500;</v>
      </c>
      <c r="C56" s="2" t="str">
        <f>"Beacon.Put(30,0,"&amp;E電入力!AK56&amp;");"</f>
        <v>Beacon.Put(30,0,500);</v>
      </c>
      <c r="D56" s="2" t="str">
        <f ca="1">"Beacon.Put(105,0,"&amp;E電入力!AL56&amp;");"</f>
        <v>Beacon.Put(105,0,1000489);</v>
      </c>
      <c r="E56" s="2" t="str">
        <f>"Beacon.Put(106,0,"&amp;E電入力!AJ57&amp;");"</f>
        <v>Beacon.Put(106,0,000000);</v>
      </c>
    </row>
    <row r="57" spans="1:5">
      <c r="A57" s="2" t="str">
        <f>E電入力!C58&amp;";"</f>
        <v>;</v>
      </c>
      <c r="B57" s="2" t="str">
        <f t="shared" si="0"/>
        <v>$dis=distance;$dis-500;</v>
      </c>
      <c r="C57" s="2" t="str">
        <f>"Beacon.Put(30,0,"&amp;E電入力!AK57&amp;");"</f>
        <v>Beacon.Put(30,0,500);</v>
      </c>
      <c r="D57" s="2" t="str">
        <f ca="1">"Beacon.Put(105,0,"&amp;E電入力!AL57&amp;");"</f>
        <v>Beacon.Put(105,0,1000489);</v>
      </c>
      <c r="E57" s="2" t="str">
        <f>"Beacon.Put(106,0,"&amp;E電入力!AJ58&amp;");"</f>
        <v>Beacon.Put(106,0,000000);</v>
      </c>
    </row>
    <row r="58" spans="1:5">
      <c r="A58" s="2" t="str">
        <f>E電入力!C59&amp;";"</f>
        <v>;</v>
      </c>
      <c r="B58" s="2" t="str">
        <f t="shared" si="0"/>
        <v>$dis=distance;$dis-500;</v>
      </c>
      <c r="C58" s="2" t="str">
        <f>"Beacon.Put(30,0,"&amp;E電入力!AK58&amp;");"</f>
        <v>Beacon.Put(30,0,500);</v>
      </c>
      <c r="D58" s="2" t="str">
        <f ca="1">"Beacon.Put(105,0,"&amp;E電入力!AL58&amp;");"</f>
        <v>Beacon.Put(105,0,1000489);</v>
      </c>
      <c r="E58" s="2" t="str">
        <f>"Beacon.Put(106,0,"&amp;E電入力!AJ59&amp;");"</f>
        <v>Beacon.Put(106,0,000000);</v>
      </c>
    </row>
    <row r="59" spans="1:5">
      <c r="A59" s="2" t="str">
        <f>E電入力!C60&amp;";"</f>
        <v>;</v>
      </c>
      <c r="B59" s="2" t="str">
        <f t="shared" si="0"/>
        <v>$dis=distance;$dis-500;</v>
      </c>
      <c r="C59" s="2" t="str">
        <f>"Beacon.Put(30,0,"&amp;E電入力!AK59&amp;");"</f>
        <v>Beacon.Put(30,0,500);</v>
      </c>
      <c r="D59" s="2" t="str">
        <f ca="1">"Beacon.Put(105,0,"&amp;E電入力!AL59&amp;");"</f>
        <v>Beacon.Put(105,0,1000489);</v>
      </c>
      <c r="E59" s="2" t="str">
        <f>"Beacon.Put(106,0,"&amp;E電入力!AJ60&amp;");"</f>
        <v>Beacon.Put(106,0,000000);</v>
      </c>
    </row>
    <row r="60" spans="1:5">
      <c r="A60" s="2" t="str">
        <f>E電入力!C61&amp;";"</f>
        <v>;</v>
      </c>
      <c r="B60" s="2" t="str">
        <f t="shared" si="0"/>
        <v>$dis=distance;$dis-500;</v>
      </c>
      <c r="C60" s="2" t="str">
        <f>"Beacon.Put(30,0,"&amp;E電入力!AK60&amp;");"</f>
        <v>Beacon.Put(30,0,500);</v>
      </c>
      <c r="D60" s="2" t="str">
        <f ca="1">"Beacon.Put(105,0,"&amp;E電入力!AL60&amp;");"</f>
        <v>Beacon.Put(105,0,1000489);</v>
      </c>
      <c r="E60" s="2" t="str">
        <f>"Beacon.Put(106,0,"&amp;E電入力!AJ61&amp;");"</f>
        <v>Beacon.Put(106,0,000000);</v>
      </c>
    </row>
    <row r="61" spans="1:5">
      <c r="A61" s="2" t="str">
        <f>E電入力!C62&amp;";"</f>
        <v>;</v>
      </c>
      <c r="B61" s="2" t="str">
        <f t="shared" si="0"/>
        <v>$dis=distance;$dis-500;</v>
      </c>
      <c r="C61" s="2" t="str">
        <f>"Beacon.Put(30,0,"&amp;E電入力!AK61&amp;");"</f>
        <v>Beacon.Put(30,0,500);</v>
      </c>
      <c r="D61" s="2" t="str">
        <f ca="1">"Beacon.Put(105,0,"&amp;E電入力!AL61&amp;");"</f>
        <v>Beacon.Put(105,0,1000489);</v>
      </c>
      <c r="E61" s="2" t="str">
        <f>"Beacon.Put(106,0,"&amp;E電入力!AJ62&amp;");"</f>
        <v>Beacon.Put(106,0,000000);</v>
      </c>
    </row>
    <row r="62" spans="1:5">
      <c r="A62" s="2" t="str">
        <f>E電入力!C63&amp;";"</f>
        <v>;</v>
      </c>
      <c r="B62" s="2" t="str">
        <f t="shared" si="0"/>
        <v>$dis=distance;$dis-500;</v>
      </c>
      <c r="C62" s="2" t="str">
        <f>"Beacon.Put(30,0,"&amp;E電入力!AK62&amp;");"</f>
        <v>Beacon.Put(30,0,500);</v>
      </c>
      <c r="D62" s="2" t="str">
        <f ca="1">"Beacon.Put(105,0,"&amp;E電入力!AL62&amp;");"</f>
        <v>Beacon.Put(105,0,1000489);</v>
      </c>
      <c r="E62" s="2" t="str">
        <f>"Beacon.Put(106,0,"&amp;E電入力!AJ63&amp;");"</f>
        <v>Beacon.Put(106,0,000000);</v>
      </c>
    </row>
    <row r="63" spans="1:5">
      <c r="A63" s="2" t="str">
        <f>E電入力!C64&amp;";"</f>
        <v>;</v>
      </c>
      <c r="B63" s="2" t="str">
        <f t="shared" si="0"/>
        <v>$dis=distance;$dis-500;</v>
      </c>
      <c r="C63" s="2" t="str">
        <f>"Beacon.Put(30,0,"&amp;E電入力!AK63&amp;");"</f>
        <v>Beacon.Put(30,0,500);</v>
      </c>
      <c r="D63" s="2" t="str">
        <f ca="1">"Beacon.Put(105,0,"&amp;E電入力!AL63&amp;");"</f>
        <v>Beacon.Put(105,0,1000489);</v>
      </c>
      <c r="E63" s="2" t="str">
        <f>"Beacon.Put(106,0,"&amp;E電入力!AJ64&amp;");"</f>
        <v>Beacon.Put(106,0,000000);</v>
      </c>
    </row>
    <row r="64" spans="1:5">
      <c r="A64" s="2" t="str">
        <f>E電入力!C65&amp;";"</f>
        <v>;</v>
      </c>
      <c r="B64" s="2" t="str">
        <f t="shared" si="0"/>
        <v>$dis=distance;$dis-500;</v>
      </c>
      <c r="C64" s="2" t="str">
        <f>"Beacon.Put(30,0,"&amp;E電入力!AK64&amp;");"</f>
        <v>Beacon.Put(30,0,500);</v>
      </c>
      <c r="D64" s="2" t="str">
        <f ca="1">"Beacon.Put(105,0,"&amp;E電入力!AL64&amp;");"</f>
        <v>Beacon.Put(105,0,1000489);</v>
      </c>
      <c r="E64" s="2" t="str">
        <f>"Beacon.Put(106,0,"&amp;E電入力!AJ65&amp;");"</f>
        <v>Beacon.Put(106,0,000000);</v>
      </c>
    </row>
    <row r="65" spans="1:5">
      <c r="A65" s="2" t="str">
        <f>E電入力!C66&amp;";"</f>
        <v>;</v>
      </c>
      <c r="B65" s="2" t="str">
        <f t="shared" si="0"/>
        <v>$dis=distance;$dis-500;</v>
      </c>
      <c r="C65" s="2" t="str">
        <f>"Beacon.Put(30,0,"&amp;E電入力!AK65&amp;");"</f>
        <v>Beacon.Put(30,0,500);</v>
      </c>
      <c r="D65" s="2" t="str">
        <f ca="1">"Beacon.Put(105,0,"&amp;E電入力!AL65&amp;");"</f>
        <v>Beacon.Put(105,0,1000489);</v>
      </c>
      <c r="E65" s="2" t="str">
        <f>"Beacon.Put(106,0,"&amp;E電入力!AJ66&amp;");"</f>
        <v>Beacon.Put(106,0,000000);</v>
      </c>
    </row>
    <row r="66" spans="1:5">
      <c r="A66" s="2" t="str">
        <f>E電入力!C67&amp;";"</f>
        <v>;</v>
      </c>
      <c r="B66" s="2" t="str">
        <f t="shared" si="0"/>
        <v>$dis=distance;$dis-500;</v>
      </c>
      <c r="C66" s="2" t="str">
        <f>"Beacon.Put(30,0,"&amp;E電入力!AK66&amp;");"</f>
        <v>Beacon.Put(30,0,500);</v>
      </c>
      <c r="D66" s="2" t="str">
        <f ca="1">"Beacon.Put(105,0,"&amp;E電入力!AL66&amp;");"</f>
        <v>Beacon.Put(105,0,1000489);</v>
      </c>
      <c r="E66" s="2" t="str">
        <f>"Beacon.Put(106,0,"&amp;E電入力!AJ67&amp;");"</f>
        <v>Beacon.Put(106,0,000000);</v>
      </c>
    </row>
    <row r="67" spans="1:5">
      <c r="A67" s="2" t="str">
        <f>E電入力!C68&amp;";"</f>
        <v>;</v>
      </c>
      <c r="B67" s="2" t="str">
        <f t="shared" si="0"/>
        <v>$dis=distance;$dis-500;</v>
      </c>
      <c r="C67" s="2" t="str">
        <f>"Beacon.Put(30,0,"&amp;E電入力!AK67&amp;");"</f>
        <v>Beacon.Put(30,0,500);</v>
      </c>
      <c r="D67" s="2" t="str">
        <f ca="1">"Beacon.Put(105,0,"&amp;E電入力!AL67&amp;");"</f>
        <v>Beacon.Put(105,0,1000489);</v>
      </c>
      <c r="E67" s="2" t="str">
        <f>"Beacon.Put(106,0,"&amp;E電入力!AJ68&amp;");"</f>
        <v>Beacon.Put(106,0,000000);</v>
      </c>
    </row>
    <row r="68" spans="1:5">
      <c r="A68" s="2" t="str">
        <f>E電入力!C69&amp;";"</f>
        <v>;</v>
      </c>
      <c r="B68" s="2" t="str">
        <f t="shared" si="0"/>
        <v>$dis=distance;$dis-500;</v>
      </c>
      <c r="C68" s="2" t="str">
        <f>"Beacon.Put(30,0,"&amp;E電入力!AK68&amp;");"</f>
        <v>Beacon.Put(30,0,500);</v>
      </c>
      <c r="D68" s="2" t="str">
        <f ca="1">"Beacon.Put(105,0,"&amp;E電入力!AL68&amp;");"</f>
        <v>Beacon.Put(105,0,1000489);</v>
      </c>
      <c r="E68" s="2" t="str">
        <f>"Beacon.Put(106,0,"&amp;E電入力!AJ69&amp;");"</f>
        <v>Beacon.Put(106,0,000000);</v>
      </c>
    </row>
    <row r="69" spans="1:5">
      <c r="A69" s="2" t="str">
        <f>E電入力!C70&amp;";"</f>
        <v>;</v>
      </c>
      <c r="B69" s="2" t="str">
        <f t="shared" ref="B69:B102" si="1">"$dis=distance;$dis-500;"</f>
        <v>$dis=distance;$dis-500;</v>
      </c>
      <c r="C69" s="2" t="str">
        <f>"Beacon.Put(30,0,"&amp;E電入力!AK69&amp;");"</f>
        <v>Beacon.Put(30,0,500);</v>
      </c>
      <c r="D69" s="2" t="str">
        <f ca="1">"Beacon.Put(105,0,"&amp;E電入力!AL69&amp;");"</f>
        <v>Beacon.Put(105,0,1000489);</v>
      </c>
      <c r="E69" s="2" t="str">
        <f>"Beacon.Put(106,0,"&amp;E電入力!AJ70&amp;");"</f>
        <v>Beacon.Put(106,0,000000);</v>
      </c>
    </row>
    <row r="70" spans="1:5">
      <c r="A70" s="2" t="str">
        <f>E電入力!C71&amp;";"</f>
        <v>;</v>
      </c>
      <c r="B70" s="2" t="str">
        <f t="shared" si="1"/>
        <v>$dis=distance;$dis-500;</v>
      </c>
      <c r="C70" s="2" t="str">
        <f>"Beacon.Put(30,0,"&amp;E電入力!AK70&amp;");"</f>
        <v>Beacon.Put(30,0,500);</v>
      </c>
      <c r="D70" s="2" t="str">
        <f ca="1">"Beacon.Put(105,0,"&amp;E電入力!AL70&amp;");"</f>
        <v>Beacon.Put(105,0,1000489);</v>
      </c>
      <c r="E70" s="2" t="str">
        <f>"Beacon.Put(106,0,"&amp;E電入力!AJ71&amp;");"</f>
        <v>Beacon.Put(106,0,000000);</v>
      </c>
    </row>
    <row r="71" spans="1:5">
      <c r="A71" s="2" t="str">
        <f>E電入力!C72&amp;";"</f>
        <v>;</v>
      </c>
      <c r="B71" s="2" t="str">
        <f t="shared" si="1"/>
        <v>$dis=distance;$dis-500;</v>
      </c>
      <c r="C71" s="2" t="str">
        <f>"Beacon.Put(30,0,"&amp;E電入力!AK71&amp;");"</f>
        <v>Beacon.Put(30,0,500);</v>
      </c>
      <c r="D71" s="2" t="str">
        <f ca="1">"Beacon.Put(105,0,"&amp;E電入力!AL71&amp;");"</f>
        <v>Beacon.Put(105,0,1000489);</v>
      </c>
      <c r="E71" s="2" t="str">
        <f>"Beacon.Put(106,0,"&amp;E電入力!AJ72&amp;");"</f>
        <v>Beacon.Put(106,0,000000);</v>
      </c>
    </row>
    <row r="72" spans="1:5">
      <c r="A72" s="2" t="str">
        <f>E電入力!C73&amp;";"</f>
        <v>;</v>
      </c>
      <c r="B72" s="2" t="str">
        <f t="shared" si="1"/>
        <v>$dis=distance;$dis-500;</v>
      </c>
      <c r="C72" s="2" t="str">
        <f>"Beacon.Put(30,0,"&amp;E電入力!AK72&amp;");"</f>
        <v>Beacon.Put(30,0,500);</v>
      </c>
      <c r="D72" s="2" t="str">
        <f ca="1">"Beacon.Put(105,0,"&amp;E電入力!AL72&amp;");"</f>
        <v>Beacon.Put(105,0,1000489);</v>
      </c>
      <c r="E72" s="2" t="str">
        <f>"Beacon.Put(106,0,"&amp;E電入力!AJ73&amp;");"</f>
        <v>Beacon.Put(106,0,000000);</v>
      </c>
    </row>
    <row r="73" spans="1:5">
      <c r="A73" s="2" t="str">
        <f>E電入力!C74&amp;";"</f>
        <v>;</v>
      </c>
      <c r="B73" s="2" t="str">
        <f t="shared" si="1"/>
        <v>$dis=distance;$dis-500;</v>
      </c>
      <c r="C73" s="2" t="str">
        <f>"Beacon.Put(30,0,"&amp;E電入力!AK73&amp;");"</f>
        <v>Beacon.Put(30,0,500);</v>
      </c>
      <c r="D73" s="2" t="str">
        <f ca="1">"Beacon.Put(105,0,"&amp;E電入力!AL73&amp;");"</f>
        <v>Beacon.Put(105,0,1000489);</v>
      </c>
      <c r="E73" s="2" t="str">
        <f>"Beacon.Put(106,0,"&amp;E電入力!AJ74&amp;");"</f>
        <v>Beacon.Put(106,0,000000);</v>
      </c>
    </row>
    <row r="74" spans="1:5">
      <c r="A74" s="2" t="str">
        <f>E電入力!C75&amp;";"</f>
        <v>;</v>
      </c>
      <c r="B74" s="2" t="str">
        <f t="shared" si="1"/>
        <v>$dis=distance;$dis-500;</v>
      </c>
      <c r="C74" s="2" t="str">
        <f>"Beacon.Put(30,0,"&amp;E電入力!AK74&amp;");"</f>
        <v>Beacon.Put(30,0,500);</v>
      </c>
      <c r="D74" s="2" t="str">
        <f ca="1">"Beacon.Put(105,0,"&amp;E電入力!AL74&amp;");"</f>
        <v>Beacon.Put(105,0,1000489);</v>
      </c>
      <c r="E74" s="2" t="str">
        <f>"Beacon.Put(106,0,"&amp;E電入力!AJ75&amp;");"</f>
        <v>Beacon.Put(106,0,000000);</v>
      </c>
    </row>
    <row r="75" spans="1:5">
      <c r="A75" s="2" t="str">
        <f>E電入力!C76&amp;";"</f>
        <v>;</v>
      </c>
      <c r="B75" s="2" t="str">
        <f t="shared" si="1"/>
        <v>$dis=distance;$dis-500;</v>
      </c>
      <c r="C75" s="2" t="str">
        <f>"Beacon.Put(30,0,"&amp;E電入力!AK75&amp;");"</f>
        <v>Beacon.Put(30,0,500);</v>
      </c>
      <c r="D75" s="2" t="str">
        <f ca="1">"Beacon.Put(105,0,"&amp;E電入力!AL75&amp;");"</f>
        <v>Beacon.Put(105,0,1000489);</v>
      </c>
      <c r="E75" s="2" t="str">
        <f>"Beacon.Put(106,0,"&amp;E電入力!AJ76&amp;");"</f>
        <v>Beacon.Put(106,0,000000);</v>
      </c>
    </row>
    <row r="76" spans="1:5">
      <c r="A76" s="2" t="str">
        <f>E電入力!C77&amp;";"</f>
        <v>;</v>
      </c>
      <c r="B76" s="2" t="str">
        <f t="shared" si="1"/>
        <v>$dis=distance;$dis-500;</v>
      </c>
      <c r="C76" s="2" t="str">
        <f>"Beacon.Put(30,0,"&amp;E電入力!AK76&amp;");"</f>
        <v>Beacon.Put(30,0,500);</v>
      </c>
      <c r="D76" s="2" t="str">
        <f ca="1">"Beacon.Put(105,0,"&amp;E電入力!AL76&amp;");"</f>
        <v>Beacon.Put(105,0,1000489);</v>
      </c>
      <c r="E76" s="2" t="str">
        <f>"Beacon.Put(106,0,"&amp;E電入力!AJ77&amp;");"</f>
        <v>Beacon.Put(106,0,000000);</v>
      </c>
    </row>
    <row r="77" spans="1:5">
      <c r="A77" s="2" t="str">
        <f>E電入力!C78&amp;";"</f>
        <v>;</v>
      </c>
      <c r="B77" s="2" t="str">
        <f t="shared" si="1"/>
        <v>$dis=distance;$dis-500;</v>
      </c>
      <c r="C77" s="2" t="str">
        <f>"Beacon.Put(30,0,"&amp;E電入力!AK77&amp;");"</f>
        <v>Beacon.Put(30,0,500);</v>
      </c>
      <c r="D77" s="2" t="str">
        <f ca="1">"Beacon.Put(105,0,"&amp;E電入力!AL77&amp;");"</f>
        <v>Beacon.Put(105,0,1000489);</v>
      </c>
      <c r="E77" s="2" t="str">
        <f>"Beacon.Put(106,0,"&amp;E電入力!AJ78&amp;");"</f>
        <v>Beacon.Put(106,0,000000);</v>
      </c>
    </row>
    <row r="78" spans="1:5">
      <c r="A78" s="2" t="str">
        <f>E電入力!C79&amp;";"</f>
        <v>;</v>
      </c>
      <c r="B78" s="2" t="str">
        <f t="shared" si="1"/>
        <v>$dis=distance;$dis-500;</v>
      </c>
      <c r="C78" s="2" t="str">
        <f>"Beacon.Put(30,0,"&amp;E電入力!AK78&amp;");"</f>
        <v>Beacon.Put(30,0,500);</v>
      </c>
      <c r="D78" s="2" t="str">
        <f ca="1">"Beacon.Put(105,0,"&amp;E電入力!AL78&amp;");"</f>
        <v>Beacon.Put(105,0,1000489);</v>
      </c>
      <c r="E78" s="2" t="str">
        <f>"Beacon.Put(106,0,"&amp;E電入力!AJ79&amp;");"</f>
        <v>Beacon.Put(106,0,000000);</v>
      </c>
    </row>
    <row r="79" spans="1:5">
      <c r="A79" s="2" t="str">
        <f>E電入力!C80&amp;";"</f>
        <v>;</v>
      </c>
      <c r="B79" s="2" t="str">
        <f t="shared" si="1"/>
        <v>$dis=distance;$dis-500;</v>
      </c>
      <c r="C79" s="2" t="str">
        <f>"Beacon.Put(30,0,"&amp;E電入力!AK79&amp;");"</f>
        <v>Beacon.Put(30,0,500);</v>
      </c>
      <c r="D79" s="2" t="str">
        <f ca="1">"Beacon.Put(105,0,"&amp;E電入力!AL79&amp;");"</f>
        <v>Beacon.Put(105,0,1000489);</v>
      </c>
      <c r="E79" s="2" t="str">
        <f>"Beacon.Put(106,0,"&amp;E電入力!AJ80&amp;");"</f>
        <v>Beacon.Put(106,0,000000);</v>
      </c>
    </row>
    <row r="80" spans="1:5">
      <c r="A80" s="2" t="str">
        <f>E電入力!C81&amp;";"</f>
        <v>;</v>
      </c>
      <c r="B80" s="2" t="str">
        <f t="shared" si="1"/>
        <v>$dis=distance;$dis-500;</v>
      </c>
      <c r="C80" s="2" t="str">
        <f>"Beacon.Put(30,0,"&amp;E電入力!AK80&amp;");"</f>
        <v>Beacon.Put(30,0,500);</v>
      </c>
      <c r="D80" s="2" t="str">
        <f ca="1">"Beacon.Put(105,0,"&amp;E電入力!AL80&amp;");"</f>
        <v>Beacon.Put(105,0,1000489);</v>
      </c>
      <c r="E80" s="2" t="str">
        <f>"Beacon.Put(106,0,"&amp;E電入力!AJ81&amp;");"</f>
        <v>Beacon.Put(106,0,000000);</v>
      </c>
    </row>
    <row r="81" spans="1:5">
      <c r="A81" s="2" t="str">
        <f>E電入力!C82&amp;";"</f>
        <v>;</v>
      </c>
      <c r="B81" s="2" t="str">
        <f t="shared" si="1"/>
        <v>$dis=distance;$dis-500;</v>
      </c>
      <c r="C81" s="2" t="str">
        <f>"Beacon.Put(30,0,"&amp;E電入力!AK81&amp;");"</f>
        <v>Beacon.Put(30,0,500);</v>
      </c>
      <c r="D81" s="2" t="str">
        <f ca="1">"Beacon.Put(105,0,"&amp;E電入力!AL81&amp;");"</f>
        <v>Beacon.Put(105,0,1000489);</v>
      </c>
      <c r="E81" s="2" t="str">
        <f>"Beacon.Put(106,0,"&amp;E電入力!AJ82&amp;");"</f>
        <v>Beacon.Put(106,0,000000);</v>
      </c>
    </row>
    <row r="82" spans="1:5">
      <c r="A82" s="2" t="str">
        <f>E電入力!C83&amp;";"</f>
        <v>;</v>
      </c>
      <c r="B82" s="2" t="str">
        <f t="shared" si="1"/>
        <v>$dis=distance;$dis-500;</v>
      </c>
      <c r="C82" s="2" t="str">
        <f>"Beacon.Put(30,0,"&amp;E電入力!AK82&amp;");"</f>
        <v>Beacon.Put(30,0,500);</v>
      </c>
      <c r="D82" s="2" t="str">
        <f ca="1">"Beacon.Put(105,0,"&amp;E電入力!AL82&amp;");"</f>
        <v>Beacon.Put(105,0,1000489);</v>
      </c>
      <c r="E82" s="2" t="str">
        <f>"Beacon.Put(106,0,"&amp;E電入力!AJ83&amp;");"</f>
        <v>Beacon.Put(106,0,000000);</v>
      </c>
    </row>
    <row r="83" spans="1:5">
      <c r="A83" s="2" t="str">
        <f>E電入力!C84&amp;";"</f>
        <v>;</v>
      </c>
      <c r="B83" s="2" t="str">
        <f t="shared" si="1"/>
        <v>$dis=distance;$dis-500;</v>
      </c>
      <c r="C83" s="2" t="str">
        <f>"Beacon.Put(30,0,"&amp;E電入力!AK83&amp;");"</f>
        <v>Beacon.Put(30,0,500);</v>
      </c>
      <c r="D83" s="2" t="str">
        <f ca="1">"Beacon.Put(105,0,"&amp;E電入力!AL83&amp;");"</f>
        <v>Beacon.Put(105,0,1000489);</v>
      </c>
      <c r="E83" s="2" t="str">
        <f>"Beacon.Put(106,0,"&amp;E電入力!AJ84&amp;");"</f>
        <v>Beacon.Put(106,0,000000);</v>
      </c>
    </row>
    <row r="84" spans="1:5">
      <c r="A84" s="2" t="str">
        <f>E電入力!C85&amp;";"</f>
        <v>;</v>
      </c>
      <c r="B84" s="2" t="str">
        <f t="shared" si="1"/>
        <v>$dis=distance;$dis-500;</v>
      </c>
      <c r="C84" s="2" t="str">
        <f>"Beacon.Put(30,0,"&amp;E電入力!AK84&amp;");"</f>
        <v>Beacon.Put(30,0,500);</v>
      </c>
      <c r="D84" s="2" t="str">
        <f ca="1">"Beacon.Put(105,0,"&amp;E電入力!AL84&amp;");"</f>
        <v>Beacon.Put(105,0,1000489);</v>
      </c>
      <c r="E84" s="2" t="str">
        <f>"Beacon.Put(106,0,"&amp;E電入力!AJ85&amp;");"</f>
        <v>Beacon.Put(106,0,000000);</v>
      </c>
    </row>
    <row r="85" spans="1:5">
      <c r="A85" s="2" t="str">
        <f>E電入力!C86&amp;";"</f>
        <v>;</v>
      </c>
      <c r="B85" s="2" t="str">
        <f t="shared" si="1"/>
        <v>$dis=distance;$dis-500;</v>
      </c>
      <c r="C85" s="2" t="str">
        <f>"Beacon.Put(30,0,"&amp;E電入力!AK85&amp;");"</f>
        <v>Beacon.Put(30,0,500);</v>
      </c>
      <c r="D85" s="2" t="str">
        <f ca="1">"Beacon.Put(105,0,"&amp;E電入力!AL85&amp;");"</f>
        <v>Beacon.Put(105,0,1000489);</v>
      </c>
      <c r="E85" s="2" t="str">
        <f>"Beacon.Put(106,0,"&amp;E電入力!AJ86&amp;");"</f>
        <v>Beacon.Put(106,0,000000);</v>
      </c>
    </row>
    <row r="86" spans="1:5">
      <c r="A86" s="2" t="str">
        <f>E電入力!C87&amp;";"</f>
        <v>;</v>
      </c>
      <c r="B86" s="2" t="str">
        <f t="shared" si="1"/>
        <v>$dis=distance;$dis-500;</v>
      </c>
      <c r="C86" s="2" t="str">
        <f>"Beacon.Put(30,0,"&amp;E電入力!AK86&amp;");"</f>
        <v>Beacon.Put(30,0,500);</v>
      </c>
      <c r="D86" s="2" t="str">
        <f ca="1">"Beacon.Put(105,0,"&amp;E電入力!AL86&amp;");"</f>
        <v>Beacon.Put(105,0,1000489);</v>
      </c>
      <c r="E86" s="2" t="str">
        <f>"Beacon.Put(106,0,"&amp;E電入力!AJ87&amp;");"</f>
        <v>Beacon.Put(106,0,000000);</v>
      </c>
    </row>
    <row r="87" spans="1:5">
      <c r="A87" s="2" t="str">
        <f>E電入力!C88&amp;";"</f>
        <v>;</v>
      </c>
      <c r="B87" s="2" t="str">
        <f t="shared" si="1"/>
        <v>$dis=distance;$dis-500;</v>
      </c>
      <c r="C87" s="2" t="str">
        <f>"Beacon.Put(30,0,"&amp;E電入力!AK87&amp;");"</f>
        <v>Beacon.Put(30,0,500);</v>
      </c>
      <c r="D87" s="2" t="str">
        <f ca="1">"Beacon.Put(105,0,"&amp;E電入力!AL87&amp;");"</f>
        <v>Beacon.Put(105,0,1000489);</v>
      </c>
      <c r="E87" s="2" t="str">
        <f>"Beacon.Put(106,0,"&amp;E電入力!AJ88&amp;");"</f>
        <v>Beacon.Put(106,0,000000);</v>
      </c>
    </row>
    <row r="88" spans="1:5">
      <c r="A88" s="2" t="str">
        <f>E電入力!C89&amp;";"</f>
        <v>;</v>
      </c>
      <c r="B88" s="2" t="str">
        <f t="shared" si="1"/>
        <v>$dis=distance;$dis-500;</v>
      </c>
      <c r="C88" s="2" t="str">
        <f>"Beacon.Put(30,0,"&amp;E電入力!AK88&amp;");"</f>
        <v>Beacon.Put(30,0,500);</v>
      </c>
      <c r="D88" s="2" t="str">
        <f ca="1">"Beacon.Put(105,0,"&amp;E電入力!AL88&amp;");"</f>
        <v>Beacon.Put(105,0,1000489);</v>
      </c>
      <c r="E88" s="2" t="str">
        <f>"Beacon.Put(106,0,"&amp;E電入力!AJ89&amp;");"</f>
        <v>Beacon.Put(106,0,000000);</v>
      </c>
    </row>
    <row r="89" spans="1:5">
      <c r="A89" s="2" t="str">
        <f>E電入力!C90&amp;";"</f>
        <v>;</v>
      </c>
      <c r="B89" s="2" t="str">
        <f t="shared" si="1"/>
        <v>$dis=distance;$dis-500;</v>
      </c>
      <c r="C89" s="2" t="str">
        <f>"Beacon.Put(30,0,"&amp;E電入力!AK89&amp;");"</f>
        <v>Beacon.Put(30,0,500);</v>
      </c>
      <c r="D89" s="2" t="str">
        <f ca="1">"Beacon.Put(105,0,"&amp;E電入力!AL89&amp;");"</f>
        <v>Beacon.Put(105,0,1000489);</v>
      </c>
      <c r="E89" s="2" t="str">
        <f>"Beacon.Put(106,0,"&amp;E電入力!AJ90&amp;");"</f>
        <v>Beacon.Put(106,0,000000);</v>
      </c>
    </row>
    <row r="90" spans="1:5">
      <c r="A90" s="2" t="str">
        <f>E電入力!C91&amp;";"</f>
        <v>;</v>
      </c>
      <c r="B90" s="2" t="str">
        <f t="shared" si="1"/>
        <v>$dis=distance;$dis-500;</v>
      </c>
      <c r="C90" s="2" t="str">
        <f>"Beacon.Put(30,0,"&amp;E電入力!AK90&amp;");"</f>
        <v>Beacon.Put(30,0,500);</v>
      </c>
      <c r="D90" s="2" t="str">
        <f ca="1">"Beacon.Put(105,0,"&amp;E電入力!AL90&amp;");"</f>
        <v>Beacon.Put(105,0,1000489);</v>
      </c>
      <c r="E90" s="2" t="str">
        <f>"Beacon.Put(106,0,"&amp;E電入力!AJ91&amp;");"</f>
        <v>Beacon.Put(106,0,000000);</v>
      </c>
    </row>
    <row r="91" spans="1:5">
      <c r="A91" s="2" t="str">
        <f>E電入力!C92&amp;";"</f>
        <v>;</v>
      </c>
      <c r="B91" s="2" t="str">
        <f t="shared" si="1"/>
        <v>$dis=distance;$dis-500;</v>
      </c>
      <c r="C91" s="2" t="str">
        <f>"Beacon.Put(30,0,"&amp;E電入力!AK91&amp;");"</f>
        <v>Beacon.Put(30,0,500);</v>
      </c>
      <c r="D91" s="2" t="str">
        <f ca="1">"Beacon.Put(105,0,"&amp;E電入力!AL91&amp;");"</f>
        <v>Beacon.Put(105,0,1000489);</v>
      </c>
      <c r="E91" s="2" t="str">
        <f>"Beacon.Put(106,0,"&amp;E電入力!AJ92&amp;");"</f>
        <v>Beacon.Put(106,0,000000);</v>
      </c>
    </row>
    <row r="92" spans="1:5">
      <c r="A92" s="2" t="str">
        <f>E電入力!C93&amp;";"</f>
        <v>;</v>
      </c>
      <c r="B92" s="2" t="str">
        <f t="shared" si="1"/>
        <v>$dis=distance;$dis-500;</v>
      </c>
      <c r="C92" s="2" t="str">
        <f>"Beacon.Put(30,0,"&amp;E電入力!AK92&amp;");"</f>
        <v>Beacon.Put(30,0,500);</v>
      </c>
      <c r="D92" s="2" t="str">
        <f ca="1">"Beacon.Put(105,0,"&amp;E電入力!AL92&amp;");"</f>
        <v>Beacon.Put(105,0,1000489);</v>
      </c>
      <c r="E92" s="2" t="str">
        <f>"Beacon.Put(106,0,"&amp;E電入力!AJ93&amp;");"</f>
        <v>Beacon.Put(106,0,000000);</v>
      </c>
    </row>
    <row r="93" spans="1:5">
      <c r="A93" s="2" t="str">
        <f>E電入力!C94&amp;";"</f>
        <v>;</v>
      </c>
      <c r="B93" s="2" t="str">
        <f t="shared" si="1"/>
        <v>$dis=distance;$dis-500;</v>
      </c>
      <c r="C93" s="2" t="str">
        <f>"Beacon.Put(30,0,"&amp;E電入力!AK93&amp;");"</f>
        <v>Beacon.Put(30,0,500);</v>
      </c>
      <c r="D93" s="2" t="str">
        <f ca="1">"Beacon.Put(105,0,"&amp;E電入力!AL93&amp;");"</f>
        <v>Beacon.Put(105,0,1000489);</v>
      </c>
      <c r="E93" s="2" t="str">
        <f>"Beacon.Put(106,0,"&amp;E電入力!AJ94&amp;");"</f>
        <v>Beacon.Put(106,0,000000);</v>
      </c>
    </row>
    <row r="94" spans="1:5">
      <c r="A94" s="2" t="str">
        <f>E電入力!C95&amp;";"</f>
        <v>;</v>
      </c>
      <c r="B94" s="2" t="str">
        <f t="shared" si="1"/>
        <v>$dis=distance;$dis-500;</v>
      </c>
      <c r="C94" s="2" t="str">
        <f>"Beacon.Put(30,0,"&amp;E電入力!AK94&amp;");"</f>
        <v>Beacon.Put(30,0,500);</v>
      </c>
      <c r="D94" s="2" t="str">
        <f ca="1">"Beacon.Put(105,0,"&amp;E電入力!AL94&amp;");"</f>
        <v>Beacon.Put(105,0,1000489);</v>
      </c>
      <c r="E94" s="2" t="str">
        <f>"Beacon.Put(106,0,"&amp;E電入力!AJ95&amp;");"</f>
        <v>Beacon.Put(106,0,000000);</v>
      </c>
    </row>
    <row r="95" spans="1:5">
      <c r="A95" s="2" t="str">
        <f>E電入力!C96&amp;";"</f>
        <v>;</v>
      </c>
      <c r="B95" s="2" t="str">
        <f t="shared" si="1"/>
        <v>$dis=distance;$dis-500;</v>
      </c>
      <c r="C95" s="2" t="str">
        <f>"Beacon.Put(30,0,"&amp;E電入力!AK95&amp;");"</f>
        <v>Beacon.Put(30,0,500);</v>
      </c>
      <c r="D95" s="2" t="str">
        <f ca="1">"Beacon.Put(105,0,"&amp;E電入力!AL95&amp;");"</f>
        <v>Beacon.Put(105,0,1000489);</v>
      </c>
      <c r="E95" s="2" t="str">
        <f>"Beacon.Put(106,0,"&amp;E電入力!AJ96&amp;");"</f>
        <v>Beacon.Put(106,0,000000);</v>
      </c>
    </row>
    <row r="96" spans="1:5">
      <c r="A96" s="2" t="str">
        <f>E電入力!C97&amp;";"</f>
        <v>;</v>
      </c>
      <c r="B96" s="2" t="str">
        <f t="shared" si="1"/>
        <v>$dis=distance;$dis-500;</v>
      </c>
      <c r="C96" s="2" t="str">
        <f>"Beacon.Put(30,0,"&amp;E電入力!AK96&amp;");"</f>
        <v>Beacon.Put(30,0,500);</v>
      </c>
      <c r="D96" s="2" t="str">
        <f ca="1">"Beacon.Put(105,0,"&amp;E電入力!AL96&amp;");"</f>
        <v>Beacon.Put(105,0,1000489);</v>
      </c>
      <c r="E96" s="2" t="str">
        <f>"Beacon.Put(106,0,"&amp;E電入力!AJ97&amp;");"</f>
        <v>Beacon.Put(106,0,000000);</v>
      </c>
    </row>
    <row r="97" spans="1:5">
      <c r="A97" s="2" t="str">
        <f>E電入力!C98&amp;";"</f>
        <v>;</v>
      </c>
      <c r="B97" s="2" t="str">
        <f t="shared" si="1"/>
        <v>$dis=distance;$dis-500;</v>
      </c>
      <c r="C97" s="2" t="str">
        <f>"Beacon.Put(30,0,"&amp;E電入力!AK97&amp;");"</f>
        <v>Beacon.Put(30,0,500);</v>
      </c>
      <c r="D97" s="2" t="str">
        <f ca="1">"Beacon.Put(105,0,"&amp;E電入力!AL97&amp;");"</f>
        <v>Beacon.Put(105,0,1000489);</v>
      </c>
      <c r="E97" s="2" t="str">
        <f>"Beacon.Put(106,0,"&amp;E電入力!AJ98&amp;");"</f>
        <v>Beacon.Put(106,0,000000);</v>
      </c>
    </row>
    <row r="98" spans="1:5">
      <c r="A98" s="2" t="str">
        <f>E電入力!C99&amp;";"</f>
        <v>;</v>
      </c>
      <c r="B98" s="2" t="str">
        <f t="shared" si="1"/>
        <v>$dis=distance;$dis-500;</v>
      </c>
      <c r="C98" s="2" t="str">
        <f>"Beacon.Put(30,0,"&amp;E電入力!AK98&amp;");"</f>
        <v>Beacon.Put(30,0,500);</v>
      </c>
      <c r="D98" s="2" t="str">
        <f ca="1">"Beacon.Put(105,0,"&amp;E電入力!AL98&amp;");"</f>
        <v>Beacon.Put(105,0,1000489);</v>
      </c>
      <c r="E98" s="2" t="str">
        <f>"Beacon.Put(106,0,"&amp;E電入力!AJ99&amp;");"</f>
        <v>Beacon.Put(106,0,000000);</v>
      </c>
    </row>
    <row r="99" spans="1:5">
      <c r="A99" s="2" t="str">
        <f>E電入力!C100&amp;";"</f>
        <v>;</v>
      </c>
      <c r="B99" s="2" t="str">
        <f t="shared" si="1"/>
        <v>$dis=distance;$dis-500;</v>
      </c>
      <c r="C99" s="2" t="str">
        <f>"Beacon.Put(30,0,"&amp;E電入力!AK99&amp;");"</f>
        <v>Beacon.Put(30,0,500);</v>
      </c>
      <c r="D99" s="2" t="str">
        <f ca="1">"Beacon.Put(105,0,"&amp;E電入力!AL99&amp;");"</f>
        <v>Beacon.Put(105,0,1000489);</v>
      </c>
      <c r="E99" s="2" t="str">
        <f>"Beacon.Put(106,0,"&amp;E電入力!AJ100&amp;");"</f>
        <v>Beacon.Put(106,0,000000);</v>
      </c>
    </row>
    <row r="100" spans="1:5">
      <c r="A100" s="2" t="str">
        <f>E電入力!C101&amp;";"</f>
        <v>;</v>
      </c>
      <c r="B100" s="2" t="str">
        <f t="shared" si="1"/>
        <v>$dis=distance;$dis-500;</v>
      </c>
      <c r="C100" s="2" t="str">
        <f>"Beacon.Put(30,0,"&amp;E電入力!AK100&amp;");"</f>
        <v>Beacon.Put(30,0,500);</v>
      </c>
      <c r="D100" s="2" t="str">
        <f ca="1">"Beacon.Put(105,0,"&amp;E電入力!AL100&amp;");"</f>
        <v>Beacon.Put(105,0,1000489);</v>
      </c>
      <c r="E100" s="2" t="str">
        <f>"Beacon.Put(106,0,"&amp;E電入力!AJ101&amp;");"</f>
        <v>Beacon.Put(106,0,000000);</v>
      </c>
    </row>
    <row r="101" spans="1:5">
      <c r="A101" s="2" t="str">
        <f>E電入力!C102&amp;";"</f>
        <v>;</v>
      </c>
      <c r="B101" s="2" t="str">
        <f t="shared" si="1"/>
        <v>$dis=distance;$dis-500;</v>
      </c>
      <c r="C101" s="2" t="str">
        <f>"Beacon.Put(30,0,"&amp;E電入力!AK101&amp;");"</f>
        <v>Beacon.Put(30,0,500);</v>
      </c>
      <c r="D101" s="2" t="str">
        <f ca="1">"Beacon.Put(105,0,"&amp;E電入力!AL101&amp;");"</f>
        <v>Beacon.Put(105,0,1000489);</v>
      </c>
      <c r="E101" s="2" t="str">
        <f>"Beacon.Put(106,0,"&amp;E電入力!AJ102&amp;");"</f>
        <v>Beacon.Put(106,0,000000);</v>
      </c>
    </row>
    <row r="102" spans="1:5">
      <c r="A102" s="2" t="str">
        <f>E電入力!C103&amp;";"</f>
        <v>;</v>
      </c>
      <c r="B102" s="2" t="str">
        <f t="shared" si="1"/>
        <v>$dis=distance;$dis-500;</v>
      </c>
      <c r="C102" s="2" t="str">
        <f>"Beacon.Put(30,0,"&amp;E電入力!AK102&amp;");"</f>
        <v>Beacon.Put(30,0,500);</v>
      </c>
      <c r="D102" s="2" t="str">
        <f ca="1">"Beacon.Put(105,0,"&amp;E電入力!AL102&amp;");"</f>
        <v>Beacon.Put(105,0,1000489);</v>
      </c>
      <c r="E102" s="2" t="str">
        <f>"Beacon.Put(106,0,"&amp;E電入力!AJ103&amp;");"</f>
        <v>Beacon.Put(106,0,000000);</v>
      </c>
    </row>
  </sheetData>
  <pageMargins left="0.7" right="0.7" top="0.75" bottom="0.75" header="0.3" footer="0.3"/>
  <pageSetup paperSize="9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1785D7-3C6B-4AEB-9C24-EEA4DFC5D8BD}">
  <dimension ref="A1:I102"/>
  <sheetViews>
    <sheetView workbookViewId="0"/>
  </sheetViews>
  <sheetFormatPr defaultRowHeight="14.4"/>
  <cols>
    <col min="1" max="1" width="16.109375" bestFit="1" customWidth="1"/>
    <col min="2" max="2" width="19" bestFit="1" customWidth="1"/>
    <col min="3" max="3" width="17.77734375" bestFit="1" customWidth="1"/>
    <col min="5" max="5" width="17.77734375" bestFit="1" customWidth="1"/>
    <col min="6" max="6" width="11.77734375" bestFit="1" customWidth="1"/>
    <col min="7" max="7" width="17.77734375" bestFit="1" customWidth="1"/>
    <col min="8" max="8" width="12.21875" bestFit="1" customWidth="1"/>
    <col min="9" max="9" width="19.77734375" bestFit="1" customWidth="1"/>
  </cols>
  <sheetData>
    <row r="1" spans="1:9">
      <c r="A1" s="12" t="s">
        <v>83</v>
      </c>
    </row>
    <row r="2" spans="1:9">
      <c r="A2" s="2" t="s">
        <v>74</v>
      </c>
      <c r="B2" s="12"/>
      <c r="C2" s="12"/>
      <c r="D2" s="12"/>
      <c r="E2" s="12"/>
      <c r="F2" s="12"/>
      <c r="G2" s="12"/>
      <c r="H2" s="12"/>
      <c r="I2" s="12"/>
    </row>
    <row r="3" spans="1:9">
      <c r="A3" s="12" t="str">
        <f>E電入力!C4&amp;";"</f>
        <v>168950;</v>
      </c>
      <c r="B3" s="12" t="s">
        <v>82</v>
      </c>
      <c r="C3" s="12" t="str">
        <f ca="1">"Beacon.Put(117,0,"&amp;E電入力!AS4&amp;");"</f>
        <v>Beacon.Put(117,0,1);</v>
      </c>
      <c r="D3" s="12" t="s">
        <v>85</v>
      </c>
      <c r="E3" s="12" t="str">
        <f ca="1">"Beacon.Put(117,0,"&amp;E電入力!AT4&amp;");"</f>
        <v>Beacon.Put(117,0,2);</v>
      </c>
      <c r="F3" s="12" t="str">
        <f>"$dis+"&amp;IF(E電入力!$C5&gt;E電入力!$C4,0.5*(E電入力!$C5-E電入力!$C4),20)&amp;";"</f>
        <v>$dis+1787.5;</v>
      </c>
      <c r="G3" s="12" t="str">
        <f ca="1">"Beacon.Put(117,0,"&amp;E電入力!AU4&amp;");"</f>
        <v>Beacon.Put(117,0,3);</v>
      </c>
      <c r="H3" s="12" t="str">
        <f>"$dis+"&amp;IF(E電入力!$C5&gt;E電入力!$C4,0.75*(E電入力!$C5-E電入力!$C4),20)&amp;";"</f>
        <v>$dis+2681.25;</v>
      </c>
      <c r="I3" s="12" t="str">
        <f ca="1">"Beacon.Put(117,0,"&amp;E電入力!AV4&amp;");"</f>
        <v>Beacon.Put(117,0,4);</v>
      </c>
    </row>
    <row r="4" spans="1:9">
      <c r="A4" s="12" t="str">
        <f>E電入力!C5&amp;";"</f>
        <v>172525;</v>
      </c>
      <c r="B4" s="12" t="s">
        <v>84</v>
      </c>
      <c r="C4" s="12" t="str">
        <f ca="1">"Beacon.Put(117,0,"&amp;E電入力!AS5&amp;");"</f>
        <v>Beacon.Put(117,0,1);</v>
      </c>
      <c r="D4" s="12" t="s">
        <v>85</v>
      </c>
      <c r="E4" s="12" t="str">
        <f ca="1">"Beacon.Put(117,0,"&amp;E電入力!AT5&amp;");"</f>
        <v>Beacon.Put(117,0,2);</v>
      </c>
      <c r="F4" s="12" t="str">
        <f>"$dis+"&amp;IF(E電入力!$C6&gt;E電入力!$C5,0.5*(E電入力!$C6-E電入力!$C5),20)&amp;";"</f>
        <v>$dis+1350;</v>
      </c>
      <c r="G4" s="12" t="str">
        <f ca="1">"Beacon.Put(117,0,"&amp;E電入力!AU5&amp;");"</f>
        <v>Beacon.Put(117,0,3);</v>
      </c>
      <c r="H4" s="12" t="str">
        <f>"$dis+"&amp;IF(E電入力!$C6&gt;E電入力!$C5,0.75*(E電入力!$C6-E電入力!$C5),20)&amp;";"</f>
        <v>$dis+2025;</v>
      </c>
      <c r="I4" s="12" t="str">
        <f ca="1">"Beacon.Put(117,0,"&amp;E電入力!AV5&amp;");"</f>
        <v>Beacon.Put(117,0,4);</v>
      </c>
    </row>
    <row r="5" spans="1:9">
      <c r="A5" s="12" t="str">
        <f>E電入力!C6&amp;";"</f>
        <v>175225;</v>
      </c>
      <c r="B5" s="12" t="s">
        <v>84</v>
      </c>
      <c r="C5" s="12" t="str">
        <f ca="1">"Beacon.Put(117,0,"&amp;E電入力!AS6&amp;");"</f>
        <v>Beacon.Put(117,0,1);</v>
      </c>
      <c r="D5" s="12" t="s">
        <v>85</v>
      </c>
      <c r="E5" s="12" t="str">
        <f ca="1">"Beacon.Put(117,0,"&amp;E電入力!AT6&amp;");"</f>
        <v>Beacon.Put(117,0,2);</v>
      </c>
      <c r="F5" s="12" t="str">
        <f>"$dis+"&amp;IF(E電入力!$C7&gt;E電入力!$C6,0.5*(E電入力!$C7-E電入力!$C6),20)&amp;";"</f>
        <v>$dis+2150;</v>
      </c>
      <c r="G5" s="12" t="str">
        <f ca="1">"Beacon.Put(117,0,"&amp;E電入力!AU6&amp;");"</f>
        <v>Beacon.Put(117,0,3);</v>
      </c>
      <c r="H5" s="12" t="str">
        <f>"$dis+"&amp;IF(E電入力!$C7&gt;E電入力!$C6,0.75*(E電入力!$C7-E電入力!$C6),20)&amp;";"</f>
        <v>$dis+3225;</v>
      </c>
      <c r="I5" s="12" t="str">
        <f ca="1">"Beacon.Put(117,0,"&amp;E電入力!AV6&amp;");"</f>
        <v>Beacon.Put(117,0,4);</v>
      </c>
    </row>
    <row r="6" spans="1:9">
      <c r="A6" s="12" t="str">
        <f>E電入力!C7&amp;";"</f>
        <v>179525;</v>
      </c>
      <c r="B6" s="12" t="s">
        <v>84</v>
      </c>
      <c r="C6" s="12" t="str">
        <f ca="1">"Beacon.Put(117,0,"&amp;E電入力!AS7&amp;");"</f>
        <v>Beacon.Put(117,0,1);</v>
      </c>
      <c r="D6" s="12" t="s">
        <v>85</v>
      </c>
      <c r="E6" s="12" t="str">
        <f ca="1">"Beacon.Put(117,0,"&amp;E電入力!AT7&amp;");"</f>
        <v>Beacon.Put(117,0,2);</v>
      </c>
      <c r="F6" s="12" t="str">
        <f>"$dis+"&amp;IF(E電入力!$C8&gt;E電入力!$C7,0.5*(E電入力!$C8-E電入力!$C7),20)&amp;";"</f>
        <v>$dis+1225;</v>
      </c>
      <c r="G6" s="12" t="str">
        <f ca="1">"Beacon.Put(117,0,"&amp;E電入力!AU7&amp;");"</f>
        <v>Beacon.Put(117,0,3);</v>
      </c>
      <c r="H6" s="12" t="str">
        <f>"$dis+"&amp;IF(E電入力!$C8&gt;E電入力!$C7,0.75*(E電入力!$C8-E電入力!$C7),20)&amp;";"</f>
        <v>$dis+1837.5;</v>
      </c>
      <c r="I6" s="12" t="str">
        <f ca="1">"Beacon.Put(117,0,"&amp;E電入力!AV7&amp;");"</f>
        <v>Beacon.Put(117,0,4);</v>
      </c>
    </row>
    <row r="7" spans="1:9">
      <c r="A7" s="12" t="str">
        <f>E電入力!C8&amp;";"</f>
        <v>181975;</v>
      </c>
      <c r="B7" s="12" t="s">
        <v>84</v>
      </c>
      <c r="C7" s="12" t="str">
        <f ca="1">"Beacon.Put(117,0,"&amp;E電入力!AS8&amp;");"</f>
        <v>Beacon.Put(117,0,1);</v>
      </c>
      <c r="D7" s="12" t="s">
        <v>85</v>
      </c>
      <c r="E7" s="12" t="str">
        <f ca="1">"Beacon.Put(117,0,"&amp;E電入力!AT8&amp;");"</f>
        <v>Beacon.Put(117,0,2);</v>
      </c>
      <c r="F7" s="12" t="str">
        <f>"$dis+"&amp;IF(E電入力!$C9&gt;E電入力!$C8,0.5*(E電入力!$C9-E電入力!$C8),20)&amp;";"</f>
        <v>$dis+1675;</v>
      </c>
      <c r="G7" s="12" t="str">
        <f ca="1">"Beacon.Put(117,0,"&amp;E電入力!AU8&amp;");"</f>
        <v>Beacon.Put(117,0,3);</v>
      </c>
      <c r="H7" s="12" t="str">
        <f>"$dis+"&amp;IF(E電入力!$C9&gt;E電入力!$C8,0.75*(E電入力!$C9-E電入力!$C8),20)&amp;";"</f>
        <v>$dis+2512.5;</v>
      </c>
      <c r="I7" s="12" t="str">
        <f ca="1">"Beacon.Put(117,0,"&amp;E電入力!AV8&amp;");"</f>
        <v>Beacon.Put(117,0,4);</v>
      </c>
    </row>
    <row r="8" spans="1:9">
      <c r="A8" s="12" t="str">
        <f>E電入力!C9&amp;";"</f>
        <v>185325;</v>
      </c>
      <c r="B8" s="12" t="s">
        <v>84</v>
      </c>
      <c r="C8" s="12" t="str">
        <f ca="1">"Beacon.Put(117,0,"&amp;E電入力!AS9&amp;");"</f>
        <v>Beacon.Put(117,0,1);</v>
      </c>
      <c r="D8" s="12" t="s">
        <v>85</v>
      </c>
      <c r="E8" s="12" t="str">
        <f ca="1">"Beacon.Put(117,0,"&amp;E電入力!AT9&amp;");"</f>
        <v>Beacon.Put(117,0,2);</v>
      </c>
      <c r="F8" s="12" t="str">
        <f>"$dis+"&amp;IF(E電入力!$C10&gt;E電入力!$C9,0.5*(E電入力!$C10-E電入力!$C9),20)&amp;";"</f>
        <v>$dis+1550;</v>
      </c>
      <c r="G8" s="12" t="str">
        <f ca="1">"Beacon.Put(117,0,"&amp;E電入力!AU9&amp;");"</f>
        <v>Beacon.Put(117,0,3);</v>
      </c>
      <c r="H8" s="12" t="str">
        <f>"$dis+"&amp;IF(E電入力!$C10&gt;E電入力!$C9,0.75*(E電入力!$C10-E電入力!$C9),20)&amp;";"</f>
        <v>$dis+2325;</v>
      </c>
      <c r="I8" s="12" t="str">
        <f ca="1">"Beacon.Put(117,0,"&amp;E電入力!AV9&amp;");"</f>
        <v>Beacon.Put(117,0,4);</v>
      </c>
    </row>
    <row r="9" spans="1:9">
      <c r="A9" s="12" t="str">
        <f>E電入力!C10&amp;";"</f>
        <v>188425;</v>
      </c>
      <c r="B9" s="12" t="s">
        <v>84</v>
      </c>
      <c r="C9" s="12" t="str">
        <f ca="1">"Beacon.Put(117,0,"&amp;E電入力!AS10&amp;");"</f>
        <v>Beacon.Put(117,0,1);</v>
      </c>
      <c r="D9" s="12" t="s">
        <v>85</v>
      </c>
      <c r="E9" s="12" t="str">
        <f ca="1">"Beacon.Put(117,0,"&amp;E電入力!AT10&amp;");"</f>
        <v>Beacon.Put(117,0,2);</v>
      </c>
      <c r="F9" s="12" t="str">
        <f>"$dis+"&amp;IF(E電入力!$C11&gt;E電入力!$C10,0.5*(E電入力!$C11-E電入力!$C10),20)&amp;";"</f>
        <v>$dis+862.5;</v>
      </c>
      <c r="G9" s="12" t="str">
        <f ca="1">"Beacon.Put(117,0,"&amp;E電入力!AU10&amp;");"</f>
        <v>Beacon.Put(117,0,3);</v>
      </c>
      <c r="H9" s="12" t="str">
        <f>"$dis+"&amp;IF(E電入力!$C11&gt;E電入力!$C10,0.75*(E電入力!$C11-E電入力!$C10),20)&amp;";"</f>
        <v>$dis+1293.75;</v>
      </c>
      <c r="I9" s="12" t="str">
        <f ca="1">"Beacon.Put(117,0,"&amp;E電入力!AV10&amp;");"</f>
        <v>Beacon.Put(117,0,4);</v>
      </c>
    </row>
    <row r="10" spans="1:9">
      <c r="A10" s="12" t="str">
        <f>E電入力!C11&amp;";"</f>
        <v>190150;</v>
      </c>
      <c r="B10" s="12" t="s">
        <v>84</v>
      </c>
      <c r="C10" s="12" t="str">
        <f ca="1">"Beacon.Put(117,0,"&amp;E電入力!AS11&amp;");"</f>
        <v>Beacon.Put(117,0,1);</v>
      </c>
      <c r="D10" s="12" t="s">
        <v>85</v>
      </c>
      <c r="E10" s="12" t="str">
        <f ca="1">"Beacon.Put(117,0,"&amp;E電入力!AT11&amp;");"</f>
        <v>Beacon.Put(117,0,2);</v>
      </c>
      <c r="F10" s="12" t="str">
        <f>"$dis+"&amp;IF(E電入力!$C12&gt;E電入力!$C11,0.5*(E電入力!$C12-E電入力!$C11),20)&amp;";"</f>
        <v>$dis+737.5;</v>
      </c>
      <c r="G10" s="12" t="str">
        <f ca="1">"Beacon.Put(117,0,"&amp;E電入力!AU11&amp;");"</f>
        <v>Beacon.Put(117,0,3);</v>
      </c>
      <c r="H10" s="12" t="str">
        <f>"$dis+"&amp;IF(E電入力!$C12&gt;E電入力!$C11,0.75*(E電入力!$C12-E電入力!$C11),20)&amp;";"</f>
        <v>$dis+1106.25;</v>
      </c>
      <c r="I10" s="12" t="str">
        <f ca="1">"Beacon.Put(117,0,"&amp;E電入力!AV11&amp;");"</f>
        <v>Beacon.Put(117,0,4);</v>
      </c>
    </row>
    <row r="11" spans="1:9">
      <c r="A11" s="12" t="str">
        <f>E電入力!C12&amp;";"</f>
        <v>191625;</v>
      </c>
      <c r="B11" s="12" t="s">
        <v>84</v>
      </c>
      <c r="C11" s="12" t="str">
        <f ca="1">"Beacon.Put(117,0,"&amp;E電入力!AS12&amp;");"</f>
        <v>Beacon.Put(117,0,1);</v>
      </c>
      <c r="D11" s="12" t="s">
        <v>85</v>
      </c>
      <c r="E11" s="12" t="str">
        <f ca="1">"Beacon.Put(117,0,"&amp;E電入力!AT12&amp;");"</f>
        <v>Beacon.Put(117,0,2);</v>
      </c>
      <c r="F11" s="12" t="str">
        <f>"$dis+"&amp;IF(E電入力!$C13&gt;E電入力!$C12,0.5*(E電入力!$C13-E電入力!$C12),20)&amp;";"</f>
        <v>$dis+1137.5;</v>
      </c>
      <c r="G11" s="12" t="str">
        <f ca="1">"Beacon.Put(117,0,"&amp;E電入力!AU12&amp;");"</f>
        <v>Beacon.Put(117,0,3);</v>
      </c>
      <c r="H11" s="12" t="str">
        <f>"$dis+"&amp;IF(E電入力!$C13&gt;E電入力!$C12,0.75*(E電入力!$C13-E電入力!$C12),20)&amp;";"</f>
        <v>$dis+1706.25;</v>
      </c>
      <c r="I11" s="12" t="str">
        <f ca="1">"Beacon.Put(117,0,"&amp;E電入力!AV12&amp;");"</f>
        <v>Beacon.Put(117,0,4);</v>
      </c>
    </row>
    <row r="12" spans="1:9">
      <c r="A12" s="12" t="str">
        <f>E電入力!C13&amp;";"</f>
        <v>193900;</v>
      </c>
      <c r="B12" s="12" t="s">
        <v>84</v>
      </c>
      <c r="C12" s="12" t="str">
        <f ca="1">"Beacon.Put(117,0,"&amp;E電入力!AS13&amp;");"</f>
        <v>Beacon.Put(117,0,1);</v>
      </c>
      <c r="D12" s="12" t="s">
        <v>85</v>
      </c>
      <c r="E12" s="12" t="str">
        <f ca="1">"Beacon.Put(117,0,"&amp;E電入力!AT13&amp;");"</f>
        <v>Beacon.Put(117,0,2);</v>
      </c>
      <c r="F12" s="12" t="str">
        <f>"$dis+"&amp;IF(E電入力!$C14&gt;E電入力!$C13,0.5*(E電入力!$C14-E電入力!$C13),20)&amp;";"</f>
        <v>$dis+850;</v>
      </c>
      <c r="G12" s="12" t="str">
        <f ca="1">"Beacon.Put(117,0,"&amp;E電入力!AU13&amp;");"</f>
        <v>Beacon.Put(117,0,3);</v>
      </c>
      <c r="H12" s="12" t="str">
        <f>"$dis+"&amp;IF(E電入力!$C14&gt;E電入力!$C13,0.75*(E電入力!$C14-E電入力!$C13),20)&amp;";"</f>
        <v>$dis+1275;</v>
      </c>
      <c r="I12" s="12" t="str">
        <f ca="1">"Beacon.Put(117,0,"&amp;E電入力!AV13&amp;");"</f>
        <v>Beacon.Put(117,0,4);</v>
      </c>
    </row>
    <row r="13" spans="1:9">
      <c r="A13" s="12" t="str">
        <f>E電入力!C14&amp;";"</f>
        <v>195600;</v>
      </c>
      <c r="B13" s="12" t="s">
        <v>84</v>
      </c>
      <c r="C13" s="12" t="str">
        <f ca="1">"Beacon.Put(117,0,"&amp;E電入力!AS14&amp;");"</f>
        <v>Beacon.Put(117,0,1);</v>
      </c>
      <c r="D13" s="12" t="s">
        <v>85</v>
      </c>
      <c r="E13" s="12" t="str">
        <f ca="1">"Beacon.Put(117,0,"&amp;E電入力!AT14&amp;");"</f>
        <v>Beacon.Put(117,0,2);</v>
      </c>
      <c r="F13" s="12" t="str">
        <f>"$dis+"&amp;IF(E電入力!$C15&gt;E電入力!$C14,0.5*(E電入力!$C15-E電入力!$C14),20)&amp;";"</f>
        <v>$dis+862.5;</v>
      </c>
      <c r="G13" s="12" t="str">
        <f ca="1">"Beacon.Put(117,0,"&amp;E電入力!AU14&amp;");"</f>
        <v>Beacon.Put(117,0,3);</v>
      </c>
      <c r="H13" s="12" t="str">
        <f>"$dis+"&amp;IF(E電入力!$C15&gt;E電入力!$C14,0.75*(E電入力!$C15-E電入力!$C14),20)&amp;";"</f>
        <v>$dis+1293.75;</v>
      </c>
      <c r="I13" s="12" t="str">
        <f ca="1">"Beacon.Put(117,0,"&amp;E電入力!AV14&amp;");"</f>
        <v>Beacon.Put(117,0,4);</v>
      </c>
    </row>
    <row r="14" spans="1:9">
      <c r="A14" s="12" t="str">
        <f>E電入力!C15&amp;";"</f>
        <v>197325;</v>
      </c>
      <c r="B14" s="12" t="s">
        <v>84</v>
      </c>
      <c r="C14" s="12" t="str">
        <f ca="1">"Beacon.Put(117,0,"&amp;E電入力!AS15&amp;");"</f>
        <v>Beacon.Put(117,0,1);</v>
      </c>
      <c r="D14" s="12" t="s">
        <v>85</v>
      </c>
      <c r="E14" s="12" t="str">
        <f ca="1">"Beacon.Put(117,0,"&amp;E電入力!AT15&amp;");"</f>
        <v>Beacon.Put(117,0,2);</v>
      </c>
      <c r="F14" s="12" t="str">
        <f>"$dis+"&amp;IF(E電入力!$C16&gt;E電入力!$C15,0.5*(E電入力!$C16-E電入力!$C15),20)&amp;";"</f>
        <v>$dis+800;</v>
      </c>
      <c r="G14" s="12" t="str">
        <f ca="1">"Beacon.Put(117,0,"&amp;E電入力!AU15&amp;");"</f>
        <v>Beacon.Put(117,0,3);</v>
      </c>
      <c r="H14" s="12" t="str">
        <f>"$dis+"&amp;IF(E電入力!$C16&gt;E電入力!$C15,0.75*(E電入力!$C16-E電入力!$C15),20)&amp;";"</f>
        <v>$dis+1200;</v>
      </c>
      <c r="I14" s="12" t="str">
        <f ca="1">"Beacon.Put(117,0,"&amp;E電入力!AV15&amp;");"</f>
        <v>Beacon.Put(117,0,4);</v>
      </c>
    </row>
    <row r="15" spans="1:9">
      <c r="A15" s="12" t="str">
        <f>E電入力!C16&amp;";"</f>
        <v>198925;</v>
      </c>
      <c r="B15" s="12" t="s">
        <v>84</v>
      </c>
      <c r="C15" s="12" t="str">
        <f ca="1">"Beacon.Put(117,0,"&amp;E電入力!AS16&amp;");"</f>
        <v>Beacon.Put(117,0,1);</v>
      </c>
      <c r="D15" s="12" t="s">
        <v>85</v>
      </c>
      <c r="E15" s="12" t="str">
        <f ca="1">"Beacon.Put(117,0,"&amp;E電入力!AT16&amp;");"</f>
        <v>Beacon.Put(117,0,2);</v>
      </c>
      <c r="F15" s="12" t="str">
        <f>"$dis+"&amp;IF(E電入力!$C17&gt;E電入力!$C16,0.5*(E電入力!$C17-E電入力!$C16),20)&amp;";"</f>
        <v>$dis+775;</v>
      </c>
      <c r="G15" s="12" t="str">
        <f ca="1">"Beacon.Put(117,0,"&amp;E電入力!AU16&amp;");"</f>
        <v>Beacon.Put(117,0,3);</v>
      </c>
      <c r="H15" s="12" t="str">
        <f>"$dis+"&amp;IF(E電入力!$C17&gt;E電入力!$C16,0.75*(E電入力!$C17-E電入力!$C16),20)&amp;";"</f>
        <v>$dis+1162.5;</v>
      </c>
      <c r="I15" s="12" t="str">
        <f ca="1">"Beacon.Put(117,0,"&amp;E電入力!AV16&amp;");"</f>
        <v>Beacon.Put(117,0,4);</v>
      </c>
    </row>
    <row r="16" spans="1:9">
      <c r="A16" s="12" t="str">
        <f>E電入力!C17&amp;";"</f>
        <v>200475;</v>
      </c>
      <c r="B16" s="12" t="s">
        <v>84</v>
      </c>
      <c r="C16" s="12" t="str">
        <f ca="1">"Beacon.Put(117,0,"&amp;E電入力!AS17&amp;");"</f>
        <v>Beacon.Put(117,0,1);</v>
      </c>
      <c r="D16" s="12" t="s">
        <v>85</v>
      </c>
      <c r="E16" s="12" t="str">
        <f ca="1">"Beacon.Put(117,0,"&amp;E電入力!AT17&amp;");"</f>
        <v>Beacon.Put(117,0,2);</v>
      </c>
      <c r="F16" s="12" t="str">
        <f>"$dis+"&amp;IF(E電入力!$C18&gt;E電入力!$C17,0.5*(E電入力!$C18-E電入力!$C17),20)&amp;";"</f>
        <v>$dis+800;</v>
      </c>
      <c r="G16" s="12" t="str">
        <f ca="1">"Beacon.Put(117,0,"&amp;E電入力!AU17&amp;");"</f>
        <v>Beacon.Put(117,0,3);</v>
      </c>
      <c r="H16" s="12" t="str">
        <f>"$dis+"&amp;IF(E電入力!$C18&gt;E電入力!$C17,0.75*(E電入力!$C18-E電入力!$C17),20)&amp;";"</f>
        <v>$dis+1200;</v>
      </c>
      <c r="I16" s="12" t="str">
        <f ca="1">"Beacon.Put(117,0,"&amp;E電入力!AV17&amp;");"</f>
        <v>Beacon.Put(117,0,4);</v>
      </c>
    </row>
    <row r="17" spans="1:9">
      <c r="A17" s="12" t="str">
        <f>E電入力!C18&amp;";"</f>
        <v>202075;</v>
      </c>
      <c r="B17" s="12" t="s">
        <v>84</v>
      </c>
      <c r="C17" s="12" t="str">
        <f ca="1">"Beacon.Put(117,0,"&amp;E電入力!AS18&amp;");"</f>
        <v>Beacon.Put(117,0,1);</v>
      </c>
      <c r="D17" s="12" t="s">
        <v>85</v>
      </c>
      <c r="E17" s="12" t="str">
        <f ca="1">"Beacon.Put(117,0,"&amp;E電入力!AT18&amp;");"</f>
        <v>Beacon.Put(117,0,2);</v>
      </c>
      <c r="F17" s="12" t="str">
        <f>"$dis+"&amp;IF(E電入力!$C19&gt;E電入力!$C18,0.5*(E電入力!$C19-E電入力!$C18),20)&amp;";"</f>
        <v>$dis+885;</v>
      </c>
      <c r="G17" s="12" t="str">
        <f ca="1">"Beacon.Put(117,0,"&amp;E電入力!AU18&amp;");"</f>
        <v>Beacon.Put(117,0,3);</v>
      </c>
      <c r="H17" s="12" t="str">
        <f>"$dis+"&amp;IF(E電入力!$C19&gt;E電入力!$C18,0.75*(E電入力!$C19-E電入力!$C18),20)&amp;";"</f>
        <v>$dis+1327.5;</v>
      </c>
      <c r="I17" s="12" t="str">
        <f ca="1">"Beacon.Put(117,0,"&amp;E電入力!AV18&amp;");"</f>
        <v>Beacon.Put(117,0,4);</v>
      </c>
    </row>
    <row r="18" spans="1:9">
      <c r="A18" s="12" t="str">
        <f>E電入力!C19&amp;";"</f>
        <v>203845;</v>
      </c>
      <c r="B18" s="12" t="s">
        <v>84</v>
      </c>
      <c r="C18" s="12" t="str">
        <f ca="1">"Beacon.Put(117,0,"&amp;E電入力!AS19&amp;");"</f>
        <v>Beacon.Put(117,0,1);</v>
      </c>
      <c r="D18" s="12" t="s">
        <v>85</v>
      </c>
      <c r="E18" s="12" t="str">
        <f ca="1">"Beacon.Put(117,0,"&amp;E電入力!AT19&amp;");"</f>
        <v>Beacon.Put(117,0,2);</v>
      </c>
      <c r="F18" s="12" t="str">
        <f>"$dis+"&amp;IF(E電入力!$C20&gt;E電入力!$C19,0.5*(E電入力!$C20-E電入力!$C19),20)&amp;";"</f>
        <v>$dis+740;</v>
      </c>
      <c r="G18" s="12" t="str">
        <f ca="1">"Beacon.Put(117,0,"&amp;E電入力!AU19&amp;");"</f>
        <v>Beacon.Put(117,0,3);</v>
      </c>
      <c r="H18" s="12" t="str">
        <f>"$dis+"&amp;IF(E電入力!$C20&gt;E電入力!$C19,0.75*(E電入力!$C20-E電入力!$C19),20)&amp;";"</f>
        <v>$dis+1110;</v>
      </c>
      <c r="I18" s="12" t="str">
        <f ca="1">"Beacon.Put(117,0,"&amp;E電入力!AV19&amp;");"</f>
        <v>Beacon.Put(117,0,4);</v>
      </c>
    </row>
    <row r="19" spans="1:9">
      <c r="A19" s="12" t="str">
        <f>E電入力!C20&amp;";"</f>
        <v>205325;</v>
      </c>
      <c r="B19" s="12" t="s">
        <v>84</v>
      </c>
      <c r="C19" s="12" t="str">
        <f ca="1">"Beacon.Put(117,0,"&amp;E電入力!AS20&amp;");"</f>
        <v>Beacon.Put(117,0,1);</v>
      </c>
      <c r="D19" s="12" t="s">
        <v>85</v>
      </c>
      <c r="E19" s="12" t="str">
        <f ca="1">"Beacon.Put(117,0,"&amp;E電入力!AT20&amp;");"</f>
        <v>Beacon.Put(117,0,2);</v>
      </c>
      <c r="F19" s="12" t="str">
        <f>"$dis+"&amp;IF(E電入力!$C21&gt;E電入力!$C20,0.5*(E電入力!$C21-E電入力!$C20),20)&amp;";"</f>
        <v>$dis+700;</v>
      </c>
      <c r="G19" s="12" t="str">
        <f ca="1">"Beacon.Put(117,0,"&amp;E電入力!AU20&amp;");"</f>
        <v>Beacon.Put(117,0,3);</v>
      </c>
      <c r="H19" s="12" t="str">
        <f>"$dis+"&amp;IF(E電入力!$C21&gt;E電入力!$C20,0.75*(E電入力!$C21-E電入力!$C20),20)&amp;";"</f>
        <v>$dis+1050;</v>
      </c>
      <c r="I19" s="12" t="str">
        <f ca="1">"Beacon.Put(117,0,"&amp;E電入力!AV20&amp;");"</f>
        <v>Beacon.Put(117,0,4);</v>
      </c>
    </row>
    <row r="20" spans="1:9">
      <c r="A20" s="12" t="str">
        <f>E電入力!C21&amp;";"</f>
        <v>206725;</v>
      </c>
      <c r="B20" s="12" t="s">
        <v>84</v>
      </c>
      <c r="C20" s="12" t="str">
        <f ca="1">"Beacon.Put(117,0,"&amp;E電入力!AS21&amp;");"</f>
        <v>Beacon.Put(117,0,1);</v>
      </c>
      <c r="D20" s="12" t="s">
        <v>85</v>
      </c>
      <c r="E20" s="12" t="str">
        <f ca="1">"Beacon.Put(117,0,"&amp;E電入力!AT21&amp;");"</f>
        <v>Beacon.Put(117,0,2);</v>
      </c>
      <c r="F20" s="12" t="str">
        <f>"$dis+"&amp;IF(E電入力!$C22&gt;E電入力!$C21,0.5*(E電入力!$C22-E電入力!$C21),20)&amp;";"</f>
        <v>$dis+750;</v>
      </c>
      <c r="G20" s="12" t="str">
        <f ca="1">"Beacon.Put(117,0,"&amp;E電入力!AU21&amp;");"</f>
        <v>Beacon.Put(117,0,3);</v>
      </c>
      <c r="H20" s="12" t="str">
        <f>"$dis+"&amp;IF(E電入力!$C22&gt;E電入力!$C21,0.75*(E電入力!$C22-E電入力!$C21),20)&amp;";"</f>
        <v>$dis+1125;</v>
      </c>
      <c r="I20" s="12" t="str">
        <f ca="1">"Beacon.Put(117,0,"&amp;E電入力!AV21&amp;");"</f>
        <v>Beacon.Put(117,0,4);</v>
      </c>
    </row>
    <row r="21" spans="1:9">
      <c r="A21" s="12" t="str">
        <f>E電入力!C22&amp;";"</f>
        <v>208225;</v>
      </c>
      <c r="B21" s="12" t="s">
        <v>84</v>
      </c>
      <c r="C21" s="12" t="str">
        <f ca="1">"Beacon.Put(117,0,"&amp;E電入力!AS22&amp;");"</f>
        <v>Beacon.Put(117,0,1);</v>
      </c>
      <c r="D21" s="12" t="s">
        <v>85</v>
      </c>
      <c r="E21" s="12" t="str">
        <f ca="1">"Beacon.Put(117,0,"&amp;E電入力!AT22&amp;");"</f>
        <v>Beacon.Put(117,0,2);</v>
      </c>
      <c r="F21" s="12" t="str">
        <f>"$dis+"&amp;IF(E電入力!$C23&gt;E電入力!$C22,0.5*(E電入力!$C23-E電入力!$C22),20)&amp;";"</f>
        <v>$dis+2225;</v>
      </c>
      <c r="G21" s="12" t="str">
        <f ca="1">"Beacon.Put(117,0,"&amp;E電入力!AU22&amp;");"</f>
        <v>Beacon.Put(117,0,3);</v>
      </c>
      <c r="H21" s="12" t="str">
        <f>"$dis+"&amp;IF(E電入力!$C23&gt;E電入力!$C22,0.75*(E電入力!$C23-E電入力!$C22),20)&amp;";"</f>
        <v>$dis+3337.5;</v>
      </c>
      <c r="I21" s="12" t="str">
        <f ca="1">"Beacon.Put(117,0,"&amp;E電入力!AV22&amp;");"</f>
        <v>Beacon.Put(117,0,4);</v>
      </c>
    </row>
    <row r="22" spans="1:9">
      <c r="A22" s="12" t="str">
        <f>E電入力!C23&amp;";"</f>
        <v>212675;</v>
      </c>
      <c r="B22" s="12" t="s">
        <v>84</v>
      </c>
      <c r="C22" s="12" t="str">
        <f ca="1">"Beacon.Put(117,0,"&amp;E電入力!AS23&amp;");"</f>
        <v>Beacon.Put(117,0,1);</v>
      </c>
      <c r="D22" s="12" t="s">
        <v>85</v>
      </c>
      <c r="E22" s="12" t="str">
        <f ca="1">"Beacon.Put(117,0,"&amp;E電入力!AT23&amp;");"</f>
        <v>Beacon.Put(117,0,2);</v>
      </c>
      <c r="F22" s="12" t="str">
        <f>"$dis+"&amp;IF(E電入力!$C24&gt;E電入力!$C23,0.5*(E電入力!$C24-E電入力!$C23),20)&amp;";"</f>
        <v>$dis+1850;</v>
      </c>
      <c r="G22" s="12" t="str">
        <f ca="1">"Beacon.Put(117,0,"&amp;E電入力!AU23&amp;");"</f>
        <v>Beacon.Put(117,0,3);</v>
      </c>
      <c r="H22" s="12" t="str">
        <f>"$dis+"&amp;IF(E電入力!$C24&gt;E電入力!$C23,0.75*(E電入力!$C24-E電入力!$C23),20)&amp;";"</f>
        <v>$dis+2775;</v>
      </c>
      <c r="I22" s="12" t="str">
        <f ca="1">"Beacon.Put(117,0,"&amp;E電入力!AV23&amp;");"</f>
        <v>Beacon.Put(117,0,4);</v>
      </c>
    </row>
    <row r="23" spans="1:9">
      <c r="A23" s="12" t="str">
        <f>E電入力!C24&amp;";"</f>
        <v>216375;</v>
      </c>
      <c r="B23" s="12" t="s">
        <v>84</v>
      </c>
      <c r="C23" s="12" t="str">
        <f ca="1">"Beacon.Put(117,0,"&amp;E電入力!AS24&amp;");"</f>
        <v>Beacon.Put(117,0,5);</v>
      </c>
      <c r="D23" s="12" t="s">
        <v>85</v>
      </c>
      <c r="E23" s="12" t="str">
        <f ca="1">"Beacon.Put(117,0,"&amp;E電入力!AT24&amp;");"</f>
        <v>Beacon.Put(117,0,6);</v>
      </c>
      <c r="F23" s="12" t="str">
        <f>"$dis+"&amp;IF(E電入力!$C25&gt;E電入力!$C24,0.5*(E電入力!$C25-E電入力!$C24),20)&amp;";"</f>
        <v>$dis+2082.5;</v>
      </c>
      <c r="G23" s="12" t="str">
        <f ca="1">"Beacon.Put(117,0,"&amp;E電入力!AU24&amp;");"</f>
        <v>Beacon.Put(117,0,7);</v>
      </c>
      <c r="H23" s="12" t="str">
        <f>"$dis+"&amp;IF(E電入力!$C25&gt;E電入力!$C24,0.75*(E電入力!$C25-E電入力!$C24),20)&amp;";"</f>
        <v>$dis+3123.75;</v>
      </c>
      <c r="I23" s="12" t="str">
        <f ca="1">"Beacon.Put(117,0,"&amp;E電入力!AV24&amp;");"</f>
        <v>Beacon.Put(117,0,8);</v>
      </c>
    </row>
    <row r="24" spans="1:9">
      <c r="A24" s="12" t="str">
        <f>E電入力!C25&amp;";"</f>
        <v>220540;</v>
      </c>
      <c r="B24" s="12" t="s">
        <v>84</v>
      </c>
      <c r="C24" s="12" t="str">
        <f ca="1">"Beacon.Put(117,0,"&amp;E電入力!AS25&amp;");"</f>
        <v>Beacon.Put(117,0,9);</v>
      </c>
      <c r="D24" s="12" t="s">
        <v>85</v>
      </c>
      <c r="E24" s="12" t="str">
        <f ca="1">"Beacon.Put(117,0,"&amp;E電入力!AT25&amp;");"</f>
        <v>Beacon.Put(117,0,10);</v>
      </c>
      <c r="F24" s="12" t="str">
        <f>"$dis+"&amp;IF(E電入力!$C26&gt;E電入力!$C25,0.5*(E電入力!$C26-E電入力!$C25),20)&amp;";"</f>
        <v>$dis+615;</v>
      </c>
      <c r="G24" s="12" t="str">
        <f ca="1">"Beacon.Put(117,0,"&amp;E電入力!AU25&amp;");"</f>
        <v>Beacon.Put(117,0,11);</v>
      </c>
      <c r="H24" s="12" t="str">
        <f>"$dis+"&amp;IF(E電入力!$C26&gt;E電入力!$C25,0.75*(E電入力!$C26-E電入力!$C25),20)&amp;";"</f>
        <v>$dis+922.5;</v>
      </c>
      <c r="I24" s="12" t="str">
        <f ca="1">"Beacon.Put(117,0,"&amp;E電入力!AV25&amp;");"</f>
        <v>Beacon.Put(117,0,12);</v>
      </c>
    </row>
    <row r="25" spans="1:9">
      <c r="A25" s="12" t="str">
        <f>E電入力!C26&amp;";"</f>
        <v>221770;</v>
      </c>
      <c r="B25" s="12" t="s">
        <v>84</v>
      </c>
      <c r="C25" s="12" t="str">
        <f ca="1">"Beacon.Put(117,0,"&amp;E電入力!AS26&amp;");"</f>
        <v>Beacon.Put(117,0,13);</v>
      </c>
      <c r="D25" s="12" t="s">
        <v>85</v>
      </c>
      <c r="E25" s="12" t="str">
        <f ca="1">"Beacon.Put(117,0,"&amp;E電入力!AT26&amp;");"</f>
        <v>Beacon.Put(117,0,14);</v>
      </c>
      <c r="F25" s="12" t="str">
        <f>"$dis+"&amp;IF(E電入力!$C27&gt;E電入力!$C26,0.5*(E電入力!$C27-E電入力!$C26),20)&amp;";"</f>
        <v>$dis+652.5;</v>
      </c>
      <c r="G25" s="12" t="str">
        <f ca="1">"Beacon.Put(117,0,"&amp;E電入力!AU26&amp;");"</f>
        <v>Beacon.Put(117,0,15);</v>
      </c>
      <c r="H25" s="12" t="str">
        <f>"$dis+"&amp;IF(E電入力!$C27&gt;E電入力!$C26,0.75*(E電入力!$C27-E電入力!$C26),20)&amp;";"</f>
        <v>$dis+978.75;</v>
      </c>
      <c r="I25" s="12" t="str">
        <f ca="1">"Beacon.Put(117,0,"&amp;E電入力!AV26&amp;");"</f>
        <v>Beacon.Put(117,0,16);</v>
      </c>
    </row>
    <row r="26" spans="1:9">
      <c r="A26" s="12" t="str">
        <f>E電入力!C27&amp;";"</f>
        <v>223075;</v>
      </c>
      <c r="B26" s="12" t="s">
        <v>84</v>
      </c>
      <c r="C26" s="12" t="str">
        <f ca="1">"Beacon.Put(117,0,"&amp;E電入力!AS27&amp;");"</f>
        <v>Beacon.Put(117,0,17);</v>
      </c>
      <c r="D26" s="12" t="s">
        <v>85</v>
      </c>
      <c r="E26" s="12" t="str">
        <f ca="1">"Beacon.Put(117,0,"&amp;E電入力!AT27&amp;");"</f>
        <v>Beacon.Put(117,0,18);</v>
      </c>
      <c r="F26" s="12" t="str">
        <f>"$dis+"&amp;IF(E電入力!$C28&gt;E電入力!$C27,0.5*(E電入力!$C28-E電入力!$C27),20)&amp;";"</f>
        <v>$dis+20;</v>
      </c>
      <c r="G26" s="12" t="str">
        <f ca="1">"Beacon.Put(117,0,"&amp;E電入力!AU27&amp;");"</f>
        <v>Beacon.Put(117,0,19);</v>
      </c>
      <c r="H26" s="12" t="str">
        <f>"$dis+"&amp;IF(E電入力!$C28&gt;E電入力!$C27,0.75*(E電入力!$C28-E電入力!$C27),20)&amp;";"</f>
        <v>$dis+20;</v>
      </c>
      <c r="I26" s="12" t="str">
        <f ca="1">"Beacon.Put(117,0,"&amp;E電入力!AV27&amp;");"</f>
        <v>Beacon.Put(117,0,20);</v>
      </c>
    </row>
    <row r="27" spans="1:9">
      <c r="A27" s="12" t="str">
        <f>E電入力!C28&amp;";"</f>
        <v>;</v>
      </c>
      <c r="B27" s="12" t="s">
        <v>84</v>
      </c>
      <c r="C27" s="12" t="str">
        <f ca="1">"Beacon.Put(117,0,"&amp;E電入力!AS28&amp;");"</f>
        <v>Beacon.Put(117,0,21);</v>
      </c>
      <c r="D27" s="12" t="s">
        <v>85</v>
      </c>
      <c r="E27" s="12" t="str">
        <f ca="1">"Beacon.Put(117,0,"&amp;E電入力!AT28&amp;");"</f>
        <v>Beacon.Put(117,0,22);</v>
      </c>
      <c r="F27" s="12" t="str">
        <f>"$dis+"&amp;IF(E電入力!$C29&gt;E電入力!$C28,0.5*(E電入力!$C29-E電入力!$C28),20)&amp;";"</f>
        <v>$dis+20;</v>
      </c>
      <c r="G27" s="12" t="str">
        <f ca="1">"Beacon.Put(117,0,"&amp;E電入力!AU28&amp;");"</f>
        <v>Beacon.Put(117,0,23);</v>
      </c>
      <c r="H27" s="12" t="str">
        <f>"$dis+"&amp;IF(E電入力!$C29&gt;E電入力!$C28,0.75*(E電入力!$C29-E電入力!$C28),20)&amp;";"</f>
        <v>$dis+20;</v>
      </c>
      <c r="I27" s="12" t="str">
        <f ca="1">"Beacon.Put(117,0,"&amp;E電入力!AV28&amp;");"</f>
        <v>Beacon.Put(117,0,24);</v>
      </c>
    </row>
    <row r="28" spans="1:9">
      <c r="A28" s="12" t="str">
        <f>E電入力!C29&amp;";"</f>
        <v>;</v>
      </c>
      <c r="B28" s="12" t="s">
        <v>84</v>
      </c>
      <c r="C28" s="12" t="str">
        <f ca="1">"Beacon.Put(117,0,"&amp;E電入力!AS29&amp;");"</f>
        <v>Beacon.Put(117,0,25);</v>
      </c>
      <c r="D28" s="12" t="s">
        <v>85</v>
      </c>
      <c r="E28" s="12" t="str">
        <f ca="1">"Beacon.Put(117,0,"&amp;E電入力!AT29&amp;");"</f>
        <v>Beacon.Put(117,0,26);</v>
      </c>
      <c r="F28" s="12" t="str">
        <f>"$dis+"&amp;IF(E電入力!$C30&gt;E電入力!$C29,0.5*(E電入力!$C30-E電入力!$C29),20)&amp;";"</f>
        <v>$dis+20;</v>
      </c>
      <c r="G28" s="12" t="str">
        <f ca="1">"Beacon.Put(117,0,"&amp;E電入力!AU29&amp;");"</f>
        <v>Beacon.Put(117,0,27);</v>
      </c>
      <c r="H28" s="12" t="str">
        <f>"$dis+"&amp;IF(E電入力!$C30&gt;E電入力!$C29,0.75*(E電入力!$C30-E電入力!$C29),20)&amp;";"</f>
        <v>$dis+20;</v>
      </c>
      <c r="I28" s="12" t="str">
        <f ca="1">"Beacon.Put(117,0,"&amp;E電入力!AV29&amp;");"</f>
        <v>Beacon.Put(117,0,28);</v>
      </c>
    </row>
    <row r="29" spans="1:9">
      <c r="A29" s="12" t="str">
        <f>E電入力!C30&amp;";"</f>
        <v>;</v>
      </c>
      <c r="B29" s="12" t="s">
        <v>84</v>
      </c>
      <c r="C29" s="12" t="str">
        <f ca="1">"Beacon.Put(117,0,"&amp;E電入力!AS30&amp;");"</f>
        <v>Beacon.Put(117,0,29);</v>
      </c>
      <c r="D29" s="12" t="s">
        <v>85</v>
      </c>
      <c r="E29" s="12" t="str">
        <f ca="1">"Beacon.Put(117,0,"&amp;E電入力!AT30&amp;");"</f>
        <v>Beacon.Put(117,0,30);</v>
      </c>
      <c r="F29" s="12" t="str">
        <f>"$dis+"&amp;IF(E電入力!$C31&gt;E電入力!$C30,0.5*(E電入力!$C31-E電入力!$C30),20)&amp;";"</f>
        <v>$dis+20;</v>
      </c>
      <c r="G29" s="12" t="str">
        <f ca="1">"Beacon.Put(117,0,"&amp;E電入力!AU30&amp;");"</f>
        <v>Beacon.Put(117,0,31);</v>
      </c>
      <c r="H29" s="12" t="str">
        <f>"$dis+"&amp;IF(E電入力!$C31&gt;E電入力!$C30,0.75*(E電入力!$C31-E電入力!$C30),20)&amp;";"</f>
        <v>$dis+20;</v>
      </c>
      <c r="I29" s="12" t="str">
        <f ca="1">"Beacon.Put(117,0,"&amp;E電入力!AV30&amp;");"</f>
        <v>Beacon.Put(117,0,32);</v>
      </c>
    </row>
    <row r="30" spans="1:9">
      <c r="A30" s="12" t="str">
        <f>E電入力!C31&amp;";"</f>
        <v>;</v>
      </c>
      <c r="B30" s="12" t="s">
        <v>84</v>
      </c>
      <c r="C30" s="12" t="str">
        <f ca="1">"Beacon.Put(117,0,"&amp;E電入力!AS31&amp;");"</f>
        <v>Beacon.Put(117,0,33);</v>
      </c>
      <c r="D30" s="12" t="s">
        <v>85</v>
      </c>
      <c r="E30" s="12" t="str">
        <f ca="1">"Beacon.Put(117,0,"&amp;E電入力!AT31&amp;");"</f>
        <v>Beacon.Put(117,0,34);</v>
      </c>
      <c r="F30" s="12" t="str">
        <f>"$dis+"&amp;IF(E電入力!$C32&gt;E電入力!$C31,0.5*(E電入力!$C32-E電入力!$C31),20)&amp;";"</f>
        <v>$dis+20;</v>
      </c>
      <c r="G30" s="12" t="str">
        <f ca="1">"Beacon.Put(117,0,"&amp;E電入力!AU31&amp;");"</f>
        <v>Beacon.Put(117,0,35);</v>
      </c>
      <c r="H30" s="12" t="str">
        <f>"$dis+"&amp;IF(E電入力!$C32&gt;E電入力!$C31,0.75*(E電入力!$C32-E電入力!$C31),20)&amp;";"</f>
        <v>$dis+20;</v>
      </c>
      <c r="I30" s="12" t="str">
        <f ca="1">"Beacon.Put(117,0,"&amp;E電入力!AV31&amp;");"</f>
        <v>Beacon.Put(117,0,36);</v>
      </c>
    </row>
    <row r="31" spans="1:9">
      <c r="A31" s="12" t="str">
        <f>E電入力!C32&amp;";"</f>
        <v>;</v>
      </c>
      <c r="B31" s="12" t="s">
        <v>84</v>
      </c>
      <c r="C31" s="12" t="str">
        <f ca="1">"Beacon.Put(117,0,"&amp;E電入力!AS32&amp;");"</f>
        <v>Beacon.Put(117,0,37);</v>
      </c>
      <c r="D31" s="12" t="s">
        <v>85</v>
      </c>
      <c r="E31" s="12" t="str">
        <f ca="1">"Beacon.Put(117,0,"&amp;E電入力!AT32&amp;");"</f>
        <v>Beacon.Put(117,0,38);</v>
      </c>
      <c r="F31" s="12" t="str">
        <f>"$dis+"&amp;IF(E電入力!$C33&gt;E電入力!$C32,0.5*(E電入力!$C33-E電入力!$C32),20)&amp;";"</f>
        <v>$dis+20;</v>
      </c>
      <c r="G31" s="12" t="str">
        <f ca="1">"Beacon.Put(117,0,"&amp;E電入力!AU32&amp;");"</f>
        <v>Beacon.Put(117,0,39);</v>
      </c>
      <c r="H31" s="12" t="str">
        <f>"$dis+"&amp;IF(E電入力!$C33&gt;E電入力!$C32,0.75*(E電入力!$C33-E電入力!$C32),20)&amp;";"</f>
        <v>$dis+20;</v>
      </c>
      <c r="I31" s="12" t="str">
        <f ca="1">"Beacon.Put(117,0,"&amp;E電入力!AV32&amp;");"</f>
        <v>Beacon.Put(117,0,40);</v>
      </c>
    </row>
    <row r="32" spans="1:9">
      <c r="A32" s="12" t="str">
        <f>E電入力!C33&amp;";"</f>
        <v>;</v>
      </c>
      <c r="B32" s="12" t="s">
        <v>84</v>
      </c>
      <c r="C32" s="12" t="str">
        <f ca="1">"Beacon.Put(117,0,"&amp;E電入力!AS33&amp;");"</f>
        <v>Beacon.Put(117,0,41);</v>
      </c>
      <c r="D32" s="12" t="s">
        <v>85</v>
      </c>
      <c r="E32" s="12" t="str">
        <f ca="1">"Beacon.Put(117,0,"&amp;E電入力!AT33&amp;");"</f>
        <v>Beacon.Put(117,0,42);</v>
      </c>
      <c r="F32" s="12" t="str">
        <f>"$dis+"&amp;IF(E電入力!$C34&gt;E電入力!$C33,0.5*(E電入力!$C34-E電入力!$C33),20)&amp;";"</f>
        <v>$dis+20;</v>
      </c>
      <c r="G32" s="12" t="str">
        <f ca="1">"Beacon.Put(117,0,"&amp;E電入力!AU33&amp;");"</f>
        <v>Beacon.Put(117,0,43);</v>
      </c>
      <c r="H32" s="12" t="str">
        <f>"$dis+"&amp;IF(E電入力!$C34&gt;E電入力!$C33,0.75*(E電入力!$C34-E電入力!$C33),20)&amp;";"</f>
        <v>$dis+20;</v>
      </c>
      <c r="I32" s="12" t="str">
        <f ca="1">"Beacon.Put(117,0,"&amp;E電入力!AV33&amp;");"</f>
        <v>Beacon.Put(117,0,44);</v>
      </c>
    </row>
    <row r="33" spans="1:9">
      <c r="A33" s="12" t="str">
        <f>E電入力!C34&amp;";"</f>
        <v>;</v>
      </c>
      <c r="B33" s="12" t="s">
        <v>84</v>
      </c>
      <c r="C33" s="12" t="str">
        <f ca="1">"Beacon.Put(117,0,"&amp;E電入力!AS34&amp;");"</f>
        <v>Beacon.Put(117,0,45);</v>
      </c>
      <c r="D33" s="12" t="s">
        <v>85</v>
      </c>
      <c r="E33" s="12" t="str">
        <f ca="1">"Beacon.Put(117,0,"&amp;E電入力!AT34&amp;");"</f>
        <v>Beacon.Put(117,0,46);</v>
      </c>
      <c r="F33" s="12" t="str">
        <f>"$dis+"&amp;IF(E電入力!$C35&gt;E電入力!$C34,0.5*(E電入力!$C35-E電入力!$C34),20)&amp;";"</f>
        <v>$dis+20;</v>
      </c>
      <c r="G33" s="12" t="str">
        <f ca="1">"Beacon.Put(117,0,"&amp;E電入力!AU34&amp;");"</f>
        <v>Beacon.Put(117,0,47);</v>
      </c>
      <c r="H33" s="12" t="str">
        <f>"$dis+"&amp;IF(E電入力!$C35&gt;E電入力!$C34,0.75*(E電入力!$C35-E電入力!$C34),20)&amp;";"</f>
        <v>$dis+20;</v>
      </c>
      <c r="I33" s="12" t="str">
        <f ca="1">"Beacon.Put(117,0,"&amp;E電入力!AV34&amp;");"</f>
        <v>Beacon.Put(117,0,48);</v>
      </c>
    </row>
    <row r="34" spans="1:9">
      <c r="A34" s="12" t="str">
        <f>E電入力!C35&amp;";"</f>
        <v>;</v>
      </c>
      <c r="B34" s="12" t="s">
        <v>84</v>
      </c>
      <c r="C34" s="12" t="str">
        <f ca="1">"Beacon.Put(117,0,"&amp;E電入力!AS35&amp;");"</f>
        <v>Beacon.Put(117,0,49);</v>
      </c>
      <c r="D34" s="12" t="s">
        <v>85</v>
      </c>
      <c r="E34" s="12" t="str">
        <f ca="1">"Beacon.Put(117,0,"&amp;E電入力!AT35&amp;");"</f>
        <v>Beacon.Put(117,0,50);</v>
      </c>
      <c r="F34" s="12" t="str">
        <f>"$dis+"&amp;IF(E電入力!$C36&gt;E電入力!$C35,0.5*(E電入力!$C36-E電入力!$C35),20)&amp;";"</f>
        <v>$dis+20;</v>
      </c>
      <c r="G34" s="12" t="str">
        <f ca="1">"Beacon.Put(117,0,"&amp;E電入力!AU35&amp;");"</f>
        <v>Beacon.Put(117,0,51);</v>
      </c>
      <c r="H34" s="12" t="str">
        <f>"$dis+"&amp;IF(E電入力!$C36&gt;E電入力!$C35,0.75*(E電入力!$C36-E電入力!$C35),20)&amp;";"</f>
        <v>$dis+20;</v>
      </c>
      <c r="I34" s="12" t="str">
        <f ca="1">"Beacon.Put(117,0,"&amp;E電入力!AV35&amp;");"</f>
        <v>Beacon.Put(117,0,52);</v>
      </c>
    </row>
    <row r="35" spans="1:9">
      <c r="A35" s="12" t="str">
        <f>E電入力!C36&amp;";"</f>
        <v>;</v>
      </c>
      <c r="B35" s="12" t="s">
        <v>84</v>
      </c>
      <c r="C35" s="12" t="str">
        <f ca="1">"Beacon.Put(117,0,"&amp;E電入力!AS36&amp;");"</f>
        <v>Beacon.Put(117,0,53);</v>
      </c>
      <c r="D35" s="12" t="s">
        <v>85</v>
      </c>
      <c r="E35" s="12" t="str">
        <f ca="1">"Beacon.Put(117,0,"&amp;E電入力!AT36&amp;");"</f>
        <v>Beacon.Put(117,0,54);</v>
      </c>
      <c r="F35" s="12" t="str">
        <f>"$dis+"&amp;IF(E電入力!$C37&gt;E電入力!$C36,0.5*(E電入力!$C37-E電入力!$C36),20)&amp;";"</f>
        <v>$dis+20;</v>
      </c>
      <c r="G35" s="12" t="str">
        <f ca="1">"Beacon.Put(117,0,"&amp;E電入力!AU36&amp;");"</f>
        <v>Beacon.Put(117,0,55);</v>
      </c>
      <c r="H35" s="12" t="str">
        <f>"$dis+"&amp;IF(E電入力!$C37&gt;E電入力!$C36,0.75*(E電入力!$C37-E電入力!$C36),20)&amp;";"</f>
        <v>$dis+20;</v>
      </c>
      <c r="I35" s="12" t="str">
        <f ca="1">"Beacon.Put(117,0,"&amp;E電入力!AV36&amp;");"</f>
        <v>Beacon.Put(117,0,56);</v>
      </c>
    </row>
    <row r="36" spans="1:9">
      <c r="A36" s="12" t="str">
        <f>E電入力!C37&amp;";"</f>
        <v>;</v>
      </c>
      <c r="B36" s="12" t="s">
        <v>84</v>
      </c>
      <c r="C36" s="12" t="str">
        <f ca="1">"Beacon.Put(117,0,"&amp;E電入力!AS37&amp;");"</f>
        <v>Beacon.Put(117,0,57);</v>
      </c>
      <c r="D36" s="12" t="s">
        <v>85</v>
      </c>
      <c r="E36" s="12" t="str">
        <f ca="1">"Beacon.Put(117,0,"&amp;E電入力!AT37&amp;");"</f>
        <v>Beacon.Put(117,0,58);</v>
      </c>
      <c r="F36" s="12" t="str">
        <f>"$dis+"&amp;IF(E電入力!$C38&gt;E電入力!$C37,0.5*(E電入力!$C38-E電入力!$C37),20)&amp;";"</f>
        <v>$dis+20;</v>
      </c>
      <c r="G36" s="12" t="str">
        <f ca="1">"Beacon.Put(117,0,"&amp;E電入力!AU37&amp;");"</f>
        <v>Beacon.Put(117,0,59);</v>
      </c>
      <c r="H36" s="12" t="str">
        <f>"$dis+"&amp;IF(E電入力!$C38&gt;E電入力!$C37,0.75*(E電入力!$C38-E電入力!$C37),20)&amp;";"</f>
        <v>$dis+20;</v>
      </c>
      <c r="I36" s="12" t="str">
        <f ca="1">"Beacon.Put(117,0,"&amp;E電入力!AV37&amp;");"</f>
        <v>Beacon.Put(117,0,60);</v>
      </c>
    </row>
    <row r="37" spans="1:9">
      <c r="A37" s="12" t="str">
        <f>E電入力!C38&amp;";"</f>
        <v>;</v>
      </c>
      <c r="B37" s="12" t="s">
        <v>84</v>
      </c>
      <c r="C37" s="12" t="str">
        <f ca="1">"Beacon.Put(117,0,"&amp;E電入力!AS38&amp;");"</f>
        <v>Beacon.Put(117,0,61);</v>
      </c>
      <c r="D37" s="12" t="s">
        <v>85</v>
      </c>
      <c r="E37" s="12" t="str">
        <f ca="1">"Beacon.Put(117,0,"&amp;E電入力!AT38&amp;");"</f>
        <v>Beacon.Put(117,0,62);</v>
      </c>
      <c r="F37" s="12" t="str">
        <f>"$dis+"&amp;IF(E電入力!$C39&gt;E電入力!$C38,0.5*(E電入力!$C39-E電入力!$C38),20)&amp;";"</f>
        <v>$dis+20;</v>
      </c>
      <c r="G37" s="12" t="str">
        <f ca="1">"Beacon.Put(117,0,"&amp;E電入力!AU38&amp;");"</f>
        <v>Beacon.Put(117,0,63);</v>
      </c>
      <c r="H37" s="12" t="str">
        <f>"$dis+"&amp;IF(E電入力!$C39&gt;E電入力!$C38,0.75*(E電入力!$C39-E電入力!$C38),20)&amp;";"</f>
        <v>$dis+20;</v>
      </c>
      <c r="I37" s="12" t="str">
        <f ca="1">"Beacon.Put(117,0,"&amp;E電入力!AV38&amp;");"</f>
        <v>Beacon.Put(117,0,64);</v>
      </c>
    </row>
    <row r="38" spans="1:9">
      <c r="A38" s="12" t="str">
        <f>E電入力!C39&amp;";"</f>
        <v>;</v>
      </c>
      <c r="B38" s="12" t="s">
        <v>84</v>
      </c>
      <c r="C38" s="12" t="str">
        <f ca="1">"Beacon.Put(117,0,"&amp;E電入力!AS39&amp;");"</f>
        <v>Beacon.Put(117,0,65);</v>
      </c>
      <c r="D38" s="12" t="s">
        <v>85</v>
      </c>
      <c r="E38" s="12" t="str">
        <f ca="1">"Beacon.Put(117,0,"&amp;E電入力!AT39&amp;");"</f>
        <v>Beacon.Put(117,0,66);</v>
      </c>
      <c r="F38" s="12" t="str">
        <f>"$dis+"&amp;IF(E電入力!$C40&gt;E電入力!$C39,0.5*(E電入力!$C40-E電入力!$C39),20)&amp;";"</f>
        <v>$dis+20;</v>
      </c>
      <c r="G38" s="12" t="str">
        <f ca="1">"Beacon.Put(117,0,"&amp;E電入力!AU39&amp;");"</f>
        <v>Beacon.Put(117,0,67);</v>
      </c>
      <c r="H38" s="12" t="str">
        <f>"$dis+"&amp;IF(E電入力!$C40&gt;E電入力!$C39,0.75*(E電入力!$C40-E電入力!$C39),20)&amp;";"</f>
        <v>$dis+20;</v>
      </c>
      <c r="I38" s="12" t="str">
        <f ca="1">"Beacon.Put(117,0,"&amp;E電入力!AV39&amp;");"</f>
        <v>Beacon.Put(117,0,68);</v>
      </c>
    </row>
    <row r="39" spans="1:9">
      <c r="A39" s="12" t="str">
        <f>E電入力!C40&amp;";"</f>
        <v>;</v>
      </c>
      <c r="B39" s="12" t="s">
        <v>84</v>
      </c>
      <c r="C39" s="12" t="str">
        <f ca="1">"Beacon.Put(117,0,"&amp;E電入力!AS40&amp;");"</f>
        <v>Beacon.Put(117,0,69);</v>
      </c>
      <c r="D39" s="12" t="s">
        <v>85</v>
      </c>
      <c r="E39" s="12" t="str">
        <f ca="1">"Beacon.Put(117,0,"&amp;E電入力!AT40&amp;");"</f>
        <v>Beacon.Put(117,0,70);</v>
      </c>
      <c r="F39" s="12" t="str">
        <f>"$dis+"&amp;IF(E電入力!$C41&gt;E電入力!$C40,0.5*(E電入力!$C41-E電入力!$C40),20)&amp;";"</f>
        <v>$dis+20;</v>
      </c>
      <c r="G39" s="12" t="str">
        <f ca="1">"Beacon.Put(117,0,"&amp;E電入力!AU40&amp;");"</f>
        <v>Beacon.Put(117,0,71);</v>
      </c>
      <c r="H39" s="12" t="str">
        <f>"$dis+"&amp;IF(E電入力!$C41&gt;E電入力!$C40,0.75*(E電入力!$C41-E電入力!$C40),20)&amp;";"</f>
        <v>$dis+20;</v>
      </c>
      <c r="I39" s="12" t="str">
        <f ca="1">"Beacon.Put(117,0,"&amp;E電入力!AV40&amp;");"</f>
        <v>Beacon.Put(117,0,72);</v>
      </c>
    </row>
    <row r="40" spans="1:9">
      <c r="A40" s="12" t="str">
        <f>E電入力!C41&amp;";"</f>
        <v>;</v>
      </c>
      <c r="B40" s="12" t="s">
        <v>84</v>
      </c>
      <c r="C40" s="12" t="str">
        <f ca="1">"Beacon.Put(117,0,"&amp;E電入力!AS41&amp;");"</f>
        <v>Beacon.Put(117,0,73);</v>
      </c>
      <c r="D40" s="12" t="s">
        <v>85</v>
      </c>
      <c r="E40" s="12" t="str">
        <f ca="1">"Beacon.Put(117,0,"&amp;E電入力!AT41&amp;");"</f>
        <v>Beacon.Put(117,0,74);</v>
      </c>
      <c r="F40" s="12" t="str">
        <f>"$dis+"&amp;IF(E電入力!$C42&gt;E電入力!$C41,0.5*(E電入力!$C42-E電入力!$C41),20)&amp;";"</f>
        <v>$dis+20;</v>
      </c>
      <c r="G40" s="12" t="str">
        <f ca="1">"Beacon.Put(117,0,"&amp;E電入力!AU41&amp;");"</f>
        <v>Beacon.Put(117,0,75);</v>
      </c>
      <c r="H40" s="12" t="str">
        <f>"$dis+"&amp;IF(E電入力!$C42&gt;E電入力!$C41,0.75*(E電入力!$C42-E電入力!$C41),20)&amp;";"</f>
        <v>$dis+20;</v>
      </c>
      <c r="I40" s="12" t="str">
        <f ca="1">"Beacon.Put(117,0,"&amp;E電入力!AV41&amp;");"</f>
        <v>Beacon.Put(117,0,76);</v>
      </c>
    </row>
    <row r="41" spans="1:9">
      <c r="A41" s="12" t="str">
        <f>E電入力!C42&amp;";"</f>
        <v>;</v>
      </c>
      <c r="B41" s="12" t="s">
        <v>84</v>
      </c>
      <c r="C41" s="12" t="str">
        <f ca="1">"Beacon.Put(117,0,"&amp;E電入力!AS42&amp;");"</f>
        <v>Beacon.Put(117,0,77);</v>
      </c>
      <c r="D41" s="12" t="s">
        <v>85</v>
      </c>
      <c r="E41" s="12" t="str">
        <f ca="1">"Beacon.Put(117,0,"&amp;E電入力!AT42&amp;");"</f>
        <v>Beacon.Put(117,0,78);</v>
      </c>
      <c r="F41" s="12" t="str">
        <f>"$dis+"&amp;IF(E電入力!$C43&gt;E電入力!$C42,0.5*(E電入力!$C43-E電入力!$C42),20)&amp;";"</f>
        <v>$dis+20;</v>
      </c>
      <c r="G41" s="12" t="str">
        <f ca="1">"Beacon.Put(117,0,"&amp;E電入力!AU42&amp;");"</f>
        <v>Beacon.Put(117,0,79);</v>
      </c>
      <c r="H41" s="12" t="str">
        <f>"$dis+"&amp;IF(E電入力!$C43&gt;E電入力!$C42,0.75*(E電入力!$C43-E電入力!$C42),20)&amp;";"</f>
        <v>$dis+20;</v>
      </c>
      <c r="I41" s="12" t="str">
        <f ca="1">"Beacon.Put(117,0,"&amp;E電入力!AV42&amp;");"</f>
        <v>Beacon.Put(117,0,80);</v>
      </c>
    </row>
    <row r="42" spans="1:9">
      <c r="A42" s="12" t="str">
        <f>E電入力!C43&amp;";"</f>
        <v>;</v>
      </c>
      <c r="B42" s="12" t="s">
        <v>84</v>
      </c>
      <c r="C42" s="12" t="str">
        <f ca="1">"Beacon.Put(117,0,"&amp;E電入力!AS43&amp;");"</f>
        <v>Beacon.Put(117,0,81);</v>
      </c>
      <c r="D42" s="12" t="s">
        <v>85</v>
      </c>
      <c r="E42" s="12" t="str">
        <f ca="1">"Beacon.Put(117,0,"&amp;E電入力!AT43&amp;");"</f>
        <v>Beacon.Put(117,0,82);</v>
      </c>
      <c r="F42" s="12" t="str">
        <f>"$dis+"&amp;IF(E電入力!$C44&gt;E電入力!$C43,0.5*(E電入力!$C44-E電入力!$C43),20)&amp;";"</f>
        <v>$dis+20;</v>
      </c>
      <c r="G42" s="12" t="str">
        <f ca="1">"Beacon.Put(117,0,"&amp;E電入力!AU43&amp;");"</f>
        <v>Beacon.Put(117,0,83);</v>
      </c>
      <c r="H42" s="12" t="str">
        <f>"$dis+"&amp;IF(E電入力!$C44&gt;E電入力!$C43,0.75*(E電入力!$C44-E電入力!$C43),20)&amp;";"</f>
        <v>$dis+20;</v>
      </c>
      <c r="I42" s="12" t="str">
        <f ca="1">"Beacon.Put(117,0,"&amp;E電入力!AV43&amp;");"</f>
        <v>Beacon.Put(117,0,84);</v>
      </c>
    </row>
    <row r="43" spans="1:9">
      <c r="A43" s="12" t="str">
        <f>E電入力!C44&amp;";"</f>
        <v>;</v>
      </c>
      <c r="B43" s="12" t="s">
        <v>84</v>
      </c>
      <c r="C43" s="12" t="str">
        <f ca="1">"Beacon.Put(117,0,"&amp;E電入力!AS44&amp;");"</f>
        <v>Beacon.Put(117,0,85);</v>
      </c>
      <c r="D43" s="12" t="s">
        <v>85</v>
      </c>
      <c r="E43" s="12" t="str">
        <f ca="1">"Beacon.Put(117,0,"&amp;E電入力!AT44&amp;");"</f>
        <v>Beacon.Put(117,0,86);</v>
      </c>
      <c r="F43" s="12" t="str">
        <f>"$dis+"&amp;IF(E電入力!$C45&gt;E電入力!$C44,0.5*(E電入力!$C45-E電入力!$C44),20)&amp;";"</f>
        <v>$dis+20;</v>
      </c>
      <c r="G43" s="12" t="str">
        <f ca="1">"Beacon.Put(117,0,"&amp;E電入力!AU44&amp;");"</f>
        <v>Beacon.Put(117,0,87);</v>
      </c>
      <c r="H43" s="12" t="str">
        <f>"$dis+"&amp;IF(E電入力!$C45&gt;E電入力!$C44,0.75*(E電入力!$C45-E電入力!$C44),20)&amp;";"</f>
        <v>$dis+20;</v>
      </c>
      <c r="I43" s="12" t="str">
        <f ca="1">"Beacon.Put(117,0,"&amp;E電入力!AV44&amp;");"</f>
        <v>Beacon.Put(117,0,88);</v>
      </c>
    </row>
    <row r="44" spans="1:9">
      <c r="A44" s="12" t="str">
        <f>E電入力!C45&amp;";"</f>
        <v>;</v>
      </c>
      <c r="B44" s="12" t="s">
        <v>84</v>
      </c>
      <c r="C44" s="12" t="str">
        <f ca="1">"Beacon.Put(117,0,"&amp;E電入力!AS45&amp;");"</f>
        <v>Beacon.Put(117,0,89);</v>
      </c>
      <c r="D44" s="12" t="s">
        <v>85</v>
      </c>
      <c r="E44" s="12" t="str">
        <f ca="1">"Beacon.Put(117,0,"&amp;E電入力!AT45&amp;");"</f>
        <v>Beacon.Put(117,0,90);</v>
      </c>
      <c r="F44" s="12" t="str">
        <f>"$dis+"&amp;IF(E電入力!$C46&gt;E電入力!$C45,0.5*(E電入力!$C46-E電入力!$C45),20)&amp;";"</f>
        <v>$dis+20;</v>
      </c>
      <c r="G44" s="12" t="str">
        <f ca="1">"Beacon.Put(117,0,"&amp;E電入力!AU45&amp;");"</f>
        <v>Beacon.Put(117,0,91);</v>
      </c>
      <c r="H44" s="12" t="str">
        <f>"$dis+"&amp;IF(E電入力!$C46&gt;E電入力!$C45,0.75*(E電入力!$C46-E電入力!$C45),20)&amp;";"</f>
        <v>$dis+20;</v>
      </c>
      <c r="I44" s="12" t="str">
        <f ca="1">"Beacon.Put(117,0,"&amp;E電入力!AV45&amp;");"</f>
        <v>Beacon.Put(117,0,92);</v>
      </c>
    </row>
    <row r="45" spans="1:9">
      <c r="A45" s="12" t="str">
        <f>E電入力!C46&amp;";"</f>
        <v>;</v>
      </c>
      <c r="B45" s="12" t="s">
        <v>84</v>
      </c>
      <c r="C45" s="12" t="str">
        <f ca="1">"Beacon.Put(117,0,"&amp;E電入力!AS46&amp;");"</f>
        <v>Beacon.Put(117,0,93);</v>
      </c>
      <c r="D45" s="12" t="s">
        <v>85</v>
      </c>
      <c r="E45" s="12" t="str">
        <f ca="1">"Beacon.Put(117,0,"&amp;E電入力!AT46&amp;");"</f>
        <v>Beacon.Put(117,0,94);</v>
      </c>
      <c r="F45" s="12" t="str">
        <f>"$dis+"&amp;IF(E電入力!$C47&gt;E電入力!$C46,0.5*(E電入力!$C47-E電入力!$C46),20)&amp;";"</f>
        <v>$dis+20;</v>
      </c>
      <c r="G45" s="12" t="str">
        <f ca="1">"Beacon.Put(117,0,"&amp;E電入力!AU46&amp;");"</f>
        <v>Beacon.Put(117,0,95);</v>
      </c>
      <c r="H45" s="12" t="str">
        <f>"$dis+"&amp;IF(E電入力!$C47&gt;E電入力!$C46,0.75*(E電入力!$C47-E電入力!$C46),20)&amp;";"</f>
        <v>$dis+20;</v>
      </c>
      <c r="I45" s="12" t="str">
        <f ca="1">"Beacon.Put(117,0,"&amp;E電入力!AV46&amp;");"</f>
        <v>Beacon.Put(117,0,96);</v>
      </c>
    </row>
    <row r="46" spans="1:9">
      <c r="A46" s="12" t="str">
        <f>E電入力!C47&amp;";"</f>
        <v>;</v>
      </c>
      <c r="B46" s="12" t="s">
        <v>84</v>
      </c>
      <c r="C46" s="12" t="str">
        <f ca="1">"Beacon.Put(117,0,"&amp;E電入力!AS47&amp;");"</f>
        <v>Beacon.Put(117,0,97);</v>
      </c>
      <c r="D46" s="12" t="s">
        <v>85</v>
      </c>
      <c r="E46" s="12" t="str">
        <f ca="1">"Beacon.Put(117,0,"&amp;E電入力!AT47&amp;");"</f>
        <v>Beacon.Put(117,0,98);</v>
      </c>
      <c r="F46" s="12" t="str">
        <f>"$dis+"&amp;IF(E電入力!$C48&gt;E電入力!$C47,0.5*(E電入力!$C48-E電入力!$C47),20)&amp;";"</f>
        <v>$dis+20;</v>
      </c>
      <c r="G46" s="12" t="str">
        <f ca="1">"Beacon.Put(117,0,"&amp;E電入力!AU47&amp;");"</f>
        <v>Beacon.Put(117,0,99);</v>
      </c>
      <c r="H46" s="12" t="str">
        <f>"$dis+"&amp;IF(E電入力!$C48&gt;E電入力!$C47,0.75*(E電入力!$C48-E電入力!$C47),20)&amp;";"</f>
        <v>$dis+20;</v>
      </c>
      <c r="I46" s="12" t="str">
        <f ca="1">"Beacon.Put(117,0,"&amp;E電入力!AV47&amp;");"</f>
        <v>Beacon.Put(117,0,100);</v>
      </c>
    </row>
    <row r="47" spans="1:9">
      <c r="A47" s="12" t="str">
        <f>E電入力!C48&amp;";"</f>
        <v>;</v>
      </c>
      <c r="B47" s="12" t="s">
        <v>84</v>
      </c>
      <c r="C47" s="12" t="str">
        <f ca="1">"Beacon.Put(117,0,"&amp;E電入力!AS48&amp;");"</f>
        <v>Beacon.Put(117,0,101);</v>
      </c>
      <c r="D47" s="12" t="s">
        <v>85</v>
      </c>
      <c r="E47" s="12" t="str">
        <f ca="1">"Beacon.Put(117,0,"&amp;E電入力!AT48&amp;");"</f>
        <v>Beacon.Put(117,0,102);</v>
      </c>
      <c r="F47" s="12" t="str">
        <f>"$dis+"&amp;IF(E電入力!$C49&gt;E電入力!$C48,0.5*(E電入力!$C49-E電入力!$C48),20)&amp;";"</f>
        <v>$dis+20;</v>
      </c>
      <c r="G47" s="12" t="str">
        <f ca="1">"Beacon.Put(117,0,"&amp;E電入力!AU48&amp;");"</f>
        <v>Beacon.Put(117,0,103);</v>
      </c>
      <c r="H47" s="12" t="str">
        <f>"$dis+"&amp;IF(E電入力!$C49&gt;E電入力!$C48,0.75*(E電入力!$C49-E電入力!$C48),20)&amp;";"</f>
        <v>$dis+20;</v>
      </c>
      <c r="I47" s="12" t="str">
        <f ca="1">"Beacon.Put(117,0,"&amp;E電入力!AV48&amp;");"</f>
        <v>Beacon.Put(117,0,104);</v>
      </c>
    </row>
    <row r="48" spans="1:9">
      <c r="A48" s="12" t="str">
        <f>E電入力!C49&amp;";"</f>
        <v>;</v>
      </c>
      <c r="B48" s="12" t="s">
        <v>84</v>
      </c>
      <c r="C48" s="12" t="str">
        <f ca="1">"Beacon.Put(117,0,"&amp;E電入力!AS49&amp;");"</f>
        <v>Beacon.Put(117,0,105);</v>
      </c>
      <c r="D48" s="12" t="s">
        <v>85</v>
      </c>
      <c r="E48" s="12" t="str">
        <f ca="1">"Beacon.Put(117,0,"&amp;E電入力!AT49&amp;");"</f>
        <v>Beacon.Put(117,0,106);</v>
      </c>
      <c r="F48" s="12" t="str">
        <f>"$dis+"&amp;IF(E電入力!$C50&gt;E電入力!$C49,0.5*(E電入力!$C50-E電入力!$C49),20)&amp;";"</f>
        <v>$dis+20;</v>
      </c>
      <c r="G48" s="12" t="str">
        <f ca="1">"Beacon.Put(117,0,"&amp;E電入力!AU49&amp;");"</f>
        <v>Beacon.Put(117,0,107);</v>
      </c>
      <c r="H48" s="12" t="str">
        <f>"$dis+"&amp;IF(E電入力!$C50&gt;E電入力!$C49,0.75*(E電入力!$C50-E電入力!$C49),20)&amp;";"</f>
        <v>$dis+20;</v>
      </c>
      <c r="I48" s="12" t="str">
        <f ca="1">"Beacon.Put(117,0,"&amp;E電入力!AV49&amp;");"</f>
        <v>Beacon.Put(117,0,108);</v>
      </c>
    </row>
    <row r="49" spans="1:9">
      <c r="A49" s="12" t="str">
        <f>E電入力!C50&amp;";"</f>
        <v>;</v>
      </c>
      <c r="B49" s="12" t="s">
        <v>84</v>
      </c>
      <c r="C49" s="12" t="str">
        <f ca="1">"Beacon.Put(117,0,"&amp;E電入力!AS50&amp;");"</f>
        <v>Beacon.Put(117,0,109);</v>
      </c>
      <c r="D49" s="12" t="s">
        <v>85</v>
      </c>
      <c r="E49" s="12" t="str">
        <f ca="1">"Beacon.Put(117,0,"&amp;E電入力!AT50&amp;");"</f>
        <v>Beacon.Put(117,0,110);</v>
      </c>
      <c r="F49" s="12" t="str">
        <f>"$dis+"&amp;IF(E電入力!$C51&gt;E電入力!$C50,0.5*(E電入力!$C51-E電入力!$C50),20)&amp;";"</f>
        <v>$dis+20;</v>
      </c>
      <c r="G49" s="12" t="str">
        <f ca="1">"Beacon.Put(117,0,"&amp;E電入力!AU50&amp;");"</f>
        <v>Beacon.Put(117,0,111);</v>
      </c>
      <c r="H49" s="12" t="str">
        <f>"$dis+"&amp;IF(E電入力!$C51&gt;E電入力!$C50,0.75*(E電入力!$C51-E電入力!$C50),20)&amp;";"</f>
        <v>$dis+20;</v>
      </c>
      <c r="I49" s="12" t="str">
        <f ca="1">"Beacon.Put(117,0,"&amp;E電入力!AV50&amp;");"</f>
        <v>Beacon.Put(117,0,112);</v>
      </c>
    </row>
    <row r="50" spans="1:9">
      <c r="A50" s="12" t="str">
        <f>E電入力!C51&amp;";"</f>
        <v>;</v>
      </c>
      <c r="B50" s="12" t="s">
        <v>84</v>
      </c>
      <c r="C50" s="12" t="str">
        <f ca="1">"Beacon.Put(117,0,"&amp;E電入力!AS51&amp;");"</f>
        <v>Beacon.Put(117,0,113);</v>
      </c>
      <c r="D50" s="12" t="s">
        <v>85</v>
      </c>
      <c r="E50" s="12" t="str">
        <f ca="1">"Beacon.Put(117,0,"&amp;E電入力!AT51&amp;");"</f>
        <v>Beacon.Put(117,0,114);</v>
      </c>
      <c r="F50" s="12" t="str">
        <f>"$dis+"&amp;IF(E電入力!$C52&gt;E電入力!$C51,0.5*(E電入力!$C52-E電入力!$C51),20)&amp;";"</f>
        <v>$dis+20;</v>
      </c>
      <c r="G50" s="12" t="str">
        <f ca="1">"Beacon.Put(117,0,"&amp;E電入力!AU51&amp;");"</f>
        <v>Beacon.Put(117,0,115);</v>
      </c>
      <c r="H50" s="12" t="str">
        <f>"$dis+"&amp;IF(E電入力!$C52&gt;E電入力!$C51,0.75*(E電入力!$C52-E電入力!$C51),20)&amp;";"</f>
        <v>$dis+20;</v>
      </c>
      <c r="I50" s="12" t="str">
        <f ca="1">"Beacon.Put(117,0,"&amp;E電入力!AV51&amp;");"</f>
        <v>Beacon.Put(117,0,116);</v>
      </c>
    </row>
    <row r="51" spans="1:9">
      <c r="A51" s="12" t="str">
        <f>E電入力!C52&amp;";"</f>
        <v>;</v>
      </c>
      <c r="B51" s="12" t="s">
        <v>84</v>
      </c>
      <c r="C51" s="12" t="str">
        <f ca="1">"Beacon.Put(117,0,"&amp;E電入力!AS52&amp;");"</f>
        <v>Beacon.Put(117,0,117);</v>
      </c>
      <c r="D51" s="12" t="s">
        <v>85</v>
      </c>
      <c r="E51" s="12" t="str">
        <f ca="1">"Beacon.Put(117,0,"&amp;E電入力!AT52&amp;");"</f>
        <v>Beacon.Put(117,0,118);</v>
      </c>
      <c r="F51" s="12" t="str">
        <f>"$dis+"&amp;IF(E電入力!$C53&gt;E電入力!$C52,0.5*(E電入力!$C53-E電入力!$C52),20)&amp;";"</f>
        <v>$dis+20;</v>
      </c>
      <c r="G51" s="12" t="str">
        <f ca="1">"Beacon.Put(117,0,"&amp;E電入力!AU52&amp;");"</f>
        <v>Beacon.Put(117,0,119);</v>
      </c>
      <c r="H51" s="12" t="str">
        <f>"$dis+"&amp;IF(E電入力!$C53&gt;E電入力!$C52,0.75*(E電入力!$C53-E電入力!$C52),20)&amp;";"</f>
        <v>$dis+20;</v>
      </c>
      <c r="I51" s="12" t="str">
        <f ca="1">"Beacon.Put(117,0,"&amp;E電入力!AV52&amp;");"</f>
        <v>Beacon.Put(117,0,120);</v>
      </c>
    </row>
    <row r="52" spans="1:9">
      <c r="A52" s="12" t="str">
        <f>E電入力!C53&amp;";"</f>
        <v>;</v>
      </c>
      <c r="B52" s="12" t="s">
        <v>84</v>
      </c>
      <c r="C52" s="12" t="str">
        <f ca="1">"Beacon.Put(117,0,"&amp;E電入力!AS53&amp;");"</f>
        <v>Beacon.Put(117,0,121);</v>
      </c>
      <c r="D52" s="12" t="s">
        <v>85</v>
      </c>
      <c r="E52" s="12" t="str">
        <f ca="1">"Beacon.Put(117,0,"&amp;E電入力!AT53&amp;");"</f>
        <v>Beacon.Put(117,0,122);</v>
      </c>
      <c r="F52" s="12" t="str">
        <f>"$dis+"&amp;IF(E電入力!$C54&gt;E電入力!$C53,0.5*(E電入力!$C54-E電入力!$C53),20)&amp;";"</f>
        <v>$dis+20;</v>
      </c>
      <c r="G52" s="12" t="str">
        <f ca="1">"Beacon.Put(117,0,"&amp;E電入力!AU53&amp;");"</f>
        <v>Beacon.Put(117,0,123);</v>
      </c>
      <c r="H52" s="12" t="str">
        <f>"$dis+"&amp;IF(E電入力!$C54&gt;E電入力!$C53,0.75*(E電入力!$C54-E電入力!$C53),20)&amp;";"</f>
        <v>$dis+20;</v>
      </c>
      <c r="I52" s="12" t="str">
        <f ca="1">"Beacon.Put(117,0,"&amp;E電入力!AV53&amp;");"</f>
        <v>Beacon.Put(117,0,124);</v>
      </c>
    </row>
    <row r="53" spans="1:9">
      <c r="A53" s="12" t="str">
        <f>E電入力!C54&amp;";"</f>
        <v>;</v>
      </c>
      <c r="B53" s="12" t="s">
        <v>84</v>
      </c>
      <c r="C53" s="12" t="str">
        <f ca="1">"Beacon.Put(117,0,"&amp;E電入力!AS54&amp;");"</f>
        <v>Beacon.Put(117,0,125);</v>
      </c>
      <c r="D53" s="12" t="s">
        <v>85</v>
      </c>
      <c r="E53" s="12" t="str">
        <f ca="1">"Beacon.Put(117,0,"&amp;E電入力!AT54&amp;");"</f>
        <v>Beacon.Put(117,0,126);</v>
      </c>
      <c r="F53" s="12" t="str">
        <f>"$dis+"&amp;IF(E電入力!$C55&gt;E電入力!$C54,0.5*(E電入力!$C55-E電入力!$C54),20)&amp;";"</f>
        <v>$dis+20;</v>
      </c>
      <c r="G53" s="12" t="str">
        <f ca="1">"Beacon.Put(117,0,"&amp;E電入力!AU54&amp;");"</f>
        <v>Beacon.Put(117,0,127);</v>
      </c>
      <c r="H53" s="12" t="str">
        <f>"$dis+"&amp;IF(E電入力!$C55&gt;E電入力!$C54,0.75*(E電入力!$C55-E電入力!$C54),20)&amp;";"</f>
        <v>$dis+20;</v>
      </c>
      <c r="I53" s="12" t="str">
        <f ca="1">"Beacon.Put(117,0,"&amp;E電入力!AV54&amp;");"</f>
        <v>Beacon.Put(117,0,128);</v>
      </c>
    </row>
    <row r="54" spans="1:9">
      <c r="A54" s="12" t="str">
        <f>E電入力!C55&amp;";"</f>
        <v>;</v>
      </c>
      <c r="B54" s="12" t="s">
        <v>84</v>
      </c>
      <c r="C54" s="12" t="str">
        <f ca="1">"Beacon.Put(117,0,"&amp;E電入力!AS55&amp;");"</f>
        <v>Beacon.Put(117,0,129);</v>
      </c>
      <c r="D54" s="12" t="s">
        <v>85</v>
      </c>
      <c r="E54" s="12" t="str">
        <f ca="1">"Beacon.Put(117,0,"&amp;E電入力!AT55&amp;");"</f>
        <v>Beacon.Put(117,0,130);</v>
      </c>
      <c r="F54" s="12" t="str">
        <f>"$dis+"&amp;IF(E電入力!$C56&gt;E電入力!$C55,0.5*(E電入力!$C56-E電入力!$C55),20)&amp;";"</f>
        <v>$dis+20;</v>
      </c>
      <c r="G54" s="12" t="str">
        <f ca="1">"Beacon.Put(117,0,"&amp;E電入力!AU55&amp;");"</f>
        <v>Beacon.Put(117,0,131);</v>
      </c>
      <c r="H54" s="12" t="str">
        <f>"$dis+"&amp;IF(E電入力!$C56&gt;E電入力!$C55,0.75*(E電入力!$C56-E電入力!$C55),20)&amp;";"</f>
        <v>$dis+20;</v>
      </c>
      <c r="I54" s="12" t="str">
        <f ca="1">"Beacon.Put(117,0,"&amp;E電入力!AV55&amp;");"</f>
        <v>Beacon.Put(117,0,132);</v>
      </c>
    </row>
    <row r="55" spans="1:9">
      <c r="A55" s="12" t="str">
        <f>E電入力!C56&amp;";"</f>
        <v>;</v>
      </c>
      <c r="B55" s="12" t="s">
        <v>84</v>
      </c>
      <c r="C55" s="12" t="str">
        <f ca="1">"Beacon.Put(117,0,"&amp;E電入力!AS56&amp;");"</f>
        <v>Beacon.Put(117,0,133);</v>
      </c>
      <c r="D55" s="12" t="s">
        <v>85</v>
      </c>
      <c r="E55" s="12" t="str">
        <f ca="1">"Beacon.Put(117,0,"&amp;E電入力!AT56&amp;");"</f>
        <v>Beacon.Put(117,0,134);</v>
      </c>
      <c r="F55" s="12" t="str">
        <f>"$dis+"&amp;IF(E電入力!$C57&gt;E電入力!$C56,0.5*(E電入力!$C57-E電入力!$C56),20)&amp;";"</f>
        <v>$dis+20;</v>
      </c>
      <c r="G55" s="12" t="str">
        <f ca="1">"Beacon.Put(117,0,"&amp;E電入力!AU56&amp;");"</f>
        <v>Beacon.Put(117,0,135);</v>
      </c>
      <c r="H55" s="12" t="str">
        <f>"$dis+"&amp;IF(E電入力!$C57&gt;E電入力!$C56,0.75*(E電入力!$C57-E電入力!$C56),20)&amp;";"</f>
        <v>$dis+20;</v>
      </c>
      <c r="I55" s="12" t="str">
        <f ca="1">"Beacon.Put(117,0,"&amp;E電入力!AV56&amp;");"</f>
        <v>Beacon.Put(117,0,136);</v>
      </c>
    </row>
    <row r="56" spans="1:9">
      <c r="A56" s="12" t="str">
        <f>E電入力!C57&amp;";"</f>
        <v>;</v>
      </c>
      <c r="B56" s="12" t="s">
        <v>84</v>
      </c>
      <c r="C56" s="12" t="str">
        <f ca="1">"Beacon.Put(117,0,"&amp;E電入力!AS57&amp;");"</f>
        <v>Beacon.Put(117,0,137);</v>
      </c>
      <c r="D56" s="12" t="s">
        <v>85</v>
      </c>
      <c r="E56" s="12" t="str">
        <f ca="1">"Beacon.Put(117,0,"&amp;E電入力!AT57&amp;");"</f>
        <v>Beacon.Put(117,0,138);</v>
      </c>
      <c r="F56" s="12" t="str">
        <f>"$dis+"&amp;IF(E電入力!$C58&gt;E電入力!$C57,0.5*(E電入力!$C58-E電入力!$C57),20)&amp;";"</f>
        <v>$dis+20;</v>
      </c>
      <c r="G56" s="12" t="str">
        <f ca="1">"Beacon.Put(117,0,"&amp;E電入力!AU57&amp;");"</f>
        <v>Beacon.Put(117,0,139);</v>
      </c>
      <c r="H56" s="12" t="str">
        <f>"$dis+"&amp;IF(E電入力!$C58&gt;E電入力!$C57,0.75*(E電入力!$C58-E電入力!$C57),20)&amp;";"</f>
        <v>$dis+20;</v>
      </c>
      <c r="I56" s="12" t="str">
        <f ca="1">"Beacon.Put(117,0,"&amp;E電入力!AV57&amp;");"</f>
        <v>Beacon.Put(117,0,140);</v>
      </c>
    </row>
    <row r="57" spans="1:9">
      <c r="A57" s="12" t="str">
        <f>E電入力!C58&amp;";"</f>
        <v>;</v>
      </c>
      <c r="B57" s="12" t="s">
        <v>84</v>
      </c>
      <c r="C57" s="12" t="str">
        <f ca="1">"Beacon.Put(117,0,"&amp;E電入力!AS58&amp;");"</f>
        <v>Beacon.Put(117,0,141);</v>
      </c>
      <c r="D57" s="12" t="s">
        <v>85</v>
      </c>
      <c r="E57" s="12" t="str">
        <f ca="1">"Beacon.Put(117,0,"&amp;E電入力!AT58&amp;");"</f>
        <v>Beacon.Put(117,0,142);</v>
      </c>
      <c r="F57" s="12" t="str">
        <f>"$dis+"&amp;IF(E電入力!$C59&gt;E電入力!$C58,0.5*(E電入力!$C59-E電入力!$C58),20)&amp;";"</f>
        <v>$dis+20;</v>
      </c>
      <c r="G57" s="12" t="str">
        <f ca="1">"Beacon.Put(117,0,"&amp;E電入力!AU58&amp;");"</f>
        <v>Beacon.Put(117,0,143);</v>
      </c>
      <c r="H57" s="12" t="str">
        <f>"$dis+"&amp;IF(E電入力!$C59&gt;E電入力!$C58,0.75*(E電入力!$C59-E電入力!$C58),20)&amp;";"</f>
        <v>$dis+20;</v>
      </c>
      <c r="I57" s="12" t="str">
        <f ca="1">"Beacon.Put(117,0,"&amp;E電入力!AV58&amp;");"</f>
        <v>Beacon.Put(117,0,144);</v>
      </c>
    </row>
    <row r="58" spans="1:9">
      <c r="A58" s="12" t="str">
        <f>E電入力!C59&amp;";"</f>
        <v>;</v>
      </c>
      <c r="B58" s="12" t="s">
        <v>84</v>
      </c>
      <c r="C58" s="12" t="str">
        <f ca="1">"Beacon.Put(117,0,"&amp;E電入力!AS59&amp;");"</f>
        <v>Beacon.Put(117,0,145);</v>
      </c>
      <c r="D58" s="12" t="s">
        <v>85</v>
      </c>
      <c r="E58" s="12" t="str">
        <f ca="1">"Beacon.Put(117,0,"&amp;E電入力!AT59&amp;");"</f>
        <v>Beacon.Put(117,0,146);</v>
      </c>
      <c r="F58" s="12" t="str">
        <f>"$dis+"&amp;IF(E電入力!$C60&gt;E電入力!$C59,0.5*(E電入力!$C60-E電入力!$C59),20)&amp;";"</f>
        <v>$dis+20;</v>
      </c>
      <c r="G58" s="12" t="str">
        <f ca="1">"Beacon.Put(117,0,"&amp;E電入力!AU59&amp;");"</f>
        <v>Beacon.Put(117,0,147);</v>
      </c>
      <c r="H58" s="12" t="str">
        <f>"$dis+"&amp;IF(E電入力!$C60&gt;E電入力!$C59,0.75*(E電入力!$C60-E電入力!$C59),20)&amp;";"</f>
        <v>$dis+20;</v>
      </c>
      <c r="I58" s="12" t="str">
        <f ca="1">"Beacon.Put(117,0,"&amp;E電入力!AV59&amp;");"</f>
        <v>Beacon.Put(117,0,148);</v>
      </c>
    </row>
    <row r="59" spans="1:9">
      <c r="A59" s="12" t="str">
        <f>E電入力!C60&amp;";"</f>
        <v>;</v>
      </c>
      <c r="B59" s="12" t="s">
        <v>84</v>
      </c>
      <c r="C59" s="12" t="str">
        <f ca="1">"Beacon.Put(117,0,"&amp;E電入力!AS60&amp;");"</f>
        <v>Beacon.Put(117,0,149);</v>
      </c>
      <c r="D59" s="12" t="s">
        <v>85</v>
      </c>
      <c r="E59" s="12" t="str">
        <f ca="1">"Beacon.Put(117,0,"&amp;E電入力!AT60&amp;");"</f>
        <v>Beacon.Put(117,0,150);</v>
      </c>
      <c r="F59" s="12" t="str">
        <f>"$dis+"&amp;IF(E電入力!$C61&gt;E電入力!$C60,0.5*(E電入力!$C61-E電入力!$C60),20)&amp;";"</f>
        <v>$dis+20;</v>
      </c>
      <c r="G59" s="12" t="str">
        <f ca="1">"Beacon.Put(117,0,"&amp;E電入力!AU60&amp;");"</f>
        <v>Beacon.Put(117,0,151);</v>
      </c>
      <c r="H59" s="12" t="str">
        <f>"$dis+"&amp;IF(E電入力!$C61&gt;E電入力!$C60,0.75*(E電入力!$C61-E電入力!$C60),20)&amp;";"</f>
        <v>$dis+20;</v>
      </c>
      <c r="I59" s="12" t="str">
        <f ca="1">"Beacon.Put(117,0,"&amp;E電入力!AV60&amp;");"</f>
        <v>Beacon.Put(117,0,152);</v>
      </c>
    </row>
    <row r="60" spans="1:9">
      <c r="A60" s="12" t="str">
        <f>E電入力!C61&amp;";"</f>
        <v>;</v>
      </c>
      <c r="B60" s="12" t="s">
        <v>84</v>
      </c>
      <c r="C60" s="12" t="str">
        <f ca="1">"Beacon.Put(117,0,"&amp;E電入力!AS61&amp;");"</f>
        <v>Beacon.Put(117,0,153);</v>
      </c>
      <c r="D60" s="12" t="s">
        <v>85</v>
      </c>
      <c r="E60" s="12" t="str">
        <f ca="1">"Beacon.Put(117,0,"&amp;E電入力!AT61&amp;");"</f>
        <v>Beacon.Put(117,0,154);</v>
      </c>
      <c r="F60" s="12" t="str">
        <f>"$dis+"&amp;IF(E電入力!$C62&gt;E電入力!$C61,0.5*(E電入力!$C62-E電入力!$C61),20)&amp;";"</f>
        <v>$dis+20;</v>
      </c>
      <c r="G60" s="12" t="str">
        <f ca="1">"Beacon.Put(117,0,"&amp;E電入力!AU61&amp;");"</f>
        <v>Beacon.Put(117,0,155);</v>
      </c>
      <c r="H60" s="12" t="str">
        <f>"$dis+"&amp;IF(E電入力!$C62&gt;E電入力!$C61,0.75*(E電入力!$C62-E電入力!$C61),20)&amp;";"</f>
        <v>$dis+20;</v>
      </c>
      <c r="I60" s="12" t="str">
        <f ca="1">"Beacon.Put(117,0,"&amp;E電入力!AV61&amp;");"</f>
        <v>Beacon.Put(117,0,156);</v>
      </c>
    </row>
    <row r="61" spans="1:9">
      <c r="A61" s="12" t="str">
        <f>E電入力!C62&amp;";"</f>
        <v>;</v>
      </c>
      <c r="B61" s="12" t="s">
        <v>84</v>
      </c>
      <c r="C61" s="12" t="str">
        <f ca="1">"Beacon.Put(117,0,"&amp;E電入力!AS62&amp;");"</f>
        <v>Beacon.Put(117,0,157);</v>
      </c>
      <c r="D61" s="12" t="s">
        <v>85</v>
      </c>
      <c r="E61" s="12" t="str">
        <f ca="1">"Beacon.Put(117,0,"&amp;E電入力!AT62&amp;");"</f>
        <v>Beacon.Put(117,0,158);</v>
      </c>
      <c r="F61" s="12" t="str">
        <f>"$dis+"&amp;IF(E電入力!$C63&gt;E電入力!$C62,0.5*(E電入力!$C63-E電入力!$C62),20)&amp;";"</f>
        <v>$dis+20;</v>
      </c>
      <c r="G61" s="12" t="str">
        <f ca="1">"Beacon.Put(117,0,"&amp;E電入力!AU62&amp;");"</f>
        <v>Beacon.Put(117,0,159);</v>
      </c>
      <c r="H61" s="12" t="str">
        <f>"$dis+"&amp;IF(E電入力!$C63&gt;E電入力!$C62,0.75*(E電入力!$C63-E電入力!$C62),20)&amp;";"</f>
        <v>$dis+20;</v>
      </c>
      <c r="I61" s="12" t="str">
        <f ca="1">"Beacon.Put(117,0,"&amp;E電入力!AV62&amp;");"</f>
        <v>Beacon.Put(117,0,160);</v>
      </c>
    </row>
    <row r="62" spans="1:9">
      <c r="A62" s="12" t="str">
        <f>E電入力!C63&amp;";"</f>
        <v>;</v>
      </c>
      <c r="B62" s="12" t="s">
        <v>84</v>
      </c>
      <c r="C62" s="12" t="str">
        <f ca="1">"Beacon.Put(117,0,"&amp;E電入力!AS63&amp;");"</f>
        <v>Beacon.Put(117,0,161);</v>
      </c>
      <c r="D62" s="12" t="s">
        <v>85</v>
      </c>
      <c r="E62" s="12" t="str">
        <f ca="1">"Beacon.Put(117,0,"&amp;E電入力!AT63&amp;");"</f>
        <v>Beacon.Put(117,0,162);</v>
      </c>
      <c r="F62" s="12" t="str">
        <f>"$dis+"&amp;IF(E電入力!$C64&gt;E電入力!$C63,0.5*(E電入力!$C64-E電入力!$C63),20)&amp;";"</f>
        <v>$dis+20;</v>
      </c>
      <c r="G62" s="12" t="str">
        <f ca="1">"Beacon.Put(117,0,"&amp;E電入力!AU63&amp;");"</f>
        <v>Beacon.Put(117,0,163);</v>
      </c>
      <c r="H62" s="12" t="str">
        <f>"$dis+"&amp;IF(E電入力!$C64&gt;E電入力!$C63,0.75*(E電入力!$C64-E電入力!$C63),20)&amp;";"</f>
        <v>$dis+20;</v>
      </c>
      <c r="I62" s="12" t="str">
        <f ca="1">"Beacon.Put(117,0,"&amp;E電入力!AV63&amp;");"</f>
        <v>Beacon.Put(117,0,164);</v>
      </c>
    </row>
    <row r="63" spans="1:9">
      <c r="A63" s="12" t="str">
        <f>E電入力!C64&amp;";"</f>
        <v>;</v>
      </c>
      <c r="B63" s="12" t="s">
        <v>84</v>
      </c>
      <c r="C63" s="12" t="str">
        <f ca="1">"Beacon.Put(117,0,"&amp;E電入力!AS64&amp;");"</f>
        <v>Beacon.Put(117,0,165);</v>
      </c>
      <c r="D63" s="12" t="s">
        <v>85</v>
      </c>
      <c r="E63" s="12" t="str">
        <f ca="1">"Beacon.Put(117,0,"&amp;E電入力!AT64&amp;");"</f>
        <v>Beacon.Put(117,0,166);</v>
      </c>
      <c r="F63" s="12" t="str">
        <f>"$dis+"&amp;IF(E電入力!$C65&gt;E電入力!$C64,0.5*(E電入力!$C65-E電入力!$C64),20)&amp;";"</f>
        <v>$dis+20;</v>
      </c>
      <c r="G63" s="12" t="str">
        <f ca="1">"Beacon.Put(117,0,"&amp;E電入力!AU64&amp;");"</f>
        <v>Beacon.Put(117,0,167);</v>
      </c>
      <c r="H63" s="12" t="str">
        <f>"$dis+"&amp;IF(E電入力!$C65&gt;E電入力!$C64,0.75*(E電入力!$C65-E電入力!$C64),20)&amp;";"</f>
        <v>$dis+20;</v>
      </c>
      <c r="I63" s="12" t="str">
        <f ca="1">"Beacon.Put(117,0,"&amp;E電入力!AV64&amp;");"</f>
        <v>Beacon.Put(117,0,168);</v>
      </c>
    </row>
    <row r="64" spans="1:9">
      <c r="A64" s="12" t="str">
        <f>E電入力!C65&amp;";"</f>
        <v>;</v>
      </c>
      <c r="B64" s="12" t="s">
        <v>84</v>
      </c>
      <c r="C64" s="12" t="str">
        <f ca="1">"Beacon.Put(117,0,"&amp;E電入力!AS65&amp;");"</f>
        <v>Beacon.Put(117,0,169);</v>
      </c>
      <c r="D64" s="12" t="s">
        <v>85</v>
      </c>
      <c r="E64" s="12" t="str">
        <f ca="1">"Beacon.Put(117,0,"&amp;E電入力!AT65&amp;");"</f>
        <v>Beacon.Put(117,0,170);</v>
      </c>
      <c r="F64" s="12" t="str">
        <f>"$dis+"&amp;IF(E電入力!$C66&gt;E電入力!$C65,0.5*(E電入力!$C66-E電入力!$C65),20)&amp;";"</f>
        <v>$dis+20;</v>
      </c>
      <c r="G64" s="12" t="str">
        <f ca="1">"Beacon.Put(117,0,"&amp;E電入力!AU65&amp;");"</f>
        <v>Beacon.Put(117,0,171);</v>
      </c>
      <c r="H64" s="12" t="str">
        <f>"$dis+"&amp;IF(E電入力!$C66&gt;E電入力!$C65,0.75*(E電入力!$C66-E電入力!$C65),20)&amp;";"</f>
        <v>$dis+20;</v>
      </c>
      <c r="I64" s="12" t="str">
        <f ca="1">"Beacon.Put(117,0,"&amp;E電入力!AV65&amp;");"</f>
        <v>Beacon.Put(117,0,172);</v>
      </c>
    </row>
    <row r="65" spans="1:9">
      <c r="A65" s="12" t="str">
        <f>E電入力!C66&amp;";"</f>
        <v>;</v>
      </c>
      <c r="B65" s="12" t="s">
        <v>84</v>
      </c>
      <c r="C65" s="12" t="str">
        <f ca="1">"Beacon.Put(117,0,"&amp;E電入力!AS66&amp;");"</f>
        <v>Beacon.Put(117,0,173);</v>
      </c>
      <c r="D65" s="12" t="s">
        <v>85</v>
      </c>
      <c r="E65" s="12" t="str">
        <f ca="1">"Beacon.Put(117,0,"&amp;E電入力!AT66&amp;");"</f>
        <v>Beacon.Put(117,0,174);</v>
      </c>
      <c r="F65" s="12" t="str">
        <f>"$dis+"&amp;IF(E電入力!$C67&gt;E電入力!$C66,0.5*(E電入力!$C67-E電入力!$C66),20)&amp;";"</f>
        <v>$dis+20;</v>
      </c>
      <c r="G65" s="12" t="str">
        <f ca="1">"Beacon.Put(117,0,"&amp;E電入力!AU66&amp;");"</f>
        <v>Beacon.Put(117,0,175);</v>
      </c>
      <c r="H65" s="12" t="str">
        <f>"$dis+"&amp;IF(E電入力!$C67&gt;E電入力!$C66,0.75*(E電入力!$C67-E電入力!$C66),20)&amp;";"</f>
        <v>$dis+20;</v>
      </c>
      <c r="I65" s="12" t="str">
        <f ca="1">"Beacon.Put(117,0,"&amp;E電入力!AV66&amp;");"</f>
        <v>Beacon.Put(117,0,176);</v>
      </c>
    </row>
    <row r="66" spans="1:9">
      <c r="A66" s="12" t="str">
        <f>E電入力!C67&amp;";"</f>
        <v>;</v>
      </c>
      <c r="B66" s="12" t="s">
        <v>84</v>
      </c>
      <c r="C66" s="12" t="str">
        <f ca="1">"Beacon.Put(117,0,"&amp;E電入力!AS67&amp;");"</f>
        <v>Beacon.Put(117,0,177);</v>
      </c>
      <c r="D66" s="12" t="s">
        <v>85</v>
      </c>
      <c r="E66" s="12" t="str">
        <f ca="1">"Beacon.Put(117,0,"&amp;E電入力!AT67&amp;");"</f>
        <v>Beacon.Put(117,0,178);</v>
      </c>
      <c r="F66" s="12" t="str">
        <f>"$dis+"&amp;IF(E電入力!$C68&gt;E電入力!$C67,0.5*(E電入力!$C68-E電入力!$C67),20)&amp;";"</f>
        <v>$dis+20;</v>
      </c>
      <c r="G66" s="12" t="str">
        <f ca="1">"Beacon.Put(117,0,"&amp;E電入力!AU67&amp;");"</f>
        <v>Beacon.Put(117,0,179);</v>
      </c>
      <c r="H66" s="12" t="str">
        <f>"$dis+"&amp;IF(E電入力!$C68&gt;E電入力!$C67,0.75*(E電入力!$C68-E電入力!$C67),20)&amp;";"</f>
        <v>$dis+20;</v>
      </c>
      <c r="I66" s="12" t="str">
        <f ca="1">"Beacon.Put(117,0,"&amp;E電入力!AV67&amp;");"</f>
        <v>Beacon.Put(117,0,180);</v>
      </c>
    </row>
    <row r="67" spans="1:9">
      <c r="A67" s="12" t="str">
        <f>E電入力!C68&amp;";"</f>
        <v>;</v>
      </c>
      <c r="B67" s="12" t="s">
        <v>84</v>
      </c>
      <c r="C67" s="12" t="str">
        <f ca="1">"Beacon.Put(117,0,"&amp;E電入力!AS68&amp;");"</f>
        <v>Beacon.Put(117,0,181);</v>
      </c>
      <c r="D67" s="12" t="s">
        <v>85</v>
      </c>
      <c r="E67" s="12" t="str">
        <f ca="1">"Beacon.Put(117,0,"&amp;E電入力!AT68&amp;");"</f>
        <v>Beacon.Put(117,0,182);</v>
      </c>
      <c r="F67" s="12" t="str">
        <f>"$dis+"&amp;IF(E電入力!$C69&gt;E電入力!$C68,0.5*(E電入力!$C69-E電入力!$C68),20)&amp;";"</f>
        <v>$dis+20;</v>
      </c>
      <c r="G67" s="12" t="str">
        <f ca="1">"Beacon.Put(117,0,"&amp;E電入力!AU68&amp;");"</f>
        <v>Beacon.Put(117,0,183);</v>
      </c>
      <c r="H67" s="12" t="str">
        <f>"$dis+"&amp;IF(E電入力!$C69&gt;E電入力!$C68,0.75*(E電入力!$C69-E電入力!$C68),20)&amp;";"</f>
        <v>$dis+20;</v>
      </c>
      <c r="I67" s="12" t="str">
        <f ca="1">"Beacon.Put(117,0,"&amp;E電入力!AV68&amp;");"</f>
        <v>Beacon.Put(117,0,184);</v>
      </c>
    </row>
    <row r="68" spans="1:9">
      <c r="A68" s="12" t="str">
        <f>E電入力!C69&amp;";"</f>
        <v>;</v>
      </c>
      <c r="B68" s="12" t="s">
        <v>84</v>
      </c>
      <c r="C68" s="12" t="str">
        <f ca="1">"Beacon.Put(117,0,"&amp;E電入力!AS69&amp;");"</f>
        <v>Beacon.Put(117,0,185);</v>
      </c>
      <c r="D68" s="12" t="s">
        <v>85</v>
      </c>
      <c r="E68" s="12" t="str">
        <f ca="1">"Beacon.Put(117,0,"&amp;E電入力!AT69&amp;");"</f>
        <v>Beacon.Put(117,0,186);</v>
      </c>
      <c r="F68" s="12" t="str">
        <f>"$dis+"&amp;IF(E電入力!$C70&gt;E電入力!$C69,0.5*(E電入力!$C70-E電入力!$C69),20)&amp;";"</f>
        <v>$dis+20;</v>
      </c>
      <c r="G68" s="12" t="str">
        <f ca="1">"Beacon.Put(117,0,"&amp;E電入力!AU69&amp;");"</f>
        <v>Beacon.Put(117,0,187);</v>
      </c>
      <c r="H68" s="12" t="str">
        <f>"$dis+"&amp;IF(E電入力!$C70&gt;E電入力!$C69,0.75*(E電入力!$C70-E電入力!$C69),20)&amp;";"</f>
        <v>$dis+20;</v>
      </c>
      <c r="I68" s="12" t="str">
        <f ca="1">"Beacon.Put(117,0,"&amp;E電入力!AV69&amp;");"</f>
        <v>Beacon.Put(117,0,188);</v>
      </c>
    </row>
    <row r="69" spans="1:9">
      <c r="A69" s="12" t="str">
        <f>E電入力!C70&amp;";"</f>
        <v>;</v>
      </c>
      <c r="B69" s="12" t="s">
        <v>84</v>
      </c>
      <c r="C69" s="12" t="str">
        <f ca="1">"Beacon.Put(117,0,"&amp;E電入力!AS70&amp;");"</f>
        <v>Beacon.Put(117,0,189);</v>
      </c>
      <c r="D69" s="12" t="s">
        <v>85</v>
      </c>
      <c r="E69" s="12" t="str">
        <f ca="1">"Beacon.Put(117,0,"&amp;E電入力!AT70&amp;");"</f>
        <v>Beacon.Put(117,0,190);</v>
      </c>
      <c r="F69" s="12" t="str">
        <f>"$dis+"&amp;IF(E電入力!$C71&gt;E電入力!$C70,0.5*(E電入力!$C71-E電入力!$C70),20)&amp;";"</f>
        <v>$dis+20;</v>
      </c>
      <c r="G69" s="12" t="str">
        <f ca="1">"Beacon.Put(117,0,"&amp;E電入力!AU70&amp;");"</f>
        <v>Beacon.Put(117,0,191);</v>
      </c>
      <c r="H69" s="12" t="str">
        <f>"$dis+"&amp;IF(E電入力!$C71&gt;E電入力!$C70,0.75*(E電入力!$C71-E電入力!$C70),20)&amp;";"</f>
        <v>$dis+20;</v>
      </c>
      <c r="I69" s="12" t="str">
        <f ca="1">"Beacon.Put(117,0,"&amp;E電入力!AV70&amp;");"</f>
        <v>Beacon.Put(117,0,192);</v>
      </c>
    </row>
    <row r="70" spans="1:9">
      <c r="A70" s="12" t="str">
        <f>E電入力!C71&amp;";"</f>
        <v>;</v>
      </c>
      <c r="B70" s="12" t="s">
        <v>84</v>
      </c>
      <c r="C70" s="12" t="str">
        <f ca="1">"Beacon.Put(117,0,"&amp;E電入力!AS71&amp;");"</f>
        <v>Beacon.Put(117,0,193);</v>
      </c>
      <c r="D70" s="12" t="s">
        <v>85</v>
      </c>
      <c r="E70" s="12" t="str">
        <f ca="1">"Beacon.Put(117,0,"&amp;E電入力!AT71&amp;");"</f>
        <v>Beacon.Put(117,0,194);</v>
      </c>
      <c r="F70" s="12" t="str">
        <f>"$dis+"&amp;IF(E電入力!$C72&gt;E電入力!$C71,0.5*(E電入力!$C72-E電入力!$C71),20)&amp;";"</f>
        <v>$dis+20;</v>
      </c>
      <c r="G70" s="12" t="str">
        <f ca="1">"Beacon.Put(117,0,"&amp;E電入力!AU71&amp;");"</f>
        <v>Beacon.Put(117,0,195);</v>
      </c>
      <c r="H70" s="12" t="str">
        <f>"$dis+"&amp;IF(E電入力!$C72&gt;E電入力!$C71,0.75*(E電入力!$C72-E電入力!$C71),20)&amp;";"</f>
        <v>$dis+20;</v>
      </c>
      <c r="I70" s="12" t="str">
        <f ca="1">"Beacon.Put(117,0,"&amp;E電入力!AV71&amp;");"</f>
        <v>Beacon.Put(117,0,196);</v>
      </c>
    </row>
    <row r="71" spans="1:9">
      <c r="A71" s="12" t="str">
        <f>E電入力!C72&amp;";"</f>
        <v>;</v>
      </c>
      <c r="B71" s="12" t="s">
        <v>84</v>
      </c>
      <c r="C71" s="12" t="str">
        <f ca="1">"Beacon.Put(117,0,"&amp;E電入力!AS72&amp;");"</f>
        <v>Beacon.Put(117,0,197);</v>
      </c>
      <c r="D71" s="12" t="s">
        <v>85</v>
      </c>
      <c r="E71" s="12" t="str">
        <f ca="1">"Beacon.Put(117,0,"&amp;E電入力!AT72&amp;");"</f>
        <v>Beacon.Put(117,0,198);</v>
      </c>
      <c r="F71" s="12" t="str">
        <f>"$dis+"&amp;IF(E電入力!$C73&gt;E電入力!$C72,0.5*(E電入力!$C73-E電入力!$C72),20)&amp;";"</f>
        <v>$dis+20;</v>
      </c>
      <c r="G71" s="12" t="str">
        <f ca="1">"Beacon.Put(117,0,"&amp;E電入力!AU72&amp;");"</f>
        <v>Beacon.Put(117,0,199);</v>
      </c>
      <c r="H71" s="12" t="str">
        <f>"$dis+"&amp;IF(E電入力!$C73&gt;E電入力!$C72,0.75*(E電入力!$C73-E電入力!$C72),20)&amp;";"</f>
        <v>$dis+20;</v>
      </c>
      <c r="I71" s="12" t="str">
        <f ca="1">"Beacon.Put(117,0,"&amp;E電入力!AV72&amp;");"</f>
        <v>Beacon.Put(117,0,200);</v>
      </c>
    </row>
    <row r="72" spans="1:9">
      <c r="A72" s="12" t="str">
        <f>E電入力!C73&amp;";"</f>
        <v>;</v>
      </c>
      <c r="B72" s="12" t="s">
        <v>84</v>
      </c>
      <c r="C72" s="12" t="str">
        <f ca="1">"Beacon.Put(117,0,"&amp;E電入力!AS73&amp;");"</f>
        <v>Beacon.Put(117,0,201);</v>
      </c>
      <c r="D72" s="12" t="s">
        <v>85</v>
      </c>
      <c r="E72" s="12" t="str">
        <f ca="1">"Beacon.Put(117,0,"&amp;E電入力!AT73&amp;");"</f>
        <v>Beacon.Put(117,0,202);</v>
      </c>
      <c r="F72" s="12" t="str">
        <f>"$dis+"&amp;IF(E電入力!$C74&gt;E電入力!$C73,0.5*(E電入力!$C74-E電入力!$C73),20)&amp;";"</f>
        <v>$dis+20;</v>
      </c>
      <c r="G72" s="12" t="str">
        <f ca="1">"Beacon.Put(117,0,"&amp;E電入力!AU73&amp;");"</f>
        <v>Beacon.Put(117,0,203);</v>
      </c>
      <c r="H72" s="12" t="str">
        <f>"$dis+"&amp;IF(E電入力!$C74&gt;E電入力!$C73,0.75*(E電入力!$C74-E電入力!$C73),20)&amp;";"</f>
        <v>$dis+20;</v>
      </c>
      <c r="I72" s="12" t="str">
        <f ca="1">"Beacon.Put(117,0,"&amp;E電入力!AV73&amp;");"</f>
        <v>Beacon.Put(117,0,204);</v>
      </c>
    </row>
    <row r="73" spans="1:9">
      <c r="A73" s="12" t="str">
        <f>E電入力!C74&amp;";"</f>
        <v>;</v>
      </c>
      <c r="B73" s="12" t="s">
        <v>84</v>
      </c>
      <c r="C73" s="12" t="str">
        <f ca="1">"Beacon.Put(117,0,"&amp;E電入力!AS74&amp;");"</f>
        <v>Beacon.Put(117,0,205);</v>
      </c>
      <c r="D73" s="12" t="s">
        <v>85</v>
      </c>
      <c r="E73" s="12" t="str">
        <f ca="1">"Beacon.Put(117,0,"&amp;E電入力!AT74&amp;");"</f>
        <v>Beacon.Put(117,0,206);</v>
      </c>
      <c r="F73" s="12" t="str">
        <f>"$dis+"&amp;IF(E電入力!$C75&gt;E電入力!$C74,0.5*(E電入力!$C75-E電入力!$C74),20)&amp;";"</f>
        <v>$dis+20;</v>
      </c>
      <c r="G73" s="12" t="str">
        <f ca="1">"Beacon.Put(117,0,"&amp;E電入力!AU74&amp;");"</f>
        <v>Beacon.Put(117,0,207);</v>
      </c>
      <c r="H73" s="12" t="str">
        <f>"$dis+"&amp;IF(E電入力!$C75&gt;E電入力!$C74,0.75*(E電入力!$C75-E電入力!$C74),20)&amp;";"</f>
        <v>$dis+20;</v>
      </c>
      <c r="I73" s="12" t="str">
        <f ca="1">"Beacon.Put(117,0,"&amp;E電入力!AV74&amp;");"</f>
        <v>Beacon.Put(117,0,208);</v>
      </c>
    </row>
    <row r="74" spans="1:9">
      <c r="A74" s="12" t="str">
        <f>E電入力!C75&amp;";"</f>
        <v>;</v>
      </c>
      <c r="B74" s="12" t="s">
        <v>84</v>
      </c>
      <c r="C74" s="12" t="str">
        <f ca="1">"Beacon.Put(117,0,"&amp;E電入力!AS75&amp;");"</f>
        <v>Beacon.Put(117,0,209);</v>
      </c>
      <c r="D74" s="12" t="s">
        <v>85</v>
      </c>
      <c r="E74" s="12" t="str">
        <f ca="1">"Beacon.Put(117,0,"&amp;E電入力!AT75&amp;");"</f>
        <v>Beacon.Put(117,0,210);</v>
      </c>
      <c r="F74" s="12" t="str">
        <f>"$dis+"&amp;IF(E電入力!$C76&gt;E電入力!$C75,0.5*(E電入力!$C76-E電入力!$C75),20)&amp;";"</f>
        <v>$dis+20;</v>
      </c>
      <c r="G74" s="12" t="str">
        <f ca="1">"Beacon.Put(117,0,"&amp;E電入力!AU75&amp;");"</f>
        <v>Beacon.Put(117,0,211);</v>
      </c>
      <c r="H74" s="12" t="str">
        <f>"$dis+"&amp;IF(E電入力!$C76&gt;E電入力!$C75,0.75*(E電入力!$C76-E電入力!$C75),20)&amp;";"</f>
        <v>$dis+20;</v>
      </c>
      <c r="I74" s="12" t="str">
        <f ca="1">"Beacon.Put(117,0,"&amp;E電入力!AV75&amp;");"</f>
        <v>Beacon.Put(117,0,212);</v>
      </c>
    </row>
    <row r="75" spans="1:9">
      <c r="A75" s="12" t="str">
        <f>E電入力!C76&amp;";"</f>
        <v>;</v>
      </c>
      <c r="B75" s="12" t="s">
        <v>84</v>
      </c>
      <c r="C75" s="12" t="str">
        <f ca="1">"Beacon.Put(117,0,"&amp;E電入力!AS76&amp;");"</f>
        <v>Beacon.Put(117,0,213);</v>
      </c>
      <c r="D75" s="12" t="s">
        <v>85</v>
      </c>
      <c r="E75" s="12" t="str">
        <f ca="1">"Beacon.Put(117,0,"&amp;E電入力!AT76&amp;");"</f>
        <v>Beacon.Put(117,0,214);</v>
      </c>
      <c r="F75" s="12" t="str">
        <f>"$dis+"&amp;IF(E電入力!$C77&gt;E電入力!$C76,0.5*(E電入力!$C77-E電入力!$C76),20)&amp;";"</f>
        <v>$dis+20;</v>
      </c>
      <c r="G75" s="12" t="str">
        <f ca="1">"Beacon.Put(117,0,"&amp;E電入力!AU76&amp;");"</f>
        <v>Beacon.Put(117,0,215);</v>
      </c>
      <c r="H75" s="12" t="str">
        <f>"$dis+"&amp;IF(E電入力!$C77&gt;E電入力!$C76,0.75*(E電入力!$C77-E電入力!$C76),20)&amp;";"</f>
        <v>$dis+20;</v>
      </c>
      <c r="I75" s="12" t="str">
        <f ca="1">"Beacon.Put(117,0,"&amp;E電入力!AV76&amp;");"</f>
        <v>Beacon.Put(117,0,216);</v>
      </c>
    </row>
    <row r="76" spans="1:9">
      <c r="A76" s="12" t="str">
        <f>E電入力!C77&amp;";"</f>
        <v>;</v>
      </c>
      <c r="B76" s="12" t="s">
        <v>84</v>
      </c>
      <c r="C76" s="12" t="str">
        <f ca="1">"Beacon.Put(117,0,"&amp;E電入力!AS77&amp;");"</f>
        <v>Beacon.Put(117,0,217);</v>
      </c>
      <c r="D76" s="12" t="s">
        <v>85</v>
      </c>
      <c r="E76" s="12" t="str">
        <f ca="1">"Beacon.Put(117,0,"&amp;E電入力!AT77&amp;");"</f>
        <v>Beacon.Put(117,0,218);</v>
      </c>
      <c r="F76" s="12" t="str">
        <f>"$dis+"&amp;IF(E電入力!$C78&gt;E電入力!$C77,0.5*(E電入力!$C78-E電入力!$C77),20)&amp;";"</f>
        <v>$dis+20;</v>
      </c>
      <c r="G76" s="12" t="str">
        <f ca="1">"Beacon.Put(117,0,"&amp;E電入力!AU77&amp;");"</f>
        <v>Beacon.Put(117,0,219);</v>
      </c>
      <c r="H76" s="12" t="str">
        <f>"$dis+"&amp;IF(E電入力!$C78&gt;E電入力!$C77,0.75*(E電入力!$C78-E電入力!$C77),20)&amp;";"</f>
        <v>$dis+20;</v>
      </c>
      <c r="I76" s="12" t="str">
        <f ca="1">"Beacon.Put(117,0,"&amp;E電入力!AV77&amp;");"</f>
        <v>Beacon.Put(117,0,220);</v>
      </c>
    </row>
    <row r="77" spans="1:9">
      <c r="A77" s="12" t="str">
        <f>E電入力!C78&amp;";"</f>
        <v>;</v>
      </c>
      <c r="B77" s="12" t="s">
        <v>84</v>
      </c>
      <c r="C77" s="12" t="str">
        <f ca="1">"Beacon.Put(117,0,"&amp;E電入力!AS78&amp;");"</f>
        <v>Beacon.Put(117,0,221);</v>
      </c>
      <c r="D77" s="12" t="s">
        <v>85</v>
      </c>
      <c r="E77" s="12" t="str">
        <f ca="1">"Beacon.Put(117,0,"&amp;E電入力!AT78&amp;");"</f>
        <v>Beacon.Put(117,0,222);</v>
      </c>
      <c r="F77" s="12" t="str">
        <f>"$dis+"&amp;IF(E電入力!$C79&gt;E電入力!$C78,0.5*(E電入力!$C79-E電入力!$C78),20)&amp;";"</f>
        <v>$dis+20;</v>
      </c>
      <c r="G77" s="12" t="str">
        <f ca="1">"Beacon.Put(117,0,"&amp;E電入力!AU78&amp;");"</f>
        <v>Beacon.Put(117,0,223);</v>
      </c>
      <c r="H77" s="12" t="str">
        <f>"$dis+"&amp;IF(E電入力!$C79&gt;E電入力!$C78,0.75*(E電入力!$C79-E電入力!$C78),20)&amp;";"</f>
        <v>$dis+20;</v>
      </c>
      <c r="I77" s="12" t="str">
        <f ca="1">"Beacon.Put(117,0,"&amp;E電入力!AV78&amp;");"</f>
        <v>Beacon.Put(117,0,224);</v>
      </c>
    </row>
    <row r="78" spans="1:9">
      <c r="A78" s="12" t="str">
        <f>E電入力!C79&amp;";"</f>
        <v>;</v>
      </c>
      <c r="B78" s="12" t="s">
        <v>84</v>
      </c>
      <c r="C78" s="12" t="str">
        <f ca="1">"Beacon.Put(117,0,"&amp;E電入力!AS79&amp;");"</f>
        <v>Beacon.Put(117,0,225);</v>
      </c>
      <c r="D78" s="12" t="s">
        <v>85</v>
      </c>
      <c r="E78" s="12" t="str">
        <f ca="1">"Beacon.Put(117,0,"&amp;E電入力!AT79&amp;");"</f>
        <v>Beacon.Put(117,0,226);</v>
      </c>
      <c r="F78" s="12" t="str">
        <f>"$dis+"&amp;IF(E電入力!$C80&gt;E電入力!$C79,0.5*(E電入力!$C80-E電入力!$C79),20)&amp;";"</f>
        <v>$dis+20;</v>
      </c>
      <c r="G78" s="12" t="str">
        <f ca="1">"Beacon.Put(117,0,"&amp;E電入力!AU79&amp;");"</f>
        <v>Beacon.Put(117,0,227);</v>
      </c>
      <c r="H78" s="12" t="str">
        <f>"$dis+"&amp;IF(E電入力!$C80&gt;E電入力!$C79,0.75*(E電入力!$C80-E電入力!$C79),20)&amp;";"</f>
        <v>$dis+20;</v>
      </c>
      <c r="I78" s="12" t="str">
        <f ca="1">"Beacon.Put(117,0,"&amp;E電入力!AV79&amp;");"</f>
        <v>Beacon.Put(117,0,228);</v>
      </c>
    </row>
    <row r="79" spans="1:9">
      <c r="A79" s="12" t="str">
        <f>E電入力!C80&amp;";"</f>
        <v>;</v>
      </c>
      <c r="B79" s="12" t="s">
        <v>84</v>
      </c>
      <c r="C79" s="12" t="str">
        <f ca="1">"Beacon.Put(117,0,"&amp;E電入力!AS80&amp;");"</f>
        <v>Beacon.Put(117,0,229);</v>
      </c>
      <c r="D79" s="12" t="s">
        <v>85</v>
      </c>
      <c r="E79" s="12" t="str">
        <f ca="1">"Beacon.Put(117,0,"&amp;E電入力!AT80&amp;");"</f>
        <v>Beacon.Put(117,0,230);</v>
      </c>
      <c r="F79" s="12" t="str">
        <f>"$dis+"&amp;IF(E電入力!$C81&gt;E電入力!$C80,0.5*(E電入力!$C81-E電入力!$C80),20)&amp;";"</f>
        <v>$dis+20;</v>
      </c>
      <c r="G79" s="12" t="str">
        <f ca="1">"Beacon.Put(117,0,"&amp;E電入力!AU80&amp;");"</f>
        <v>Beacon.Put(117,0,231);</v>
      </c>
      <c r="H79" s="12" t="str">
        <f>"$dis+"&amp;IF(E電入力!$C81&gt;E電入力!$C80,0.75*(E電入力!$C81-E電入力!$C80),20)&amp;";"</f>
        <v>$dis+20;</v>
      </c>
      <c r="I79" s="12" t="str">
        <f ca="1">"Beacon.Put(117,0,"&amp;E電入力!AV80&amp;");"</f>
        <v>Beacon.Put(117,0,232);</v>
      </c>
    </row>
    <row r="80" spans="1:9">
      <c r="A80" s="12" t="str">
        <f>E電入力!C81&amp;";"</f>
        <v>;</v>
      </c>
      <c r="B80" s="12" t="s">
        <v>84</v>
      </c>
      <c r="C80" s="12" t="str">
        <f ca="1">"Beacon.Put(117,0,"&amp;E電入力!AS81&amp;");"</f>
        <v>Beacon.Put(117,0,233);</v>
      </c>
      <c r="D80" s="12" t="s">
        <v>85</v>
      </c>
      <c r="E80" s="12" t="str">
        <f ca="1">"Beacon.Put(117,0,"&amp;E電入力!AT81&amp;");"</f>
        <v>Beacon.Put(117,0,234);</v>
      </c>
      <c r="F80" s="12" t="str">
        <f>"$dis+"&amp;IF(E電入力!$C82&gt;E電入力!$C81,0.5*(E電入力!$C82-E電入力!$C81),20)&amp;";"</f>
        <v>$dis+20;</v>
      </c>
      <c r="G80" s="12" t="str">
        <f ca="1">"Beacon.Put(117,0,"&amp;E電入力!AU81&amp;");"</f>
        <v>Beacon.Put(117,0,235);</v>
      </c>
      <c r="H80" s="12" t="str">
        <f>"$dis+"&amp;IF(E電入力!$C82&gt;E電入力!$C81,0.75*(E電入力!$C82-E電入力!$C81),20)&amp;";"</f>
        <v>$dis+20;</v>
      </c>
      <c r="I80" s="12" t="str">
        <f ca="1">"Beacon.Put(117,0,"&amp;E電入力!AV81&amp;");"</f>
        <v>Beacon.Put(117,0,236);</v>
      </c>
    </row>
    <row r="81" spans="1:9">
      <c r="A81" s="12" t="str">
        <f>E電入力!C82&amp;";"</f>
        <v>;</v>
      </c>
      <c r="B81" s="12" t="s">
        <v>84</v>
      </c>
      <c r="C81" s="12" t="str">
        <f ca="1">"Beacon.Put(117,0,"&amp;E電入力!AS82&amp;");"</f>
        <v>Beacon.Put(117,0,237);</v>
      </c>
      <c r="D81" s="12" t="s">
        <v>85</v>
      </c>
      <c r="E81" s="12" t="str">
        <f ca="1">"Beacon.Put(117,0,"&amp;E電入力!AT82&amp;");"</f>
        <v>Beacon.Put(117,0,238);</v>
      </c>
      <c r="F81" s="12" t="str">
        <f>"$dis+"&amp;IF(E電入力!$C83&gt;E電入力!$C82,0.5*(E電入力!$C83-E電入力!$C82),20)&amp;";"</f>
        <v>$dis+20;</v>
      </c>
      <c r="G81" s="12" t="str">
        <f ca="1">"Beacon.Put(117,0,"&amp;E電入力!AU82&amp;");"</f>
        <v>Beacon.Put(117,0,239);</v>
      </c>
      <c r="H81" s="12" t="str">
        <f>"$dis+"&amp;IF(E電入力!$C83&gt;E電入力!$C82,0.75*(E電入力!$C83-E電入力!$C82),20)&amp;";"</f>
        <v>$dis+20;</v>
      </c>
      <c r="I81" s="12" t="str">
        <f ca="1">"Beacon.Put(117,0,"&amp;E電入力!AV82&amp;");"</f>
        <v>Beacon.Put(117,0,240);</v>
      </c>
    </row>
    <row r="82" spans="1:9">
      <c r="A82" s="12" t="str">
        <f>E電入力!C83&amp;";"</f>
        <v>;</v>
      </c>
      <c r="B82" s="12" t="s">
        <v>84</v>
      </c>
      <c r="C82" s="12" t="str">
        <f ca="1">"Beacon.Put(117,0,"&amp;E電入力!AS83&amp;");"</f>
        <v>Beacon.Put(117,0,241);</v>
      </c>
      <c r="D82" s="12" t="s">
        <v>85</v>
      </c>
      <c r="E82" s="12" t="str">
        <f ca="1">"Beacon.Put(117,0,"&amp;E電入力!AT83&amp;");"</f>
        <v>Beacon.Put(117,0,242);</v>
      </c>
      <c r="F82" s="12" t="str">
        <f>"$dis+"&amp;IF(E電入力!$C84&gt;E電入力!$C83,0.5*(E電入力!$C84-E電入力!$C83),20)&amp;";"</f>
        <v>$dis+20;</v>
      </c>
      <c r="G82" s="12" t="str">
        <f ca="1">"Beacon.Put(117,0,"&amp;E電入力!AU83&amp;");"</f>
        <v>Beacon.Put(117,0,243);</v>
      </c>
      <c r="H82" s="12" t="str">
        <f>"$dis+"&amp;IF(E電入力!$C84&gt;E電入力!$C83,0.75*(E電入力!$C84-E電入力!$C83),20)&amp;";"</f>
        <v>$dis+20;</v>
      </c>
      <c r="I82" s="12" t="str">
        <f ca="1">"Beacon.Put(117,0,"&amp;E電入力!AV83&amp;");"</f>
        <v>Beacon.Put(117,0,244);</v>
      </c>
    </row>
    <row r="83" spans="1:9">
      <c r="A83" s="12" t="str">
        <f>E電入力!C84&amp;";"</f>
        <v>;</v>
      </c>
      <c r="B83" s="12" t="s">
        <v>84</v>
      </c>
      <c r="C83" s="12" t="str">
        <f ca="1">"Beacon.Put(117,0,"&amp;E電入力!AS84&amp;");"</f>
        <v>Beacon.Put(117,0,245);</v>
      </c>
      <c r="D83" s="12" t="s">
        <v>85</v>
      </c>
      <c r="E83" s="12" t="str">
        <f ca="1">"Beacon.Put(117,0,"&amp;E電入力!AT84&amp;");"</f>
        <v>Beacon.Put(117,0,246);</v>
      </c>
      <c r="F83" s="12" t="str">
        <f>"$dis+"&amp;IF(E電入力!$C85&gt;E電入力!$C84,0.5*(E電入力!$C85-E電入力!$C84),20)&amp;";"</f>
        <v>$dis+20;</v>
      </c>
      <c r="G83" s="12" t="str">
        <f ca="1">"Beacon.Put(117,0,"&amp;E電入力!AU84&amp;");"</f>
        <v>Beacon.Put(117,0,247);</v>
      </c>
      <c r="H83" s="12" t="str">
        <f>"$dis+"&amp;IF(E電入力!$C85&gt;E電入力!$C84,0.75*(E電入力!$C85-E電入力!$C84),20)&amp;";"</f>
        <v>$dis+20;</v>
      </c>
      <c r="I83" s="12" t="str">
        <f ca="1">"Beacon.Put(117,0,"&amp;E電入力!AV84&amp;");"</f>
        <v>Beacon.Put(117,0,248);</v>
      </c>
    </row>
    <row r="84" spans="1:9">
      <c r="A84" s="12" t="str">
        <f>E電入力!C85&amp;";"</f>
        <v>;</v>
      </c>
      <c r="B84" s="12" t="s">
        <v>84</v>
      </c>
      <c r="C84" s="12" t="str">
        <f ca="1">"Beacon.Put(117,0,"&amp;E電入力!AS85&amp;");"</f>
        <v>Beacon.Put(117,0,249);</v>
      </c>
      <c r="D84" s="12" t="s">
        <v>85</v>
      </c>
      <c r="E84" s="12" t="str">
        <f ca="1">"Beacon.Put(117,0,"&amp;E電入力!AT85&amp;");"</f>
        <v>Beacon.Put(117,0,250);</v>
      </c>
      <c r="F84" s="12" t="str">
        <f>"$dis+"&amp;IF(E電入力!$C86&gt;E電入力!$C85,0.5*(E電入力!$C86-E電入力!$C85),20)&amp;";"</f>
        <v>$dis+20;</v>
      </c>
      <c r="G84" s="12" t="str">
        <f ca="1">"Beacon.Put(117,0,"&amp;E電入力!AU85&amp;");"</f>
        <v>Beacon.Put(117,0,251);</v>
      </c>
      <c r="H84" s="12" t="str">
        <f>"$dis+"&amp;IF(E電入力!$C86&gt;E電入力!$C85,0.75*(E電入力!$C86-E電入力!$C85),20)&amp;";"</f>
        <v>$dis+20;</v>
      </c>
      <c r="I84" s="12" t="str">
        <f ca="1">"Beacon.Put(117,0,"&amp;E電入力!AV85&amp;");"</f>
        <v>Beacon.Put(117,0,252);</v>
      </c>
    </row>
    <row r="85" spans="1:9">
      <c r="A85" s="12" t="str">
        <f>E電入力!C86&amp;";"</f>
        <v>;</v>
      </c>
      <c r="B85" s="12" t="s">
        <v>84</v>
      </c>
      <c r="C85" s="12" t="str">
        <f ca="1">"Beacon.Put(117,0,"&amp;E電入力!AS86&amp;");"</f>
        <v>Beacon.Put(117,0,253);</v>
      </c>
      <c r="D85" s="12" t="s">
        <v>85</v>
      </c>
      <c r="E85" s="12" t="str">
        <f ca="1">"Beacon.Put(117,0,"&amp;E電入力!AT86&amp;");"</f>
        <v>Beacon.Put(117,0,254);</v>
      </c>
      <c r="F85" s="12" t="str">
        <f>"$dis+"&amp;IF(E電入力!$C87&gt;E電入力!$C86,0.5*(E電入力!$C87-E電入力!$C86),20)&amp;";"</f>
        <v>$dis+20;</v>
      </c>
      <c r="G85" s="12" t="str">
        <f ca="1">"Beacon.Put(117,0,"&amp;E電入力!AU86&amp;");"</f>
        <v>Beacon.Put(117,0,255);</v>
      </c>
      <c r="H85" s="12" t="str">
        <f>"$dis+"&amp;IF(E電入力!$C87&gt;E電入力!$C86,0.75*(E電入力!$C87-E電入力!$C86),20)&amp;";"</f>
        <v>$dis+20;</v>
      </c>
      <c r="I85" s="12" t="str">
        <f ca="1">"Beacon.Put(117,0,"&amp;E電入力!AV86&amp;");"</f>
        <v>Beacon.Put(117,0,256);</v>
      </c>
    </row>
    <row r="86" spans="1:9">
      <c r="A86" s="12" t="str">
        <f>E電入力!C87&amp;";"</f>
        <v>;</v>
      </c>
      <c r="B86" s="12" t="s">
        <v>84</v>
      </c>
      <c r="C86" s="12" t="str">
        <f ca="1">"Beacon.Put(117,0,"&amp;E電入力!AS87&amp;");"</f>
        <v>Beacon.Put(117,0,257);</v>
      </c>
      <c r="D86" s="12" t="s">
        <v>85</v>
      </c>
      <c r="E86" s="12" t="str">
        <f ca="1">"Beacon.Put(117,0,"&amp;E電入力!AT87&amp;");"</f>
        <v>Beacon.Put(117,0,258);</v>
      </c>
      <c r="F86" s="12" t="str">
        <f>"$dis+"&amp;IF(E電入力!$C88&gt;E電入力!$C87,0.5*(E電入力!$C88-E電入力!$C87),20)&amp;";"</f>
        <v>$dis+20;</v>
      </c>
      <c r="G86" s="12" t="str">
        <f ca="1">"Beacon.Put(117,0,"&amp;E電入力!AU87&amp;");"</f>
        <v>Beacon.Put(117,0,259);</v>
      </c>
      <c r="H86" s="12" t="str">
        <f>"$dis+"&amp;IF(E電入力!$C88&gt;E電入力!$C87,0.75*(E電入力!$C88-E電入力!$C87),20)&amp;";"</f>
        <v>$dis+20;</v>
      </c>
      <c r="I86" s="12" t="str">
        <f ca="1">"Beacon.Put(117,0,"&amp;E電入力!AV87&amp;");"</f>
        <v>Beacon.Put(117,0,260);</v>
      </c>
    </row>
    <row r="87" spans="1:9">
      <c r="A87" s="12" t="str">
        <f>E電入力!C88&amp;";"</f>
        <v>;</v>
      </c>
      <c r="B87" s="12" t="s">
        <v>84</v>
      </c>
      <c r="C87" s="12" t="str">
        <f ca="1">"Beacon.Put(117,0,"&amp;E電入力!AS88&amp;");"</f>
        <v>Beacon.Put(117,0,261);</v>
      </c>
      <c r="D87" s="12" t="s">
        <v>85</v>
      </c>
      <c r="E87" s="12" t="str">
        <f ca="1">"Beacon.Put(117,0,"&amp;E電入力!AT88&amp;");"</f>
        <v>Beacon.Put(117,0,262);</v>
      </c>
      <c r="F87" s="12" t="str">
        <f>"$dis+"&amp;IF(E電入力!$C89&gt;E電入力!$C88,0.5*(E電入力!$C89-E電入力!$C88),20)&amp;";"</f>
        <v>$dis+20;</v>
      </c>
      <c r="G87" s="12" t="str">
        <f ca="1">"Beacon.Put(117,0,"&amp;E電入力!AU88&amp;");"</f>
        <v>Beacon.Put(117,0,263);</v>
      </c>
      <c r="H87" s="12" t="str">
        <f>"$dis+"&amp;IF(E電入力!$C89&gt;E電入力!$C88,0.75*(E電入力!$C89-E電入力!$C88),20)&amp;";"</f>
        <v>$dis+20;</v>
      </c>
      <c r="I87" s="12" t="str">
        <f ca="1">"Beacon.Put(117,0,"&amp;E電入力!AV88&amp;");"</f>
        <v>Beacon.Put(117,0,264);</v>
      </c>
    </row>
    <row r="88" spans="1:9">
      <c r="A88" s="12" t="str">
        <f>E電入力!C89&amp;";"</f>
        <v>;</v>
      </c>
      <c r="B88" s="12" t="s">
        <v>84</v>
      </c>
      <c r="C88" s="12" t="str">
        <f ca="1">"Beacon.Put(117,0,"&amp;E電入力!AS89&amp;");"</f>
        <v>Beacon.Put(117,0,265);</v>
      </c>
      <c r="D88" s="12" t="s">
        <v>85</v>
      </c>
      <c r="E88" s="12" t="str">
        <f ca="1">"Beacon.Put(117,0,"&amp;E電入力!AT89&amp;");"</f>
        <v>Beacon.Put(117,0,266);</v>
      </c>
      <c r="F88" s="12" t="str">
        <f>"$dis+"&amp;IF(E電入力!$C90&gt;E電入力!$C89,0.5*(E電入力!$C90-E電入力!$C89),20)&amp;";"</f>
        <v>$dis+20;</v>
      </c>
      <c r="G88" s="12" t="str">
        <f ca="1">"Beacon.Put(117,0,"&amp;E電入力!AU89&amp;");"</f>
        <v>Beacon.Put(117,0,267);</v>
      </c>
      <c r="H88" s="12" t="str">
        <f>"$dis+"&amp;IF(E電入力!$C90&gt;E電入力!$C89,0.75*(E電入力!$C90-E電入力!$C89),20)&amp;";"</f>
        <v>$dis+20;</v>
      </c>
      <c r="I88" s="12" t="str">
        <f ca="1">"Beacon.Put(117,0,"&amp;E電入力!AV89&amp;");"</f>
        <v>Beacon.Put(117,0,268);</v>
      </c>
    </row>
    <row r="89" spans="1:9">
      <c r="A89" s="12" t="str">
        <f>E電入力!C90&amp;";"</f>
        <v>;</v>
      </c>
      <c r="B89" s="12" t="s">
        <v>84</v>
      </c>
      <c r="C89" s="12" t="str">
        <f ca="1">"Beacon.Put(117,0,"&amp;E電入力!AS90&amp;");"</f>
        <v>Beacon.Put(117,0,269);</v>
      </c>
      <c r="D89" s="12" t="s">
        <v>85</v>
      </c>
      <c r="E89" s="12" t="str">
        <f ca="1">"Beacon.Put(117,0,"&amp;E電入力!AT90&amp;");"</f>
        <v>Beacon.Put(117,0,270);</v>
      </c>
      <c r="F89" s="12" t="str">
        <f>"$dis+"&amp;IF(E電入力!$C91&gt;E電入力!$C90,0.5*(E電入力!$C91-E電入力!$C90),20)&amp;";"</f>
        <v>$dis+20;</v>
      </c>
      <c r="G89" s="12" t="str">
        <f ca="1">"Beacon.Put(117,0,"&amp;E電入力!AU90&amp;");"</f>
        <v>Beacon.Put(117,0,271);</v>
      </c>
      <c r="H89" s="12" t="str">
        <f>"$dis+"&amp;IF(E電入力!$C91&gt;E電入力!$C90,0.75*(E電入力!$C91-E電入力!$C90),20)&amp;";"</f>
        <v>$dis+20;</v>
      </c>
      <c r="I89" s="12" t="str">
        <f ca="1">"Beacon.Put(117,0,"&amp;E電入力!AV90&amp;");"</f>
        <v>Beacon.Put(117,0,272);</v>
      </c>
    </row>
    <row r="90" spans="1:9">
      <c r="A90" s="12" t="str">
        <f>E電入力!C91&amp;";"</f>
        <v>;</v>
      </c>
      <c r="B90" s="12" t="s">
        <v>84</v>
      </c>
      <c r="C90" s="12" t="str">
        <f ca="1">"Beacon.Put(117,0,"&amp;E電入力!AS91&amp;");"</f>
        <v>Beacon.Put(117,0,273);</v>
      </c>
      <c r="D90" s="12" t="s">
        <v>85</v>
      </c>
      <c r="E90" s="12" t="str">
        <f ca="1">"Beacon.Put(117,0,"&amp;E電入力!AT91&amp;");"</f>
        <v>Beacon.Put(117,0,274);</v>
      </c>
      <c r="F90" s="12" t="str">
        <f>"$dis+"&amp;IF(E電入力!$C92&gt;E電入力!$C91,0.5*(E電入力!$C92-E電入力!$C91),20)&amp;";"</f>
        <v>$dis+20;</v>
      </c>
      <c r="G90" s="12" t="str">
        <f ca="1">"Beacon.Put(117,0,"&amp;E電入力!AU91&amp;");"</f>
        <v>Beacon.Put(117,0,275);</v>
      </c>
      <c r="H90" s="12" t="str">
        <f>"$dis+"&amp;IF(E電入力!$C92&gt;E電入力!$C91,0.75*(E電入力!$C92-E電入力!$C91),20)&amp;";"</f>
        <v>$dis+20;</v>
      </c>
      <c r="I90" s="12" t="str">
        <f ca="1">"Beacon.Put(117,0,"&amp;E電入力!AV91&amp;");"</f>
        <v>Beacon.Put(117,0,276);</v>
      </c>
    </row>
    <row r="91" spans="1:9">
      <c r="A91" s="12" t="str">
        <f>E電入力!C92&amp;";"</f>
        <v>;</v>
      </c>
      <c r="B91" s="12" t="s">
        <v>84</v>
      </c>
      <c r="C91" s="12" t="str">
        <f ca="1">"Beacon.Put(117,0,"&amp;E電入力!AS92&amp;");"</f>
        <v>Beacon.Put(117,0,277);</v>
      </c>
      <c r="D91" s="12" t="s">
        <v>85</v>
      </c>
      <c r="E91" s="12" t="str">
        <f ca="1">"Beacon.Put(117,0,"&amp;E電入力!AT92&amp;");"</f>
        <v>Beacon.Put(117,0,278);</v>
      </c>
      <c r="F91" s="12" t="str">
        <f>"$dis+"&amp;IF(E電入力!$C93&gt;E電入力!$C92,0.5*(E電入力!$C93-E電入力!$C92),20)&amp;";"</f>
        <v>$dis+20;</v>
      </c>
      <c r="G91" s="12" t="str">
        <f ca="1">"Beacon.Put(117,0,"&amp;E電入力!AU92&amp;");"</f>
        <v>Beacon.Put(117,0,279);</v>
      </c>
      <c r="H91" s="12" t="str">
        <f>"$dis+"&amp;IF(E電入力!$C93&gt;E電入力!$C92,0.75*(E電入力!$C93-E電入力!$C92),20)&amp;";"</f>
        <v>$dis+20;</v>
      </c>
      <c r="I91" s="12" t="str">
        <f ca="1">"Beacon.Put(117,0,"&amp;E電入力!AV92&amp;");"</f>
        <v>Beacon.Put(117,0,280);</v>
      </c>
    </row>
    <row r="92" spans="1:9">
      <c r="A92" s="12" t="str">
        <f>E電入力!C93&amp;";"</f>
        <v>;</v>
      </c>
      <c r="B92" s="12" t="s">
        <v>84</v>
      </c>
      <c r="C92" s="12" t="str">
        <f ca="1">"Beacon.Put(117,0,"&amp;E電入力!AS93&amp;");"</f>
        <v>Beacon.Put(117,0,281);</v>
      </c>
      <c r="D92" s="12" t="s">
        <v>85</v>
      </c>
      <c r="E92" s="12" t="str">
        <f ca="1">"Beacon.Put(117,0,"&amp;E電入力!AT93&amp;");"</f>
        <v>Beacon.Put(117,0,282);</v>
      </c>
      <c r="F92" s="12" t="str">
        <f>"$dis+"&amp;IF(E電入力!$C94&gt;E電入力!$C93,0.5*(E電入力!$C94-E電入力!$C93),20)&amp;";"</f>
        <v>$dis+20;</v>
      </c>
      <c r="G92" s="12" t="str">
        <f ca="1">"Beacon.Put(117,0,"&amp;E電入力!AU93&amp;");"</f>
        <v>Beacon.Put(117,0,283);</v>
      </c>
      <c r="H92" s="12" t="str">
        <f>"$dis+"&amp;IF(E電入力!$C94&gt;E電入力!$C93,0.75*(E電入力!$C94-E電入力!$C93),20)&amp;";"</f>
        <v>$dis+20;</v>
      </c>
      <c r="I92" s="12" t="str">
        <f ca="1">"Beacon.Put(117,0,"&amp;E電入力!AV93&amp;");"</f>
        <v>Beacon.Put(117,0,284);</v>
      </c>
    </row>
    <row r="93" spans="1:9">
      <c r="A93" s="12" t="str">
        <f>E電入力!C94&amp;";"</f>
        <v>;</v>
      </c>
      <c r="B93" s="12" t="s">
        <v>84</v>
      </c>
      <c r="C93" s="12" t="str">
        <f ca="1">"Beacon.Put(117,0,"&amp;E電入力!AS94&amp;");"</f>
        <v>Beacon.Put(117,0,285);</v>
      </c>
      <c r="D93" s="12" t="s">
        <v>85</v>
      </c>
      <c r="E93" s="12" t="str">
        <f ca="1">"Beacon.Put(117,0,"&amp;E電入力!AT94&amp;");"</f>
        <v>Beacon.Put(117,0,286);</v>
      </c>
      <c r="F93" s="12" t="str">
        <f>"$dis+"&amp;IF(E電入力!$C95&gt;E電入力!$C94,0.5*(E電入力!$C95-E電入力!$C94),20)&amp;";"</f>
        <v>$dis+20;</v>
      </c>
      <c r="G93" s="12" t="str">
        <f ca="1">"Beacon.Put(117,0,"&amp;E電入力!AU94&amp;");"</f>
        <v>Beacon.Put(117,0,287);</v>
      </c>
      <c r="H93" s="12" t="str">
        <f>"$dis+"&amp;IF(E電入力!$C95&gt;E電入力!$C94,0.75*(E電入力!$C95-E電入力!$C94),20)&amp;";"</f>
        <v>$dis+20;</v>
      </c>
      <c r="I93" s="12" t="str">
        <f ca="1">"Beacon.Put(117,0,"&amp;E電入力!AV94&amp;");"</f>
        <v>Beacon.Put(117,0,288);</v>
      </c>
    </row>
    <row r="94" spans="1:9">
      <c r="A94" s="12" t="str">
        <f>E電入力!C95&amp;";"</f>
        <v>;</v>
      </c>
      <c r="B94" s="12" t="s">
        <v>84</v>
      </c>
      <c r="C94" s="12" t="str">
        <f ca="1">"Beacon.Put(117,0,"&amp;E電入力!AS95&amp;");"</f>
        <v>Beacon.Put(117,0,289);</v>
      </c>
      <c r="D94" s="12" t="s">
        <v>85</v>
      </c>
      <c r="E94" s="12" t="str">
        <f ca="1">"Beacon.Put(117,0,"&amp;E電入力!AT95&amp;");"</f>
        <v>Beacon.Put(117,0,290);</v>
      </c>
      <c r="F94" s="12" t="str">
        <f>"$dis+"&amp;IF(E電入力!$C96&gt;E電入力!$C95,0.5*(E電入力!$C96-E電入力!$C95),20)&amp;";"</f>
        <v>$dis+20;</v>
      </c>
      <c r="G94" s="12" t="str">
        <f ca="1">"Beacon.Put(117,0,"&amp;E電入力!AU95&amp;");"</f>
        <v>Beacon.Put(117,0,291);</v>
      </c>
      <c r="H94" s="12" t="str">
        <f>"$dis+"&amp;IF(E電入力!$C96&gt;E電入力!$C95,0.75*(E電入力!$C96-E電入力!$C95),20)&amp;";"</f>
        <v>$dis+20;</v>
      </c>
      <c r="I94" s="12" t="str">
        <f ca="1">"Beacon.Put(117,0,"&amp;E電入力!AV95&amp;");"</f>
        <v>Beacon.Put(117,0,292);</v>
      </c>
    </row>
    <row r="95" spans="1:9">
      <c r="A95" s="12" t="str">
        <f>E電入力!C96&amp;";"</f>
        <v>;</v>
      </c>
      <c r="B95" s="12" t="s">
        <v>84</v>
      </c>
      <c r="C95" s="12" t="str">
        <f ca="1">"Beacon.Put(117,0,"&amp;E電入力!AS96&amp;");"</f>
        <v>Beacon.Put(117,0,293);</v>
      </c>
      <c r="D95" s="12" t="s">
        <v>85</v>
      </c>
      <c r="E95" s="12" t="str">
        <f ca="1">"Beacon.Put(117,0,"&amp;E電入力!AT96&amp;");"</f>
        <v>Beacon.Put(117,0,294);</v>
      </c>
      <c r="F95" s="12" t="str">
        <f>"$dis+"&amp;IF(E電入力!$C97&gt;E電入力!$C96,0.5*(E電入力!$C97-E電入力!$C96),20)&amp;";"</f>
        <v>$dis+20;</v>
      </c>
      <c r="G95" s="12" t="str">
        <f ca="1">"Beacon.Put(117,0,"&amp;E電入力!AU96&amp;");"</f>
        <v>Beacon.Put(117,0,295);</v>
      </c>
      <c r="H95" s="12" t="str">
        <f>"$dis+"&amp;IF(E電入力!$C97&gt;E電入力!$C96,0.75*(E電入力!$C97-E電入力!$C96),20)&amp;";"</f>
        <v>$dis+20;</v>
      </c>
      <c r="I95" s="12" t="str">
        <f ca="1">"Beacon.Put(117,0,"&amp;E電入力!AV96&amp;");"</f>
        <v>Beacon.Put(117,0,296);</v>
      </c>
    </row>
    <row r="96" spans="1:9">
      <c r="A96" s="12" t="str">
        <f>E電入力!C97&amp;";"</f>
        <v>;</v>
      </c>
      <c r="B96" s="12" t="s">
        <v>84</v>
      </c>
      <c r="C96" s="12" t="str">
        <f ca="1">"Beacon.Put(117,0,"&amp;E電入力!AS97&amp;");"</f>
        <v>Beacon.Put(117,0,297);</v>
      </c>
      <c r="D96" s="12" t="s">
        <v>85</v>
      </c>
      <c r="E96" s="12" t="str">
        <f ca="1">"Beacon.Put(117,0,"&amp;E電入力!AT97&amp;");"</f>
        <v>Beacon.Put(117,0,298);</v>
      </c>
      <c r="F96" s="12" t="str">
        <f>"$dis+"&amp;IF(E電入力!$C98&gt;E電入力!$C97,0.5*(E電入力!$C98-E電入力!$C97),20)&amp;";"</f>
        <v>$dis+20;</v>
      </c>
      <c r="G96" s="12" t="str">
        <f ca="1">"Beacon.Put(117,0,"&amp;E電入力!AU97&amp;");"</f>
        <v>Beacon.Put(117,0,299);</v>
      </c>
      <c r="H96" s="12" t="str">
        <f>"$dis+"&amp;IF(E電入力!$C98&gt;E電入力!$C97,0.75*(E電入力!$C98-E電入力!$C97),20)&amp;";"</f>
        <v>$dis+20;</v>
      </c>
      <c r="I96" s="12" t="str">
        <f ca="1">"Beacon.Put(117,0,"&amp;E電入力!AV97&amp;");"</f>
        <v>Beacon.Put(117,0,300);</v>
      </c>
    </row>
    <row r="97" spans="1:9">
      <c r="A97" s="12" t="str">
        <f>E電入力!C98&amp;";"</f>
        <v>;</v>
      </c>
      <c r="B97" s="12" t="s">
        <v>84</v>
      </c>
      <c r="C97" s="12" t="str">
        <f ca="1">"Beacon.Put(117,0,"&amp;E電入力!AS98&amp;");"</f>
        <v>Beacon.Put(117,0,301);</v>
      </c>
      <c r="D97" s="12" t="s">
        <v>85</v>
      </c>
      <c r="E97" s="12" t="str">
        <f ca="1">"Beacon.Put(117,0,"&amp;E電入力!AT98&amp;");"</f>
        <v>Beacon.Put(117,0,302);</v>
      </c>
      <c r="F97" s="12" t="str">
        <f>"$dis+"&amp;IF(E電入力!$C99&gt;E電入力!$C98,0.5*(E電入力!$C99-E電入力!$C98),20)&amp;";"</f>
        <v>$dis+20;</v>
      </c>
      <c r="G97" s="12" t="str">
        <f ca="1">"Beacon.Put(117,0,"&amp;E電入力!AU98&amp;");"</f>
        <v>Beacon.Put(117,0,303);</v>
      </c>
      <c r="H97" s="12" t="str">
        <f>"$dis+"&amp;IF(E電入力!$C99&gt;E電入力!$C98,0.75*(E電入力!$C99-E電入力!$C98),20)&amp;";"</f>
        <v>$dis+20;</v>
      </c>
      <c r="I97" s="12" t="str">
        <f ca="1">"Beacon.Put(117,0,"&amp;E電入力!AV98&amp;");"</f>
        <v>Beacon.Put(117,0,304);</v>
      </c>
    </row>
    <row r="98" spans="1:9">
      <c r="A98" s="12" t="str">
        <f>E電入力!C99&amp;";"</f>
        <v>;</v>
      </c>
      <c r="B98" s="12" t="s">
        <v>84</v>
      </c>
      <c r="C98" s="12" t="str">
        <f ca="1">"Beacon.Put(117,0,"&amp;E電入力!AS99&amp;");"</f>
        <v>Beacon.Put(117,0,305);</v>
      </c>
      <c r="D98" s="12" t="s">
        <v>85</v>
      </c>
      <c r="E98" s="12" t="str">
        <f ca="1">"Beacon.Put(117,0,"&amp;E電入力!AT99&amp;");"</f>
        <v>Beacon.Put(117,0,306);</v>
      </c>
      <c r="F98" s="12" t="str">
        <f>"$dis+"&amp;IF(E電入力!$C100&gt;E電入力!$C99,0.5*(E電入力!$C100-E電入力!$C99),20)&amp;";"</f>
        <v>$dis+20;</v>
      </c>
      <c r="G98" s="12" t="str">
        <f ca="1">"Beacon.Put(117,0,"&amp;E電入力!AU99&amp;");"</f>
        <v>Beacon.Put(117,0,307);</v>
      </c>
      <c r="H98" s="12" t="str">
        <f>"$dis+"&amp;IF(E電入力!$C100&gt;E電入力!$C99,0.75*(E電入力!$C100-E電入力!$C99),20)&amp;";"</f>
        <v>$dis+20;</v>
      </c>
      <c r="I98" s="12" t="str">
        <f ca="1">"Beacon.Put(117,0,"&amp;E電入力!AV99&amp;");"</f>
        <v>Beacon.Put(117,0,308);</v>
      </c>
    </row>
    <row r="99" spans="1:9">
      <c r="A99" s="12" t="str">
        <f>E電入力!C100&amp;";"</f>
        <v>;</v>
      </c>
      <c r="B99" s="12" t="s">
        <v>84</v>
      </c>
      <c r="C99" s="12" t="str">
        <f ca="1">"Beacon.Put(117,0,"&amp;E電入力!AS100&amp;");"</f>
        <v>Beacon.Put(117,0,309);</v>
      </c>
      <c r="D99" s="12" t="s">
        <v>85</v>
      </c>
      <c r="E99" s="12" t="str">
        <f ca="1">"Beacon.Put(117,0,"&amp;E電入力!AT100&amp;");"</f>
        <v>Beacon.Put(117,0,310);</v>
      </c>
      <c r="F99" s="12" t="str">
        <f>"$dis+"&amp;IF(E電入力!$C101&gt;E電入力!$C100,0.5*(E電入力!$C101-E電入力!$C100),20)&amp;";"</f>
        <v>$dis+20;</v>
      </c>
      <c r="G99" s="12" t="str">
        <f ca="1">"Beacon.Put(117,0,"&amp;E電入力!AU100&amp;");"</f>
        <v>Beacon.Put(117,0,311);</v>
      </c>
      <c r="H99" s="12" t="str">
        <f>"$dis+"&amp;IF(E電入力!$C101&gt;E電入力!$C100,0.75*(E電入力!$C101-E電入力!$C100),20)&amp;";"</f>
        <v>$dis+20;</v>
      </c>
      <c r="I99" s="12" t="str">
        <f ca="1">"Beacon.Put(117,0,"&amp;E電入力!AV100&amp;");"</f>
        <v>Beacon.Put(117,0,312);</v>
      </c>
    </row>
    <row r="100" spans="1:9">
      <c r="A100" s="12" t="str">
        <f>E電入力!C101&amp;";"</f>
        <v>;</v>
      </c>
      <c r="B100" s="12" t="s">
        <v>84</v>
      </c>
      <c r="C100" s="12" t="str">
        <f ca="1">"Beacon.Put(117,0,"&amp;E電入力!AS101&amp;");"</f>
        <v>Beacon.Put(117,0,313);</v>
      </c>
      <c r="D100" s="12" t="s">
        <v>85</v>
      </c>
      <c r="E100" s="12" t="str">
        <f ca="1">"Beacon.Put(117,0,"&amp;E電入力!AT101&amp;");"</f>
        <v>Beacon.Put(117,0,314);</v>
      </c>
      <c r="F100" s="12" t="str">
        <f>"$dis+"&amp;IF(E電入力!$C102&gt;E電入力!$C101,0.5*(E電入力!$C102-E電入力!$C101),20)&amp;";"</f>
        <v>$dis+20;</v>
      </c>
      <c r="G100" s="12" t="str">
        <f ca="1">"Beacon.Put(117,0,"&amp;E電入力!AU101&amp;");"</f>
        <v>Beacon.Put(117,0,315);</v>
      </c>
      <c r="H100" s="12" t="str">
        <f>"$dis+"&amp;IF(E電入力!$C102&gt;E電入力!$C101,0.75*(E電入力!$C102-E電入力!$C101),20)&amp;";"</f>
        <v>$dis+20;</v>
      </c>
      <c r="I100" s="12" t="str">
        <f ca="1">"Beacon.Put(117,0,"&amp;E電入力!AV101&amp;");"</f>
        <v>Beacon.Put(117,0,316);</v>
      </c>
    </row>
    <row r="101" spans="1:9">
      <c r="A101" s="12" t="str">
        <f>E電入力!C102&amp;";"</f>
        <v>;</v>
      </c>
      <c r="B101" s="12" t="s">
        <v>84</v>
      </c>
      <c r="C101" s="12" t="str">
        <f ca="1">"Beacon.Put(117,0,"&amp;E電入力!AS102&amp;");"</f>
        <v>Beacon.Put(117,0,317);</v>
      </c>
      <c r="D101" s="12" t="s">
        <v>85</v>
      </c>
      <c r="E101" s="12" t="str">
        <f ca="1">"Beacon.Put(117,0,"&amp;E電入力!AT102&amp;");"</f>
        <v>Beacon.Put(117,0,318);</v>
      </c>
      <c r="F101" s="12" t="str">
        <f>"$dis+"&amp;IF(E電入力!$C103&gt;E電入力!$C102,0.5*(E電入力!$C103-E電入力!$C102),20)&amp;";"</f>
        <v>$dis+20;</v>
      </c>
      <c r="G101" s="12" t="str">
        <f ca="1">"Beacon.Put(117,0,"&amp;E電入力!AU102&amp;");"</f>
        <v>Beacon.Put(117,0,319);</v>
      </c>
      <c r="H101" s="12" t="str">
        <f>"$dis+"&amp;IF(E電入力!$C103&gt;E電入力!$C102,0.75*(E電入力!$C103-E電入力!$C102),20)&amp;";"</f>
        <v>$dis+20;</v>
      </c>
      <c r="I101" s="12" t="str">
        <f ca="1">"Beacon.Put(117,0,"&amp;E電入力!AV102&amp;");"</f>
        <v>Beacon.Put(117,0,320);</v>
      </c>
    </row>
    <row r="102" spans="1:9">
      <c r="A102" s="12" t="str">
        <f>E電入力!C103&amp;";"</f>
        <v>;</v>
      </c>
      <c r="B102" s="12" t="s">
        <v>84</v>
      </c>
      <c r="C102" s="12" t="str">
        <f ca="1">"Beacon.Put(117,0,"&amp;E電入力!AS103&amp;");"</f>
        <v>Beacon.Put(117,0,321);</v>
      </c>
      <c r="D102" s="12" t="s">
        <v>85</v>
      </c>
      <c r="E102" s="12" t="str">
        <f ca="1">"Beacon.Put(117,0,"&amp;E電入力!AT103&amp;");"</f>
        <v>Beacon.Put(117,0,322);</v>
      </c>
      <c r="F102" s="12" t="str">
        <f>"$dis+"&amp;IF(E電入力!$C104&gt;E電入力!$C103,0.5*(E電入力!$C104-E電入力!$C103),20)&amp;";"</f>
        <v>$dis+20;</v>
      </c>
      <c r="G102" s="12" t="str">
        <f ca="1">"Beacon.Put(117,0,"&amp;E電入力!AU103&amp;");"</f>
        <v>Beacon.Put(117,0,323);</v>
      </c>
      <c r="H102" s="12" t="str">
        <f>"$dis+"&amp;IF(E電入力!$C104&gt;E電入力!$C103,0.75*(E電入力!$C104-E電入力!$C103),20)&amp;";"</f>
        <v>$dis+20;</v>
      </c>
      <c r="I102" s="12" t="str">
        <f ca="1">"Beacon.Put(117,0,"&amp;E電入力!AV103&amp;");"</f>
        <v>Beacon.Put(117,0,324);</v>
      </c>
    </row>
  </sheetData>
  <pageMargins left="0.7" right="0.7" top="0.75" bottom="0.75" header="0.3" footer="0.3"/>
  <pageSetup paperSize="9"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300138-3FB9-4148-86DF-E5DA1FB71630}">
  <dimension ref="A1:H102"/>
  <sheetViews>
    <sheetView workbookViewId="0"/>
  </sheetViews>
  <sheetFormatPr defaultRowHeight="14.4"/>
  <cols>
    <col min="1" max="1" width="16.109375" bestFit="1" customWidth="1"/>
    <col min="2" max="2" width="19.109375" bestFit="1" customWidth="1"/>
    <col min="3" max="3" width="18.109375" bestFit="1" customWidth="1"/>
    <col min="4" max="5" width="23.21875" bestFit="1" customWidth="1"/>
    <col min="6" max="6" width="19.109375" bestFit="1" customWidth="1"/>
    <col min="7" max="7" width="18.109375" bestFit="1" customWidth="1"/>
    <col min="8" max="8" width="23.21875" bestFit="1" customWidth="1"/>
  </cols>
  <sheetData>
    <row r="1" spans="1:8">
      <c r="A1" s="12" t="s">
        <v>112</v>
      </c>
    </row>
    <row r="2" spans="1:8">
      <c r="A2" s="2" t="s">
        <v>74</v>
      </c>
    </row>
    <row r="3" spans="1:8">
      <c r="A3" t="str">
        <f>E電入力!C4&amp;"-25;"</f>
        <v>168950-25;</v>
      </c>
      <c r="B3" t="str">
        <f ca="1">"Beacon.Put(134,0,"&amp;E電入力!AW4&amp;");"</f>
        <v>Beacon.Put(134,0,53);</v>
      </c>
      <c r="C3" t="str">
        <f ca="1">"Beacon.Put(132,0,"&amp;E電入力!AX4&amp;");"</f>
        <v>Beacon.Put(132,0,3);</v>
      </c>
      <c r="D3" t="str">
        <f ca="1">"Beacon.Put(129,0,"&amp;E電入力!AY4&amp;");"</f>
        <v>Beacon.Put(129,0,2860);</v>
      </c>
      <c r="E3" t="str">
        <f ca="1">"Beacon.Put(130,0,"&amp;E電入力!AZ4&amp;");"</f>
        <v>Beacon.Put(130,0,2830);</v>
      </c>
      <c r="F3" t="str">
        <f>"Beacon.Put(133,0,"&amp;E電入力!BA4&amp;");"</f>
        <v>Beacon.Put(133,0,58);</v>
      </c>
      <c r="G3" t="str">
        <f>"Beacon.Put(131,0,"&amp;E電入力!BB4&amp;");"</f>
        <v>Beacon.Put(131,0,3);</v>
      </c>
      <c r="H3" t="str">
        <f>"Beacon.Put(128,0,"&amp;E電入力!BD4&amp;");"</f>
        <v>Beacon.Put(128,0,111260);</v>
      </c>
    </row>
    <row r="4" spans="1:8">
      <c r="A4" t="str">
        <f>E電入力!C5&amp;"-25;"</f>
        <v>172525-25;</v>
      </c>
      <c r="B4" t="str">
        <f ca="1">"Beacon.Put(134,0,"&amp;E電入力!AW5&amp;");"</f>
        <v>Beacon.Put(134,0,50);</v>
      </c>
      <c r="C4" t="str">
        <f ca="1">"Beacon.Put(132,0,"&amp;E電入力!AX5&amp;");"</f>
        <v>Beacon.Put(132,0,3);</v>
      </c>
      <c r="D4" t="str">
        <f ca="1">"Beacon.Put(129,0,"&amp;E電入力!AY5&amp;");"</f>
        <v>Beacon.Put(129,0,3315);</v>
      </c>
      <c r="E4" t="str">
        <f ca="1">"Beacon.Put(130,0,"&amp;E電入力!AZ5&amp;");"</f>
        <v>Beacon.Put(130,0,3345);</v>
      </c>
      <c r="F4" t="str">
        <f>"Beacon.Put(133,0,"&amp;E電入力!BA5&amp;");"</f>
        <v>Beacon.Put(133,0,58);</v>
      </c>
      <c r="G4" t="str">
        <f>"Beacon.Put(131,0,"&amp;E電入力!BB5&amp;");"</f>
        <v>Beacon.Put(131,0,3);</v>
      </c>
      <c r="H4" t="str">
        <f>"Beacon.Put(128,0,"&amp;E電入力!BD5&amp;");"</f>
        <v>Beacon.Put(128,0,111260);</v>
      </c>
    </row>
    <row r="5" spans="1:8">
      <c r="A5" t="str">
        <f>E電入力!C6&amp;"-25;"</f>
        <v>175225-25;</v>
      </c>
      <c r="B5" t="str">
        <f ca="1">"Beacon.Put(134,0,"&amp;E電入力!AW6&amp;");"</f>
        <v>Beacon.Put(134,0,50);</v>
      </c>
      <c r="C5" t="str">
        <f ca="1">"Beacon.Put(132,0,"&amp;E電入力!AX6&amp;");"</f>
        <v>Beacon.Put(132,0,3);</v>
      </c>
      <c r="D5" t="str">
        <f ca="1">"Beacon.Put(129,0,"&amp;E電入力!AY6&amp;");"</f>
        <v>Beacon.Put(129,0,3315);</v>
      </c>
      <c r="E5" t="str">
        <f ca="1">"Beacon.Put(130,0,"&amp;E電入力!AZ6&amp;");"</f>
        <v>Beacon.Put(130,0,3345);</v>
      </c>
      <c r="F5" t="str">
        <f>"Beacon.Put(133,0,"&amp;E電入力!BA6&amp;");"</f>
        <v>Beacon.Put(133,0,58);</v>
      </c>
      <c r="G5" t="str">
        <f>"Beacon.Put(131,0,"&amp;E電入力!BB6&amp;");"</f>
        <v>Beacon.Put(131,0,3);</v>
      </c>
      <c r="H5" t="str">
        <f>"Beacon.Put(128,0,"&amp;E電入力!BD6&amp;");"</f>
        <v>Beacon.Put(128,0,111260);</v>
      </c>
    </row>
    <row r="6" spans="1:8">
      <c r="A6" t="str">
        <f>E電入力!C7&amp;"-25;"</f>
        <v>179525-25;</v>
      </c>
      <c r="B6" t="str">
        <f ca="1">"Beacon.Put(134,0,"&amp;E電入力!AW7&amp;");"</f>
        <v>Beacon.Put(134,0,50);</v>
      </c>
      <c r="C6" t="str">
        <f ca="1">"Beacon.Put(132,0,"&amp;E電入力!AX7&amp;");"</f>
        <v>Beacon.Put(132,0,3);</v>
      </c>
      <c r="D6" t="str">
        <f ca="1">"Beacon.Put(129,0,"&amp;E電入力!AY7&amp;");"</f>
        <v>Beacon.Put(129,0,3315);</v>
      </c>
      <c r="E6" t="str">
        <f ca="1">"Beacon.Put(130,0,"&amp;E電入力!AZ7&amp;");"</f>
        <v>Beacon.Put(130,0,3345);</v>
      </c>
      <c r="F6" t="str">
        <f>"Beacon.Put(133,0,"&amp;E電入力!BA7&amp;");"</f>
        <v>Beacon.Put(133,0,56);</v>
      </c>
      <c r="G6" t="str">
        <f>"Beacon.Put(131,0,"&amp;E電入力!BB7&amp;");"</f>
        <v>Beacon.Put(131,0,2);</v>
      </c>
      <c r="H6" t="str">
        <f>"Beacon.Put(128,0,"&amp;E電入力!BD7&amp;");"</f>
        <v>Beacon.Put(128,0,111845);</v>
      </c>
    </row>
    <row r="7" spans="1:8">
      <c r="A7" t="str">
        <f>E電入力!C8&amp;"-25;"</f>
        <v>181975-25;</v>
      </c>
      <c r="B7" t="str">
        <f ca="1">"Beacon.Put(134,0,"&amp;E電入力!AW8&amp;");"</f>
        <v>Beacon.Put(134,0,46);</v>
      </c>
      <c r="C7" t="str">
        <f ca="1">"Beacon.Put(132,0,"&amp;E電入力!AX8&amp;");"</f>
        <v>Beacon.Put(132,0,6);</v>
      </c>
      <c r="D7" t="str">
        <f ca="1">"Beacon.Put(129,0,"&amp;E電入力!AY8&amp;");"</f>
        <v>Beacon.Put(129,0,3960);</v>
      </c>
      <c r="E7" t="str">
        <f ca="1">"Beacon.Put(130,0,"&amp;E電入力!AZ8&amp;");"</f>
        <v>Beacon.Put(130,0,3930);</v>
      </c>
      <c r="F7" t="str">
        <f>"Beacon.Put(133,0,"&amp;E電入力!BA8&amp;");"</f>
        <v>Beacon.Put(133,0,55);</v>
      </c>
      <c r="G7" t="str">
        <f>"Beacon.Put(131,0,"&amp;E電入力!BB8&amp;");"</f>
        <v>Beacon.Put(131,0,4);</v>
      </c>
      <c r="H7" t="str">
        <f>"Beacon.Put(128,0,"&amp;E電入力!BD8&amp;");"</f>
        <v>Beacon.Put(128,0,112245);</v>
      </c>
    </row>
    <row r="8" spans="1:8">
      <c r="A8" t="str">
        <f>E電入力!C9&amp;"-25;"</f>
        <v>185325-25;</v>
      </c>
      <c r="B8" t="str">
        <f ca="1">"Beacon.Put(134,0,"&amp;E電入力!AW9&amp;");"</f>
        <v>Beacon.Put(134,0,46);</v>
      </c>
      <c r="C8" t="str">
        <f ca="1">"Beacon.Put(132,0,"&amp;E電入力!AX9&amp;");"</f>
        <v>Beacon.Put(132,0,6);</v>
      </c>
      <c r="D8" t="str">
        <f ca="1">"Beacon.Put(129,0,"&amp;E電入力!AY9&amp;");"</f>
        <v>Beacon.Put(129,0,3960);</v>
      </c>
      <c r="E8" t="str">
        <f ca="1">"Beacon.Put(130,0,"&amp;E電入力!AZ9&amp;");"</f>
        <v>Beacon.Put(130,0,3930);</v>
      </c>
      <c r="F8" t="str">
        <f>"Beacon.Put(133,0,"&amp;E電入力!BA9&amp;");"</f>
        <v>Beacon.Put(133,0,55);</v>
      </c>
      <c r="G8" t="str">
        <f>"Beacon.Put(131,0,"&amp;E電入力!BB9&amp;");"</f>
        <v>Beacon.Put(131,0,4);</v>
      </c>
      <c r="H8" t="str">
        <f>"Beacon.Put(128,0,"&amp;E電入力!BD9&amp;");"</f>
        <v>Beacon.Put(128,0,112245);</v>
      </c>
    </row>
    <row r="9" spans="1:8">
      <c r="A9" t="str">
        <f>E電入力!C10&amp;"-25;"</f>
        <v>188425-25;</v>
      </c>
      <c r="B9" t="str">
        <f ca="1">"Beacon.Put(134,0,"&amp;E電入力!AW10&amp;");"</f>
        <v>Beacon.Put(134,0,46);</v>
      </c>
      <c r="C9" t="str">
        <f ca="1">"Beacon.Put(132,0,"&amp;E電入力!AX10&amp;");"</f>
        <v>Beacon.Put(132,0,6);</v>
      </c>
      <c r="D9" t="str">
        <f ca="1">"Beacon.Put(129,0,"&amp;E電入力!AY10&amp;");"</f>
        <v>Beacon.Put(129,0,3960);</v>
      </c>
      <c r="E9" t="str">
        <f ca="1">"Beacon.Put(130,0,"&amp;E電入力!AZ10&amp;");"</f>
        <v>Beacon.Put(130,0,3930);</v>
      </c>
      <c r="F9" t="str">
        <f>"Beacon.Put(133,0,"&amp;E電入力!BA10&amp;");"</f>
        <v>Beacon.Put(133,0,53);</v>
      </c>
      <c r="G9" t="str">
        <f>"Beacon.Put(131,0,"&amp;E電入力!BB10&amp;");"</f>
        <v>Beacon.Put(131,0,3);</v>
      </c>
      <c r="H9" t="str">
        <f>"Beacon.Put(128,0,"&amp;E電入力!BD10&amp;");"</f>
        <v>Beacon.Put(128,0,112830);</v>
      </c>
    </row>
    <row r="10" spans="1:8">
      <c r="A10" t="str">
        <f>E電入力!C11&amp;"-25;"</f>
        <v>190150-25;</v>
      </c>
      <c r="B10" t="str">
        <f ca="1">"Beacon.Put(134,0,"&amp;E電入力!AW11&amp;");"</f>
        <v>Beacon.Put(134,0,46);</v>
      </c>
      <c r="C10" t="str">
        <f ca="1">"Beacon.Put(132,0,"&amp;E電入力!AX11&amp;");"</f>
        <v>Beacon.Put(132,0,6);</v>
      </c>
      <c r="D10" t="str">
        <f ca="1">"Beacon.Put(129,0,"&amp;E電入力!AY11&amp;");"</f>
        <v>Beacon.Put(129,0,3960);</v>
      </c>
      <c r="E10" t="str">
        <f ca="1">"Beacon.Put(130,0,"&amp;E電入力!AZ11&amp;");"</f>
        <v>Beacon.Put(130,0,3930);</v>
      </c>
      <c r="F10" t="str">
        <f>"Beacon.Put(133,0,"&amp;E電入力!BA11&amp;");"</f>
        <v>Beacon.Put(133,0,53);</v>
      </c>
      <c r="G10" t="str">
        <f>"Beacon.Put(131,0,"&amp;E電入力!BB11&amp;");"</f>
        <v>Beacon.Put(131,0,3);</v>
      </c>
      <c r="H10" t="str">
        <f>"Beacon.Put(128,0,"&amp;E電入力!BD11&amp;");"</f>
        <v>Beacon.Put(128,0,112830);</v>
      </c>
    </row>
    <row r="11" spans="1:8">
      <c r="A11" t="str">
        <f>E電入力!C12&amp;"-25;"</f>
        <v>191625-25;</v>
      </c>
      <c r="B11" t="str">
        <f ca="1">"Beacon.Put(134,0,"&amp;E電入力!AW12&amp;");"</f>
        <v>Beacon.Put(134,0,40);</v>
      </c>
      <c r="C11" t="str">
        <f ca="1">"Beacon.Put(132,0,"&amp;E電入力!AX12&amp;");"</f>
        <v>Beacon.Put(132,0,8);</v>
      </c>
      <c r="D11" t="str">
        <f ca="1">"Beacon.Put(129,0,"&amp;E電入力!AY12&amp;");"</f>
        <v>Beacon.Put(129,0,4630);</v>
      </c>
      <c r="E11" t="str">
        <f ca="1">"Beacon.Put(130,0,"&amp;E電入力!AZ12&amp;");"</f>
        <v>Beacon.Put(130,0,4760);</v>
      </c>
      <c r="F11" t="str">
        <f>"Beacon.Put(133,0,"&amp;E電入力!BA12&amp;");"</f>
        <v>Beacon.Put(133,0,53);</v>
      </c>
      <c r="G11" t="str">
        <f>"Beacon.Put(131,0,"&amp;E電入力!BB12&amp;");"</f>
        <v>Beacon.Put(131,0,3);</v>
      </c>
      <c r="H11" t="str">
        <f>"Beacon.Put(128,0,"&amp;E電入力!BD12&amp;");"</f>
        <v>Beacon.Put(128,0,112830);</v>
      </c>
    </row>
    <row r="12" spans="1:8">
      <c r="A12" t="str">
        <f>E電入力!C13&amp;"-25;"</f>
        <v>193900-25;</v>
      </c>
      <c r="B12" t="str">
        <f ca="1">"Beacon.Put(134,0,"&amp;E電入力!AW13&amp;");"</f>
        <v>Beacon.Put(134,0,40);</v>
      </c>
      <c r="C12" t="str">
        <f ca="1">"Beacon.Put(132,0,"&amp;E電入力!AX13&amp;");"</f>
        <v>Beacon.Put(132,0,8);</v>
      </c>
      <c r="D12" t="str">
        <f ca="1">"Beacon.Put(129,0,"&amp;E電入力!AY13&amp;");"</f>
        <v>Beacon.Put(129,0,4630);</v>
      </c>
      <c r="E12" t="str">
        <f ca="1">"Beacon.Put(130,0,"&amp;E電入力!AZ13&amp;");"</f>
        <v>Beacon.Put(130,0,4760);</v>
      </c>
      <c r="F12" t="str">
        <f>"Beacon.Put(133,0,"&amp;E電入力!BA13&amp;");"</f>
        <v>Beacon.Put(133,0,50);</v>
      </c>
      <c r="G12" t="str">
        <f>"Beacon.Put(131,0,"&amp;E電入力!BB13&amp;");"</f>
        <v>Beacon.Put(131,0,3);</v>
      </c>
      <c r="H12" t="str">
        <f>"Beacon.Put(128,0,"&amp;E電入力!BD13&amp;");"</f>
        <v>Beacon.Put(128,0,113345);</v>
      </c>
    </row>
    <row r="13" spans="1:8">
      <c r="A13" t="str">
        <f>E電入力!C14&amp;"-25;"</f>
        <v>195600-25;</v>
      </c>
      <c r="B13" t="str">
        <f ca="1">"Beacon.Put(134,0,"&amp;E電入力!AW14&amp;");"</f>
        <v>Beacon.Put(134,0,40);</v>
      </c>
      <c r="C13" t="str">
        <f ca="1">"Beacon.Put(132,0,"&amp;E電入力!AX14&amp;");"</f>
        <v>Beacon.Put(132,0,8);</v>
      </c>
      <c r="D13" t="str">
        <f ca="1">"Beacon.Put(129,0,"&amp;E電入力!AY14&amp;");"</f>
        <v>Beacon.Put(129,0,4630);</v>
      </c>
      <c r="E13" t="str">
        <f ca="1">"Beacon.Put(130,0,"&amp;E電入力!AZ14&amp;");"</f>
        <v>Beacon.Put(130,0,4760);</v>
      </c>
      <c r="F13" t="str">
        <f>"Beacon.Put(133,0,"&amp;E電入力!BA14&amp;");"</f>
        <v>Beacon.Put(133,0,50);</v>
      </c>
      <c r="G13" t="str">
        <f>"Beacon.Put(131,0,"&amp;E電入力!BB14&amp;");"</f>
        <v>Beacon.Put(131,0,3);</v>
      </c>
      <c r="H13" t="str">
        <f>"Beacon.Put(128,0,"&amp;E電入力!BD14&amp;");"</f>
        <v>Beacon.Put(128,0,113345);</v>
      </c>
    </row>
    <row r="14" spans="1:8">
      <c r="A14" t="str">
        <f>E電入力!C15&amp;"-25;"</f>
        <v>197325-25;</v>
      </c>
      <c r="B14" t="str">
        <f ca="1">"Beacon.Put(134,0,"&amp;E電入力!AW15&amp;");"</f>
        <v>Beacon.Put(134,0,40);</v>
      </c>
      <c r="C14" t="str">
        <f ca="1">"Beacon.Put(132,0,"&amp;E電入力!AX15&amp;");"</f>
        <v>Beacon.Put(132,0,8);</v>
      </c>
      <c r="D14" t="str">
        <f ca="1">"Beacon.Put(129,0,"&amp;E電入力!AY15&amp;");"</f>
        <v>Beacon.Put(129,0,4630);</v>
      </c>
      <c r="E14" t="str">
        <f ca="1">"Beacon.Put(130,0,"&amp;E電入力!AZ15&amp;");"</f>
        <v>Beacon.Put(130,0,4760);</v>
      </c>
      <c r="F14" t="str">
        <f>"Beacon.Put(133,0,"&amp;E電入力!BA15&amp;");"</f>
        <v>Beacon.Put(133,0,50);</v>
      </c>
      <c r="G14" t="str">
        <f>"Beacon.Put(131,0,"&amp;E電入力!BB15&amp;");"</f>
        <v>Beacon.Put(131,0,3);</v>
      </c>
      <c r="H14" t="str">
        <f>"Beacon.Put(128,0,"&amp;E電入力!BD15&amp;");"</f>
        <v>Beacon.Put(128,0,113345);</v>
      </c>
    </row>
    <row r="15" spans="1:8">
      <c r="A15" t="str">
        <f>E電入力!C16&amp;"-25;"</f>
        <v>198925-25;</v>
      </c>
      <c r="B15" t="str">
        <f ca="1">"Beacon.Put(134,0,"&amp;E電入力!AW16&amp;");"</f>
        <v>Beacon.Put(134,0,40);</v>
      </c>
      <c r="C15" t="str">
        <f ca="1">"Beacon.Put(132,0,"&amp;E電入力!AX16&amp;");"</f>
        <v>Beacon.Put(132,0,8);</v>
      </c>
      <c r="D15" t="str">
        <f ca="1">"Beacon.Put(129,0,"&amp;E電入力!AY16&amp;");"</f>
        <v>Beacon.Put(129,0,4630);</v>
      </c>
      <c r="E15" t="str">
        <f ca="1">"Beacon.Put(130,0,"&amp;E電入力!AZ16&amp;");"</f>
        <v>Beacon.Put(130,0,4760);</v>
      </c>
      <c r="F15" t="str">
        <f>"Beacon.Put(133,0,"&amp;E電入力!BA16&amp;");"</f>
        <v>Beacon.Put(133,0,50);</v>
      </c>
      <c r="G15" t="str">
        <f>"Beacon.Put(131,0,"&amp;E電入力!BB16&amp;");"</f>
        <v>Beacon.Put(131,0,3);</v>
      </c>
      <c r="H15" t="str">
        <f>"Beacon.Put(128,0,"&amp;E電入力!BD16&amp;");"</f>
        <v>Beacon.Put(128,0,113345);</v>
      </c>
    </row>
    <row r="16" spans="1:8">
      <c r="A16" t="str">
        <f>E電入力!C17&amp;"-25;"</f>
        <v>200475-25;</v>
      </c>
      <c r="B16" t="str">
        <f ca="1">"Beacon.Put(134,0,"&amp;E電入力!AW17&amp;");"</f>
        <v>Beacon.Put(134,0,40);</v>
      </c>
      <c r="C16" t="str">
        <f ca="1">"Beacon.Put(132,0,"&amp;E電入力!AX17&amp;");"</f>
        <v>Beacon.Put(132,0,8);</v>
      </c>
      <c r="D16" t="str">
        <f ca="1">"Beacon.Put(129,0,"&amp;E電入力!AY17&amp;");"</f>
        <v>Beacon.Put(129,0,4630);</v>
      </c>
      <c r="E16" t="str">
        <f ca="1">"Beacon.Put(130,0,"&amp;E電入力!AZ17&amp;");"</f>
        <v>Beacon.Put(130,0,4760);</v>
      </c>
      <c r="F16" t="str">
        <f>"Beacon.Put(133,0,"&amp;E電入力!BA17&amp;");"</f>
        <v>Beacon.Put(133,0,46);</v>
      </c>
      <c r="G16" t="str">
        <f>"Beacon.Put(131,0,"&amp;E電入力!BB17&amp;");"</f>
        <v>Beacon.Put(131,0,6);</v>
      </c>
      <c r="H16" t="str">
        <f>"Beacon.Put(128,0,"&amp;E電入力!BD17&amp;");"</f>
        <v>Beacon.Put(128,0,113930);</v>
      </c>
    </row>
    <row r="17" spans="1:8">
      <c r="A17" t="str">
        <f>E電入力!C18&amp;"-25;"</f>
        <v>202075-25;</v>
      </c>
      <c r="B17" t="str">
        <f ca="1">"Beacon.Put(134,0,"&amp;E電入力!AW18&amp;");"</f>
        <v>Beacon.Put(134,0,39);</v>
      </c>
      <c r="C17" t="str">
        <f ca="1">"Beacon.Put(132,0,"&amp;E電入力!AX18&amp;");"</f>
        <v>Beacon.Put(132,0,8);</v>
      </c>
      <c r="D17" t="str">
        <f ca="1">"Beacon.Put(129,0,"&amp;E電入力!AY18&amp;");"</f>
        <v>Beacon.Put(129,0,5160);</v>
      </c>
      <c r="E17" t="str">
        <f ca="1">"Beacon.Put(130,0,"&amp;E電入力!AZ18&amp;");"</f>
        <v>Beacon.Put(130,0,5130);</v>
      </c>
      <c r="F17" t="str">
        <f>"Beacon.Put(133,0,"&amp;E電入力!BA18&amp;");"</f>
        <v>Beacon.Put(133,0,46);</v>
      </c>
      <c r="G17" t="str">
        <f>"Beacon.Put(131,0,"&amp;E電入力!BB18&amp;");"</f>
        <v>Beacon.Put(131,0,6);</v>
      </c>
      <c r="H17" t="str">
        <f>"Beacon.Put(128,0,"&amp;E電入力!BD18&amp;");"</f>
        <v>Beacon.Put(128,0,113930);</v>
      </c>
    </row>
    <row r="18" spans="1:8">
      <c r="A18" t="str">
        <f>E電入力!C19&amp;"-25;"</f>
        <v>203845-25;</v>
      </c>
      <c r="B18" t="str">
        <f ca="1">"Beacon.Put(134,0,"&amp;E電入力!AW19&amp;");"</f>
        <v>Beacon.Put(134,0,38);</v>
      </c>
      <c r="C18" t="str">
        <f ca="1">"Beacon.Put(132,0,"&amp;E電入力!AX19&amp;");"</f>
        <v>Beacon.Put(132,0,0);</v>
      </c>
      <c r="D18" t="str">
        <f ca="1">"Beacon.Put(129,0,"&amp;E電入力!AY19&amp;");"</f>
        <v>Beacon.Put(129,0,5530);</v>
      </c>
      <c r="E18" t="str">
        <f ca="1">"Beacon.Put(130,0,"&amp;E電入力!AZ19&amp;");"</f>
        <v>Beacon.Put(130,0,5660);</v>
      </c>
      <c r="F18" t="str">
        <f>"Beacon.Put(133,0,"&amp;E電入力!BA19&amp;");"</f>
        <v>Beacon.Put(133,0,46);</v>
      </c>
      <c r="G18" t="str">
        <f>"Beacon.Put(131,0,"&amp;E電入力!BB19&amp;");"</f>
        <v>Beacon.Put(131,0,6);</v>
      </c>
      <c r="H18" t="str">
        <f>"Beacon.Put(128,0,"&amp;E電入力!BD19&amp;");"</f>
        <v>Beacon.Put(128,0,113930);</v>
      </c>
    </row>
    <row r="19" spans="1:8">
      <c r="A19" t="str">
        <f>E電入力!C20&amp;"-25;"</f>
        <v>205325-25;</v>
      </c>
      <c r="B19" t="str">
        <f ca="1">"Beacon.Put(134,0,"&amp;E電入力!AW20&amp;");"</f>
        <v>Beacon.Put(134,0,37);</v>
      </c>
      <c r="C19" t="str">
        <f ca="1">"Beacon.Put(132,0,"&amp;E電入力!AX20&amp;");"</f>
        <v>Beacon.Put(132,0,0);</v>
      </c>
      <c r="D19" t="str">
        <f ca="1">"Beacon.Put(129,0,"&amp;E電入力!AY20&amp;");"</f>
        <v>Beacon.Put(129,0,6030);</v>
      </c>
      <c r="E19" t="str">
        <f ca="1">"Beacon.Put(130,0,"&amp;E電入力!AZ20&amp;");"</f>
        <v>Beacon.Put(130,0,0160);</v>
      </c>
      <c r="F19" t="str">
        <f>"Beacon.Put(133,0,"&amp;E電入力!BA20&amp;");"</f>
        <v>Beacon.Put(133,0,46);</v>
      </c>
      <c r="G19" t="str">
        <f>"Beacon.Put(131,0,"&amp;E電入力!BB20&amp;");"</f>
        <v>Beacon.Put(131,0,6);</v>
      </c>
      <c r="H19" t="str">
        <f>"Beacon.Put(128,0,"&amp;E電入力!BD20&amp;");"</f>
        <v>Beacon.Put(128,0,113930);</v>
      </c>
    </row>
    <row r="20" spans="1:8">
      <c r="A20" t="str">
        <f>E電入力!C21&amp;"-25;"</f>
        <v>206725-25;</v>
      </c>
      <c r="B20" t="str">
        <f ca="1">"Beacon.Put(134,0,"&amp;E電入力!AW21&amp;");"</f>
        <v>Beacon.Put(134,0,35);</v>
      </c>
      <c r="C20" t="str">
        <f ca="1">"Beacon.Put(132,0,"&amp;E電入力!AX21&amp;");"</f>
        <v>Beacon.Put(132,0,1);</v>
      </c>
      <c r="D20" t="str">
        <f ca="1">"Beacon.Put(129,0,"&amp;E電入力!AY21&amp;");"</f>
        <v>Beacon.Put(129,0,0560);</v>
      </c>
      <c r="E20" t="str">
        <f ca="1">"Beacon.Put(130,0,"&amp;E電入力!AZ21&amp;");"</f>
        <v>Beacon.Put(130,0,0000);</v>
      </c>
      <c r="F20" t="str">
        <f>"Beacon.Put(133,0,"&amp;E電入力!BA21&amp;");"</f>
        <v>Beacon.Put(133,0,46);</v>
      </c>
      <c r="G20" t="str">
        <f>"Beacon.Put(131,0,"&amp;E電入力!BB21&amp;");"</f>
        <v>Beacon.Put(131,0,6);</v>
      </c>
      <c r="H20" t="str">
        <f>"Beacon.Put(128,0,"&amp;E電入力!BD21&amp;");"</f>
        <v>Beacon.Put(128,0,113930);</v>
      </c>
    </row>
    <row r="21" spans="1:8">
      <c r="A21" t="str">
        <f>E電入力!C22&amp;"-25;"</f>
        <v>208225-25;</v>
      </c>
      <c r="B21" t="str">
        <f ca="1">"Beacon.Put(134,0,"&amp;E電入力!AW22&amp;");"</f>
        <v>Beacon.Put(134,0,35);</v>
      </c>
      <c r="C21" t="str">
        <f ca="1">"Beacon.Put(132,0,"&amp;E電入力!AX22&amp;");"</f>
        <v>Beacon.Put(132,0,1);</v>
      </c>
      <c r="D21" t="str">
        <f ca="1">"Beacon.Put(129,0,"&amp;E電入力!AY22&amp;");"</f>
        <v>Beacon.Put(129,0,0560);</v>
      </c>
      <c r="E21" t="str">
        <f ca="1">"Beacon.Put(130,0,"&amp;E電入力!AZ22&amp;");"</f>
        <v>Beacon.Put(130,0,0000);</v>
      </c>
      <c r="F21" t="str">
        <f>"Beacon.Put(133,0,"&amp;E電入力!BA22&amp;");"</f>
        <v>Beacon.Put(133,0,46);</v>
      </c>
      <c r="G21" t="str">
        <f>"Beacon.Put(131,0,"&amp;E電入力!BB22&amp;");"</f>
        <v>Beacon.Put(131,0,6);</v>
      </c>
      <c r="H21" t="str">
        <f>"Beacon.Put(128,0,"&amp;E電入力!BD22&amp;");"</f>
        <v>Beacon.Put(128,0,113930);</v>
      </c>
    </row>
    <row r="22" spans="1:8">
      <c r="A22" t="str">
        <f>E電入力!C23&amp;"-25;"</f>
        <v>212675-25;</v>
      </c>
      <c r="B22" t="str">
        <f ca="1">"Beacon.Put(134,0,"&amp;E電入力!AW23&amp;");"</f>
        <v>Beacon.Put(134,0,0);</v>
      </c>
      <c r="C22" t="str">
        <f ca="1">"Beacon.Put(132,0,"&amp;E電入力!AX23&amp;");"</f>
        <v>Beacon.Put(132,0,0);</v>
      </c>
      <c r="D22" t="str">
        <f ca="1">"Beacon.Put(129,0,"&amp;E電入力!AY23&amp;");"</f>
        <v>Beacon.Put(129,0,0);</v>
      </c>
      <c r="E22" t="str">
        <f ca="1">"Beacon.Put(130,0,"&amp;E電入力!AZ23&amp;");"</f>
        <v>Beacon.Put(130,0,0);</v>
      </c>
      <c r="F22" t="str">
        <f>"Beacon.Put(133,0,"&amp;E電入力!BA23&amp;");"</f>
        <v>Beacon.Put(133,0,40);</v>
      </c>
      <c r="G22" t="str">
        <f>"Beacon.Put(131,0,"&amp;E電入力!BB23&amp;");"</f>
        <v>Beacon.Put(131,0,8);</v>
      </c>
      <c r="H22" t="str">
        <f>"Beacon.Put(128,0,"&amp;E電入力!BD23&amp;");"</f>
        <v>Beacon.Put(128,0,114760);</v>
      </c>
    </row>
    <row r="23" spans="1:8">
      <c r="A23" t="str">
        <f>E電入力!C24&amp;"-25;"</f>
        <v>216375-25;</v>
      </c>
      <c r="B23" t="str">
        <f ca="1">"Beacon.Put(134,0,"&amp;E電入力!AW24&amp;");"</f>
        <v>Beacon.Put(134,0,0);</v>
      </c>
      <c r="C23" t="str">
        <f ca="1">"Beacon.Put(132,0,"&amp;E電入力!AX24&amp;");"</f>
        <v>Beacon.Put(132,0,0);</v>
      </c>
      <c r="D23" t="str">
        <f ca="1">"Beacon.Put(129,0,"&amp;E電入力!AY24&amp;");"</f>
        <v>Beacon.Put(129,0,0);</v>
      </c>
      <c r="E23" t="str">
        <f ca="1">"Beacon.Put(130,0,"&amp;E電入力!AZ24&amp;");"</f>
        <v>Beacon.Put(130,0,0);</v>
      </c>
      <c r="F23" t="str">
        <f>"Beacon.Put(133,0,"&amp;E電入力!BA24&amp;");"</f>
        <v>Beacon.Put(133,0,39);</v>
      </c>
      <c r="G23" t="str">
        <f>"Beacon.Put(131,0,"&amp;E電入力!BB24&amp;");"</f>
        <v>Beacon.Put(131,0,8);</v>
      </c>
      <c r="H23" t="str">
        <f>"Beacon.Put(128,0,"&amp;E電入力!BD24&amp;");"</f>
        <v>Beacon.Put(128,0,115130);</v>
      </c>
    </row>
    <row r="24" spans="1:8">
      <c r="A24" t="str">
        <f>E電入力!C25&amp;"-25;"</f>
        <v>220540-25;</v>
      </c>
      <c r="B24" t="str">
        <f ca="1">"Beacon.Put(134,0,"&amp;E電入力!AW25&amp;");"</f>
        <v>Beacon.Put(134,0,0);</v>
      </c>
      <c r="C24" t="str">
        <f ca="1">"Beacon.Put(132,0,"&amp;E電入力!AX25&amp;");"</f>
        <v>Beacon.Put(132,0,0);</v>
      </c>
      <c r="D24" t="str">
        <f ca="1">"Beacon.Put(129,0,"&amp;E電入力!AY25&amp;");"</f>
        <v>Beacon.Put(129,0,0);</v>
      </c>
      <c r="E24" t="str">
        <f ca="1">"Beacon.Put(130,0,"&amp;E電入力!AZ25&amp;");"</f>
        <v>Beacon.Put(130,0,0);</v>
      </c>
      <c r="F24" t="str">
        <f>"Beacon.Put(133,0,"&amp;E電入力!BA25&amp;");"</f>
        <v>Beacon.Put(133,0,38);</v>
      </c>
      <c r="G24" t="str">
        <f>"Beacon.Put(131,0,"&amp;E電入力!BB25&amp;");"</f>
        <v>Beacon.Put(131,0,0);</v>
      </c>
      <c r="H24" t="str">
        <f>"Beacon.Put(128,0,"&amp;E電入力!BD25&amp;");"</f>
        <v>Beacon.Put(128,0,115660);</v>
      </c>
    </row>
    <row r="25" spans="1:8">
      <c r="A25" t="str">
        <f>E電入力!C26&amp;"-25;"</f>
        <v>221770-25;</v>
      </c>
      <c r="B25" t="str">
        <f ca="1">"Beacon.Put(134,0,"&amp;E電入力!AW26&amp;");"</f>
        <v>Beacon.Put(134,0,0);</v>
      </c>
      <c r="C25" t="str">
        <f ca="1">"Beacon.Put(132,0,"&amp;E電入力!AX26&amp;");"</f>
        <v>Beacon.Put(132,0,0);</v>
      </c>
      <c r="D25" t="str">
        <f ca="1">"Beacon.Put(129,0,"&amp;E電入力!AY26&amp;");"</f>
        <v>Beacon.Put(129,0,0);</v>
      </c>
      <c r="E25" t="str">
        <f ca="1">"Beacon.Put(130,0,"&amp;E電入力!AZ26&amp;");"</f>
        <v>Beacon.Put(130,0,0);</v>
      </c>
      <c r="F25" t="str">
        <f>"Beacon.Put(133,0,"&amp;E電入力!BA26&amp;");"</f>
        <v>Beacon.Put(133,0,37);</v>
      </c>
      <c r="G25" t="str">
        <f>"Beacon.Put(131,0,"&amp;E電入力!BB26&amp;");"</f>
        <v>Beacon.Put(131,0,0);</v>
      </c>
      <c r="H25" t="str">
        <f>"Beacon.Put(128,0,"&amp;E電入力!BD26&amp;");"</f>
        <v>Beacon.Put(128,0,120160);</v>
      </c>
    </row>
    <row r="26" spans="1:8">
      <c r="A26" t="str">
        <f>E電入力!C27&amp;"-25;"</f>
        <v>223075-25;</v>
      </c>
      <c r="B26" t="str">
        <f ca="1">"Beacon.Put(134,0,"&amp;E電入力!AW27&amp;");"</f>
        <v>Beacon.Put(134,0,0);</v>
      </c>
      <c r="C26" t="str">
        <f ca="1">"Beacon.Put(132,0,"&amp;E電入力!AX27&amp;");"</f>
        <v>Beacon.Put(132,0,0);</v>
      </c>
      <c r="D26" t="str">
        <f ca="1">"Beacon.Put(129,0,"&amp;E電入力!AY27&amp;");"</f>
        <v>Beacon.Put(129,0,0);</v>
      </c>
      <c r="E26" t="str">
        <f ca="1">"Beacon.Put(130,0,"&amp;E電入力!AZ27&amp;");"</f>
        <v>Beacon.Put(130,0,0);</v>
      </c>
      <c r="F26" t="str">
        <f>"Beacon.Put(133,0,"&amp;E電入力!BA27&amp;");"</f>
        <v>Beacon.Put(133,0,37);</v>
      </c>
      <c r="G26" t="str">
        <f>"Beacon.Put(131,0,"&amp;E電入力!BB27&amp;");"</f>
        <v>Beacon.Put(131,0,0);</v>
      </c>
      <c r="H26" t="str">
        <f>"Beacon.Put(128,0,"&amp;E電入力!BD27&amp;");"</f>
        <v>Beacon.Put(128,0,120160);</v>
      </c>
    </row>
    <row r="27" spans="1:8">
      <c r="A27" t="str">
        <f>E電入力!C28&amp;"-25;"</f>
        <v>-25;</v>
      </c>
      <c r="B27" t="str">
        <f ca="1">"Beacon.Put(134,0,"&amp;E電入力!AW28&amp;");"</f>
        <v>Beacon.Put(134,0,0);</v>
      </c>
      <c r="C27" t="str">
        <f ca="1">"Beacon.Put(132,0,"&amp;E電入力!AX28&amp;");"</f>
        <v>Beacon.Put(132,0,0);</v>
      </c>
      <c r="D27" t="str">
        <f ca="1">"Beacon.Put(129,0,"&amp;E電入力!AY28&amp;");"</f>
        <v>Beacon.Put(129,0,0);</v>
      </c>
      <c r="E27" t="str">
        <f ca="1">"Beacon.Put(130,0,"&amp;E電入力!AZ28&amp;");"</f>
        <v>Beacon.Put(130,0,0);</v>
      </c>
      <c r="F27" t="str">
        <f>"Beacon.Put(133,0,"&amp;E電入力!BA28&amp;");"</f>
        <v>Beacon.Put(133,0,35);</v>
      </c>
      <c r="G27" t="str">
        <f>"Beacon.Put(131,0,"&amp;E電入力!BB28&amp;");"</f>
        <v>Beacon.Put(131,0,1);</v>
      </c>
      <c r="H27" t="str">
        <f>"Beacon.Put(128,0,"&amp;E電入力!BD28&amp;");"</f>
        <v>Beacon.Put(128,0,000000);</v>
      </c>
    </row>
    <row r="28" spans="1:8">
      <c r="A28" t="str">
        <f>E電入力!C29&amp;"-25;"</f>
        <v>-25;</v>
      </c>
      <c r="B28" t="str">
        <f ca="1">"Beacon.Put(134,0,"&amp;E電入力!AW29&amp;");"</f>
        <v>Beacon.Put(134,0,0);</v>
      </c>
      <c r="C28" t="str">
        <f ca="1">"Beacon.Put(132,0,"&amp;E電入力!AX29&amp;");"</f>
        <v>Beacon.Put(132,0,0);</v>
      </c>
      <c r="D28" t="str">
        <f ca="1">"Beacon.Put(129,0,"&amp;E電入力!AY29&amp;");"</f>
        <v>Beacon.Put(129,0,0);</v>
      </c>
      <c r="E28" t="str">
        <f ca="1">"Beacon.Put(130,0,"&amp;E電入力!AZ29&amp;");"</f>
        <v>Beacon.Put(130,0,0);</v>
      </c>
      <c r="F28" t="str">
        <f>"Beacon.Put(133,0,"&amp;E電入力!BA29&amp;");"</f>
        <v>Beacon.Put(133,0,35);</v>
      </c>
      <c r="G28" t="str">
        <f>"Beacon.Put(131,0,"&amp;E電入力!BB29&amp;");"</f>
        <v>Beacon.Put(131,0,1);</v>
      </c>
      <c r="H28" t="str">
        <f>"Beacon.Put(128,0,"&amp;E電入力!BD29&amp;");"</f>
        <v>Beacon.Put(128,0,000000);</v>
      </c>
    </row>
    <row r="29" spans="1:8">
      <c r="A29" t="str">
        <f>E電入力!C30&amp;"-25;"</f>
        <v>-25;</v>
      </c>
      <c r="B29" t="str">
        <f ca="1">"Beacon.Put(134,0,"&amp;E電入力!AW30&amp;");"</f>
        <v>Beacon.Put(134,0,0);</v>
      </c>
      <c r="C29" t="str">
        <f ca="1">"Beacon.Put(132,0,"&amp;E電入力!AX30&amp;");"</f>
        <v>Beacon.Put(132,0,0);</v>
      </c>
      <c r="D29" t="str">
        <f ca="1">"Beacon.Put(129,0,"&amp;E電入力!AY30&amp;");"</f>
        <v>Beacon.Put(129,0,0);</v>
      </c>
      <c r="E29" t="str">
        <f ca="1">"Beacon.Put(130,0,"&amp;E電入力!AZ30&amp;");"</f>
        <v>Beacon.Put(130,0,0);</v>
      </c>
      <c r="F29" t="str">
        <f>"Beacon.Put(133,0,"&amp;E電入力!BA30&amp;");"</f>
        <v>Beacon.Put(133,0,35);</v>
      </c>
      <c r="G29" t="str">
        <f>"Beacon.Put(131,0,"&amp;E電入力!BB30&amp;");"</f>
        <v>Beacon.Put(131,0,1);</v>
      </c>
      <c r="H29" t="str">
        <f>"Beacon.Put(128,0,"&amp;E電入力!BD30&amp;");"</f>
        <v>Beacon.Put(128,0,000000);</v>
      </c>
    </row>
    <row r="30" spans="1:8">
      <c r="A30" t="str">
        <f>E電入力!C31&amp;"-25;"</f>
        <v>-25;</v>
      </c>
      <c r="B30" t="str">
        <f ca="1">"Beacon.Put(134,0,"&amp;E電入力!AW31&amp;");"</f>
        <v>Beacon.Put(134,0,0);</v>
      </c>
      <c r="C30" t="str">
        <f ca="1">"Beacon.Put(132,0,"&amp;E電入力!AX31&amp;");"</f>
        <v>Beacon.Put(132,0,0);</v>
      </c>
      <c r="D30" t="str">
        <f ca="1">"Beacon.Put(129,0,"&amp;E電入力!AY31&amp;");"</f>
        <v>Beacon.Put(129,0,0);</v>
      </c>
      <c r="E30" t="str">
        <f ca="1">"Beacon.Put(130,0,"&amp;E電入力!AZ31&amp;");"</f>
        <v>Beacon.Put(130,0,0);</v>
      </c>
      <c r="F30" t="str">
        <f>"Beacon.Put(133,0,"&amp;E電入力!BA31&amp;");"</f>
        <v>Beacon.Put(133,0,35);</v>
      </c>
      <c r="G30" t="str">
        <f>"Beacon.Put(131,0,"&amp;E電入力!BB31&amp;");"</f>
        <v>Beacon.Put(131,0,1);</v>
      </c>
      <c r="H30" t="str">
        <f>"Beacon.Put(128,0,"&amp;E電入力!BD31&amp;");"</f>
        <v>Beacon.Put(128,0,000000);</v>
      </c>
    </row>
    <row r="31" spans="1:8">
      <c r="A31" t="str">
        <f>E電入力!C32&amp;"-25;"</f>
        <v>-25;</v>
      </c>
      <c r="B31" t="str">
        <f ca="1">"Beacon.Put(134,0,"&amp;E電入力!AW32&amp;");"</f>
        <v>Beacon.Put(134,0,0);</v>
      </c>
      <c r="C31" t="str">
        <f ca="1">"Beacon.Put(132,0,"&amp;E電入力!AX32&amp;");"</f>
        <v>Beacon.Put(132,0,0);</v>
      </c>
      <c r="D31" t="str">
        <f ca="1">"Beacon.Put(129,0,"&amp;E電入力!AY32&amp;");"</f>
        <v>Beacon.Put(129,0,0);</v>
      </c>
      <c r="E31" t="str">
        <f ca="1">"Beacon.Put(130,0,"&amp;E電入力!AZ32&amp;");"</f>
        <v>Beacon.Put(130,0,0);</v>
      </c>
      <c r="F31" t="str">
        <f>"Beacon.Put(133,0,"&amp;E電入力!BA32&amp;");"</f>
        <v>Beacon.Put(133,0,35);</v>
      </c>
      <c r="G31" t="str">
        <f>"Beacon.Put(131,0,"&amp;E電入力!BB32&amp;");"</f>
        <v>Beacon.Put(131,0,1);</v>
      </c>
      <c r="H31" t="str">
        <f>"Beacon.Put(128,0,"&amp;E電入力!BD32&amp;");"</f>
        <v>Beacon.Put(128,0,000000);</v>
      </c>
    </row>
    <row r="32" spans="1:8">
      <c r="A32" t="str">
        <f>E電入力!C33&amp;"-25;"</f>
        <v>-25;</v>
      </c>
      <c r="B32" t="str">
        <f ca="1">"Beacon.Put(134,0,"&amp;E電入力!AW33&amp;");"</f>
        <v>Beacon.Put(134,0,0);</v>
      </c>
      <c r="C32" t="str">
        <f ca="1">"Beacon.Put(132,0,"&amp;E電入力!AX33&amp;");"</f>
        <v>Beacon.Put(132,0,0);</v>
      </c>
      <c r="D32" t="str">
        <f ca="1">"Beacon.Put(129,0,"&amp;E電入力!AY33&amp;");"</f>
        <v>Beacon.Put(129,0,0);</v>
      </c>
      <c r="E32" t="str">
        <f ca="1">"Beacon.Put(130,0,"&amp;E電入力!AZ33&amp;");"</f>
        <v>Beacon.Put(130,0,0);</v>
      </c>
      <c r="F32" t="str">
        <f>"Beacon.Put(133,0,"&amp;E電入力!BA33&amp;");"</f>
        <v>Beacon.Put(133,0,35);</v>
      </c>
      <c r="G32" t="str">
        <f>"Beacon.Put(131,0,"&amp;E電入力!BB33&amp;");"</f>
        <v>Beacon.Put(131,0,1);</v>
      </c>
      <c r="H32" t="str">
        <f>"Beacon.Put(128,0,"&amp;E電入力!BD33&amp;");"</f>
        <v>Beacon.Put(128,0,000000);</v>
      </c>
    </row>
    <row r="33" spans="1:8">
      <c r="A33" t="str">
        <f>E電入力!C34&amp;"-25;"</f>
        <v>-25;</v>
      </c>
      <c r="B33" t="str">
        <f ca="1">"Beacon.Put(134,0,"&amp;E電入力!AW34&amp;");"</f>
        <v>Beacon.Put(134,0,0);</v>
      </c>
      <c r="C33" t="str">
        <f ca="1">"Beacon.Put(132,0,"&amp;E電入力!AX34&amp;");"</f>
        <v>Beacon.Put(132,0,0);</v>
      </c>
      <c r="D33" t="str">
        <f ca="1">"Beacon.Put(129,0,"&amp;E電入力!AY34&amp;");"</f>
        <v>Beacon.Put(129,0,0);</v>
      </c>
      <c r="E33" t="str">
        <f ca="1">"Beacon.Put(130,0,"&amp;E電入力!AZ34&amp;");"</f>
        <v>Beacon.Put(130,0,0);</v>
      </c>
      <c r="F33" t="str">
        <f>"Beacon.Put(133,0,"&amp;E電入力!BA34&amp;");"</f>
        <v>Beacon.Put(133,0,35);</v>
      </c>
      <c r="G33" t="str">
        <f>"Beacon.Put(131,0,"&amp;E電入力!BB34&amp;");"</f>
        <v>Beacon.Put(131,0,1);</v>
      </c>
      <c r="H33" t="str">
        <f>"Beacon.Put(128,0,"&amp;E電入力!BD34&amp;");"</f>
        <v>Beacon.Put(128,0,000000);</v>
      </c>
    </row>
    <row r="34" spans="1:8">
      <c r="A34" t="str">
        <f>E電入力!C35&amp;"-25;"</f>
        <v>-25;</v>
      </c>
      <c r="B34" t="str">
        <f ca="1">"Beacon.Put(134,0,"&amp;E電入力!AW35&amp;");"</f>
        <v>Beacon.Put(134,0,0);</v>
      </c>
      <c r="C34" t="str">
        <f ca="1">"Beacon.Put(132,0,"&amp;E電入力!AX35&amp;");"</f>
        <v>Beacon.Put(132,0,0);</v>
      </c>
      <c r="D34" t="str">
        <f ca="1">"Beacon.Put(129,0,"&amp;E電入力!AY35&amp;");"</f>
        <v>Beacon.Put(129,0,0);</v>
      </c>
      <c r="E34" t="str">
        <f ca="1">"Beacon.Put(130,0,"&amp;E電入力!AZ35&amp;");"</f>
        <v>Beacon.Put(130,0,0);</v>
      </c>
      <c r="F34" t="str">
        <f>"Beacon.Put(133,0,"&amp;E電入力!BA35&amp;");"</f>
        <v>Beacon.Put(133,0,35);</v>
      </c>
      <c r="G34" t="str">
        <f>"Beacon.Put(131,0,"&amp;E電入力!BB35&amp;");"</f>
        <v>Beacon.Put(131,0,1);</v>
      </c>
      <c r="H34" t="str">
        <f>"Beacon.Put(128,0,"&amp;E電入力!BD35&amp;");"</f>
        <v>Beacon.Put(128,0,000000);</v>
      </c>
    </row>
    <row r="35" spans="1:8">
      <c r="A35" t="str">
        <f>E電入力!C36&amp;"-25;"</f>
        <v>-25;</v>
      </c>
      <c r="B35" t="str">
        <f ca="1">"Beacon.Put(134,0,"&amp;E電入力!AW36&amp;");"</f>
        <v>Beacon.Put(134,0,0);</v>
      </c>
      <c r="C35" t="str">
        <f ca="1">"Beacon.Put(132,0,"&amp;E電入力!AX36&amp;");"</f>
        <v>Beacon.Put(132,0,0);</v>
      </c>
      <c r="D35" t="str">
        <f ca="1">"Beacon.Put(129,0,"&amp;E電入力!AY36&amp;");"</f>
        <v>Beacon.Put(129,0,0);</v>
      </c>
      <c r="E35" t="str">
        <f ca="1">"Beacon.Put(130,0,"&amp;E電入力!AZ36&amp;");"</f>
        <v>Beacon.Put(130,0,0);</v>
      </c>
      <c r="F35" t="str">
        <f>"Beacon.Put(133,0,"&amp;E電入力!BA36&amp;");"</f>
        <v>Beacon.Put(133,0,35);</v>
      </c>
      <c r="G35" t="str">
        <f>"Beacon.Put(131,0,"&amp;E電入力!BB36&amp;");"</f>
        <v>Beacon.Put(131,0,1);</v>
      </c>
      <c r="H35" t="str">
        <f>"Beacon.Put(128,0,"&amp;E電入力!BD36&amp;");"</f>
        <v>Beacon.Put(128,0,000000);</v>
      </c>
    </row>
    <row r="36" spans="1:8">
      <c r="A36" t="str">
        <f>E電入力!C37&amp;"-25;"</f>
        <v>-25;</v>
      </c>
      <c r="B36" t="str">
        <f ca="1">"Beacon.Put(134,0,"&amp;E電入力!AW37&amp;");"</f>
        <v>Beacon.Put(134,0,0);</v>
      </c>
      <c r="C36" t="str">
        <f ca="1">"Beacon.Put(132,0,"&amp;E電入力!AX37&amp;");"</f>
        <v>Beacon.Put(132,0,0);</v>
      </c>
      <c r="D36" t="str">
        <f ca="1">"Beacon.Put(129,0,"&amp;E電入力!AY37&amp;");"</f>
        <v>Beacon.Put(129,0,0);</v>
      </c>
      <c r="E36" t="str">
        <f ca="1">"Beacon.Put(130,0,"&amp;E電入力!AZ37&amp;");"</f>
        <v>Beacon.Put(130,0,0);</v>
      </c>
      <c r="F36" t="str">
        <f>"Beacon.Put(133,0,"&amp;E電入力!BA37&amp;");"</f>
        <v>Beacon.Put(133,0,35);</v>
      </c>
      <c r="G36" t="str">
        <f>"Beacon.Put(131,0,"&amp;E電入力!BB37&amp;");"</f>
        <v>Beacon.Put(131,0,1);</v>
      </c>
      <c r="H36" t="str">
        <f>"Beacon.Put(128,0,"&amp;E電入力!BD37&amp;");"</f>
        <v>Beacon.Put(128,0,000000);</v>
      </c>
    </row>
    <row r="37" spans="1:8">
      <c r="A37" t="str">
        <f>E電入力!C38&amp;"-25;"</f>
        <v>-25;</v>
      </c>
      <c r="B37" t="str">
        <f ca="1">"Beacon.Put(134,0,"&amp;E電入力!AW38&amp;");"</f>
        <v>Beacon.Put(134,0,0);</v>
      </c>
      <c r="C37" t="str">
        <f ca="1">"Beacon.Put(132,0,"&amp;E電入力!AX38&amp;");"</f>
        <v>Beacon.Put(132,0,0);</v>
      </c>
      <c r="D37" t="str">
        <f ca="1">"Beacon.Put(129,0,"&amp;E電入力!AY38&amp;");"</f>
        <v>Beacon.Put(129,0,0);</v>
      </c>
      <c r="E37" t="str">
        <f ca="1">"Beacon.Put(130,0,"&amp;E電入力!AZ38&amp;");"</f>
        <v>Beacon.Put(130,0,0);</v>
      </c>
      <c r="F37" t="str">
        <f>"Beacon.Put(133,0,"&amp;E電入力!BA38&amp;");"</f>
        <v>Beacon.Put(133,0,35);</v>
      </c>
      <c r="G37" t="str">
        <f>"Beacon.Put(131,0,"&amp;E電入力!BB38&amp;");"</f>
        <v>Beacon.Put(131,0,1);</v>
      </c>
      <c r="H37" t="str">
        <f>"Beacon.Put(128,0,"&amp;E電入力!BD38&amp;");"</f>
        <v>Beacon.Put(128,0,000000);</v>
      </c>
    </row>
    <row r="38" spans="1:8">
      <c r="A38" t="str">
        <f>E電入力!C39&amp;"-25;"</f>
        <v>-25;</v>
      </c>
      <c r="B38" t="str">
        <f ca="1">"Beacon.Put(134,0,"&amp;E電入力!AW39&amp;");"</f>
        <v>Beacon.Put(134,0,0);</v>
      </c>
      <c r="C38" t="str">
        <f ca="1">"Beacon.Put(132,0,"&amp;E電入力!AX39&amp;");"</f>
        <v>Beacon.Put(132,0,0);</v>
      </c>
      <c r="D38" t="str">
        <f ca="1">"Beacon.Put(129,0,"&amp;E電入力!AY39&amp;");"</f>
        <v>Beacon.Put(129,0,0);</v>
      </c>
      <c r="E38" t="str">
        <f ca="1">"Beacon.Put(130,0,"&amp;E電入力!AZ39&amp;");"</f>
        <v>Beacon.Put(130,0,0);</v>
      </c>
      <c r="F38" t="str">
        <f>"Beacon.Put(133,0,"&amp;E電入力!BA39&amp;");"</f>
        <v>Beacon.Put(133,0,35);</v>
      </c>
      <c r="G38" t="str">
        <f>"Beacon.Put(131,0,"&amp;E電入力!BB39&amp;");"</f>
        <v>Beacon.Put(131,0,1);</v>
      </c>
      <c r="H38" t="str">
        <f>"Beacon.Put(128,0,"&amp;E電入力!BD39&amp;");"</f>
        <v>Beacon.Put(128,0,000000);</v>
      </c>
    </row>
    <row r="39" spans="1:8">
      <c r="A39" t="str">
        <f>E電入力!C40&amp;"-25;"</f>
        <v>-25;</v>
      </c>
      <c r="B39" t="str">
        <f ca="1">"Beacon.Put(134,0,"&amp;E電入力!AW40&amp;");"</f>
        <v>Beacon.Put(134,0,0);</v>
      </c>
      <c r="C39" t="str">
        <f ca="1">"Beacon.Put(132,0,"&amp;E電入力!AX40&amp;");"</f>
        <v>Beacon.Put(132,0,0);</v>
      </c>
      <c r="D39" t="str">
        <f ca="1">"Beacon.Put(129,0,"&amp;E電入力!AY40&amp;");"</f>
        <v>Beacon.Put(129,0,0);</v>
      </c>
      <c r="E39" t="str">
        <f ca="1">"Beacon.Put(130,0,"&amp;E電入力!AZ40&amp;");"</f>
        <v>Beacon.Put(130,0,0);</v>
      </c>
      <c r="F39" t="str">
        <f>"Beacon.Put(133,0,"&amp;E電入力!BA40&amp;");"</f>
        <v>Beacon.Put(133,0,35);</v>
      </c>
      <c r="G39" t="str">
        <f>"Beacon.Put(131,0,"&amp;E電入力!BB40&amp;");"</f>
        <v>Beacon.Put(131,0,1);</v>
      </c>
      <c r="H39" t="str">
        <f>"Beacon.Put(128,0,"&amp;E電入力!BD40&amp;");"</f>
        <v>Beacon.Put(128,0,000000);</v>
      </c>
    </row>
    <row r="40" spans="1:8">
      <c r="A40" t="str">
        <f>E電入力!C41&amp;"-25;"</f>
        <v>-25;</v>
      </c>
      <c r="B40" t="str">
        <f ca="1">"Beacon.Put(134,0,"&amp;E電入力!AW41&amp;");"</f>
        <v>Beacon.Put(134,0,0);</v>
      </c>
      <c r="C40" t="str">
        <f ca="1">"Beacon.Put(132,0,"&amp;E電入力!AX41&amp;");"</f>
        <v>Beacon.Put(132,0,0);</v>
      </c>
      <c r="D40" t="str">
        <f ca="1">"Beacon.Put(129,0,"&amp;E電入力!AY41&amp;");"</f>
        <v>Beacon.Put(129,0,0);</v>
      </c>
      <c r="E40" t="str">
        <f ca="1">"Beacon.Put(130,0,"&amp;E電入力!AZ41&amp;");"</f>
        <v>Beacon.Put(130,0,0);</v>
      </c>
      <c r="F40" t="str">
        <f>"Beacon.Put(133,0,"&amp;E電入力!BA41&amp;");"</f>
        <v>Beacon.Put(133,0,35);</v>
      </c>
      <c r="G40" t="str">
        <f>"Beacon.Put(131,0,"&amp;E電入力!BB41&amp;");"</f>
        <v>Beacon.Put(131,0,1);</v>
      </c>
      <c r="H40" t="str">
        <f>"Beacon.Put(128,0,"&amp;E電入力!BD41&amp;");"</f>
        <v>Beacon.Put(128,0,000000);</v>
      </c>
    </row>
    <row r="41" spans="1:8">
      <c r="A41" t="str">
        <f>E電入力!C42&amp;"-25;"</f>
        <v>-25;</v>
      </c>
      <c r="B41" t="str">
        <f ca="1">"Beacon.Put(134,0,"&amp;E電入力!AW42&amp;");"</f>
        <v>Beacon.Put(134,0,0);</v>
      </c>
      <c r="C41" t="str">
        <f ca="1">"Beacon.Put(132,0,"&amp;E電入力!AX42&amp;");"</f>
        <v>Beacon.Put(132,0,0);</v>
      </c>
      <c r="D41" t="str">
        <f ca="1">"Beacon.Put(129,0,"&amp;E電入力!AY42&amp;");"</f>
        <v>Beacon.Put(129,0,0);</v>
      </c>
      <c r="E41" t="str">
        <f ca="1">"Beacon.Put(130,0,"&amp;E電入力!AZ42&amp;");"</f>
        <v>Beacon.Put(130,0,0);</v>
      </c>
      <c r="F41" t="str">
        <f>"Beacon.Put(133,0,"&amp;E電入力!BA42&amp;");"</f>
        <v>Beacon.Put(133,0,35);</v>
      </c>
      <c r="G41" t="str">
        <f>"Beacon.Put(131,0,"&amp;E電入力!BB42&amp;");"</f>
        <v>Beacon.Put(131,0,1);</v>
      </c>
      <c r="H41" t="str">
        <f>"Beacon.Put(128,0,"&amp;E電入力!BD42&amp;");"</f>
        <v>Beacon.Put(128,0,000000);</v>
      </c>
    </row>
    <row r="42" spans="1:8">
      <c r="A42" t="str">
        <f>E電入力!C43&amp;"-25;"</f>
        <v>-25;</v>
      </c>
      <c r="B42" t="str">
        <f ca="1">"Beacon.Put(134,0,"&amp;E電入力!AW43&amp;");"</f>
        <v>Beacon.Put(134,0,0);</v>
      </c>
      <c r="C42" t="str">
        <f ca="1">"Beacon.Put(132,0,"&amp;E電入力!AX43&amp;");"</f>
        <v>Beacon.Put(132,0,0);</v>
      </c>
      <c r="D42" t="str">
        <f ca="1">"Beacon.Put(129,0,"&amp;E電入力!AY43&amp;");"</f>
        <v>Beacon.Put(129,0,0);</v>
      </c>
      <c r="E42" t="str">
        <f ca="1">"Beacon.Put(130,0,"&amp;E電入力!AZ43&amp;");"</f>
        <v>Beacon.Put(130,0,0);</v>
      </c>
      <c r="F42" t="str">
        <f>"Beacon.Put(133,0,"&amp;E電入力!BA43&amp;");"</f>
        <v>Beacon.Put(133,0,35);</v>
      </c>
      <c r="G42" t="str">
        <f>"Beacon.Put(131,0,"&amp;E電入力!BB43&amp;");"</f>
        <v>Beacon.Put(131,0,1);</v>
      </c>
      <c r="H42" t="str">
        <f>"Beacon.Put(128,0,"&amp;E電入力!BD43&amp;");"</f>
        <v>Beacon.Put(128,0,000000);</v>
      </c>
    </row>
    <row r="43" spans="1:8">
      <c r="A43" t="str">
        <f>E電入力!C44&amp;"-25;"</f>
        <v>-25;</v>
      </c>
      <c r="B43" t="str">
        <f ca="1">"Beacon.Put(134,0,"&amp;E電入力!AW44&amp;");"</f>
        <v>Beacon.Put(134,0,0);</v>
      </c>
      <c r="C43" t="str">
        <f ca="1">"Beacon.Put(132,0,"&amp;E電入力!AX44&amp;");"</f>
        <v>Beacon.Put(132,0,0);</v>
      </c>
      <c r="D43" t="str">
        <f ca="1">"Beacon.Put(129,0,"&amp;E電入力!AY44&amp;");"</f>
        <v>Beacon.Put(129,0,0);</v>
      </c>
      <c r="E43" t="str">
        <f ca="1">"Beacon.Put(130,0,"&amp;E電入力!AZ44&amp;");"</f>
        <v>Beacon.Put(130,0,0);</v>
      </c>
      <c r="F43" t="str">
        <f>"Beacon.Put(133,0,"&amp;E電入力!BA44&amp;");"</f>
        <v>Beacon.Put(133,0,35);</v>
      </c>
      <c r="G43" t="str">
        <f>"Beacon.Put(131,0,"&amp;E電入力!BB44&amp;");"</f>
        <v>Beacon.Put(131,0,1);</v>
      </c>
      <c r="H43" t="str">
        <f>"Beacon.Put(128,0,"&amp;E電入力!BD44&amp;");"</f>
        <v>Beacon.Put(128,0,000000);</v>
      </c>
    </row>
    <row r="44" spans="1:8">
      <c r="A44" t="str">
        <f>E電入力!C45&amp;"-25;"</f>
        <v>-25;</v>
      </c>
      <c r="B44" t="str">
        <f ca="1">"Beacon.Put(134,0,"&amp;E電入力!AW45&amp;");"</f>
        <v>Beacon.Put(134,0,0);</v>
      </c>
      <c r="C44" t="str">
        <f ca="1">"Beacon.Put(132,0,"&amp;E電入力!AX45&amp;");"</f>
        <v>Beacon.Put(132,0,0);</v>
      </c>
      <c r="D44" t="str">
        <f ca="1">"Beacon.Put(129,0,"&amp;E電入力!AY45&amp;");"</f>
        <v>Beacon.Put(129,0,0);</v>
      </c>
      <c r="E44" t="str">
        <f ca="1">"Beacon.Put(130,0,"&amp;E電入力!AZ45&amp;");"</f>
        <v>Beacon.Put(130,0,0);</v>
      </c>
      <c r="F44" t="str">
        <f>"Beacon.Put(133,0,"&amp;E電入力!BA45&amp;");"</f>
        <v>Beacon.Put(133,0,35);</v>
      </c>
      <c r="G44" t="str">
        <f>"Beacon.Put(131,0,"&amp;E電入力!BB45&amp;");"</f>
        <v>Beacon.Put(131,0,1);</v>
      </c>
      <c r="H44" t="str">
        <f>"Beacon.Put(128,0,"&amp;E電入力!BD45&amp;");"</f>
        <v>Beacon.Put(128,0,000000);</v>
      </c>
    </row>
    <row r="45" spans="1:8">
      <c r="A45" t="str">
        <f>E電入力!C46&amp;"-25;"</f>
        <v>-25;</v>
      </c>
      <c r="B45" t="str">
        <f ca="1">"Beacon.Put(134,0,"&amp;E電入力!AW46&amp;");"</f>
        <v>Beacon.Put(134,0,0);</v>
      </c>
      <c r="C45" t="str">
        <f ca="1">"Beacon.Put(132,0,"&amp;E電入力!AX46&amp;");"</f>
        <v>Beacon.Put(132,0,0);</v>
      </c>
      <c r="D45" t="str">
        <f ca="1">"Beacon.Put(129,0,"&amp;E電入力!AY46&amp;");"</f>
        <v>Beacon.Put(129,0,0);</v>
      </c>
      <c r="E45" t="str">
        <f ca="1">"Beacon.Put(130,0,"&amp;E電入力!AZ46&amp;");"</f>
        <v>Beacon.Put(130,0,0);</v>
      </c>
      <c r="F45" t="str">
        <f>"Beacon.Put(133,0,"&amp;E電入力!BA46&amp;");"</f>
        <v>Beacon.Put(133,0,35);</v>
      </c>
      <c r="G45" t="str">
        <f>"Beacon.Put(131,0,"&amp;E電入力!BB46&amp;");"</f>
        <v>Beacon.Put(131,0,1);</v>
      </c>
      <c r="H45" t="str">
        <f>"Beacon.Put(128,0,"&amp;E電入力!BD46&amp;");"</f>
        <v>Beacon.Put(128,0,000000);</v>
      </c>
    </row>
    <row r="46" spans="1:8">
      <c r="A46" t="str">
        <f>E電入力!C47&amp;"-25;"</f>
        <v>-25;</v>
      </c>
      <c r="B46" t="str">
        <f ca="1">"Beacon.Put(134,0,"&amp;E電入力!AW47&amp;");"</f>
        <v>Beacon.Put(134,0,0);</v>
      </c>
      <c r="C46" t="str">
        <f ca="1">"Beacon.Put(132,0,"&amp;E電入力!AX47&amp;");"</f>
        <v>Beacon.Put(132,0,0);</v>
      </c>
      <c r="D46" t="str">
        <f ca="1">"Beacon.Put(129,0,"&amp;E電入力!AY47&amp;");"</f>
        <v>Beacon.Put(129,0,0);</v>
      </c>
      <c r="E46" t="str">
        <f ca="1">"Beacon.Put(130,0,"&amp;E電入力!AZ47&amp;");"</f>
        <v>Beacon.Put(130,0,0);</v>
      </c>
      <c r="F46" t="str">
        <f>"Beacon.Put(133,0,"&amp;E電入力!BA47&amp;");"</f>
        <v>Beacon.Put(133,0,35);</v>
      </c>
      <c r="G46" t="str">
        <f>"Beacon.Put(131,0,"&amp;E電入力!BB47&amp;");"</f>
        <v>Beacon.Put(131,0,1);</v>
      </c>
      <c r="H46" t="str">
        <f>"Beacon.Put(128,0,"&amp;E電入力!BD47&amp;");"</f>
        <v>Beacon.Put(128,0,000000);</v>
      </c>
    </row>
    <row r="47" spans="1:8">
      <c r="A47" t="str">
        <f>E電入力!C48&amp;"-25;"</f>
        <v>-25;</v>
      </c>
      <c r="B47" t="str">
        <f ca="1">"Beacon.Put(134,0,"&amp;E電入力!AW48&amp;");"</f>
        <v>Beacon.Put(134,0,0);</v>
      </c>
      <c r="C47" t="str">
        <f ca="1">"Beacon.Put(132,0,"&amp;E電入力!AX48&amp;");"</f>
        <v>Beacon.Put(132,0,0);</v>
      </c>
      <c r="D47" t="str">
        <f ca="1">"Beacon.Put(129,0,"&amp;E電入力!AY48&amp;");"</f>
        <v>Beacon.Put(129,0,0);</v>
      </c>
      <c r="E47" t="str">
        <f ca="1">"Beacon.Put(130,0,"&amp;E電入力!AZ48&amp;");"</f>
        <v>Beacon.Put(130,0,0);</v>
      </c>
      <c r="F47" t="str">
        <f>"Beacon.Put(133,0,"&amp;E電入力!BA48&amp;");"</f>
        <v>Beacon.Put(133,0,35);</v>
      </c>
      <c r="G47" t="str">
        <f>"Beacon.Put(131,0,"&amp;E電入力!BB48&amp;");"</f>
        <v>Beacon.Put(131,0,1);</v>
      </c>
      <c r="H47" t="str">
        <f>"Beacon.Put(128,0,"&amp;E電入力!BD48&amp;");"</f>
        <v>Beacon.Put(128,0,000000);</v>
      </c>
    </row>
    <row r="48" spans="1:8">
      <c r="A48" t="str">
        <f>E電入力!C49&amp;"-25;"</f>
        <v>-25;</v>
      </c>
      <c r="B48" t="str">
        <f ca="1">"Beacon.Put(134,0,"&amp;E電入力!AW49&amp;");"</f>
        <v>Beacon.Put(134,0,0);</v>
      </c>
      <c r="C48" t="str">
        <f ca="1">"Beacon.Put(132,0,"&amp;E電入力!AX49&amp;");"</f>
        <v>Beacon.Put(132,0,0);</v>
      </c>
      <c r="D48" t="str">
        <f ca="1">"Beacon.Put(129,0,"&amp;E電入力!AY49&amp;");"</f>
        <v>Beacon.Put(129,0,0);</v>
      </c>
      <c r="E48" t="str">
        <f ca="1">"Beacon.Put(130,0,"&amp;E電入力!AZ49&amp;");"</f>
        <v>Beacon.Put(130,0,0);</v>
      </c>
      <c r="F48" t="str">
        <f>"Beacon.Put(133,0,"&amp;E電入力!BA49&amp;");"</f>
        <v>Beacon.Put(133,0,35);</v>
      </c>
      <c r="G48" t="str">
        <f>"Beacon.Put(131,0,"&amp;E電入力!BB49&amp;");"</f>
        <v>Beacon.Put(131,0,1);</v>
      </c>
      <c r="H48" t="str">
        <f>"Beacon.Put(128,0,"&amp;E電入力!BD49&amp;");"</f>
        <v>Beacon.Put(128,0,000000);</v>
      </c>
    </row>
    <row r="49" spans="1:8">
      <c r="A49" t="str">
        <f>E電入力!C50&amp;"-25;"</f>
        <v>-25;</v>
      </c>
      <c r="B49" t="str">
        <f ca="1">"Beacon.Put(134,0,"&amp;E電入力!AW50&amp;");"</f>
        <v>Beacon.Put(134,0,0);</v>
      </c>
      <c r="C49" t="str">
        <f ca="1">"Beacon.Put(132,0,"&amp;E電入力!AX50&amp;");"</f>
        <v>Beacon.Put(132,0,0);</v>
      </c>
      <c r="D49" t="str">
        <f ca="1">"Beacon.Put(129,0,"&amp;E電入力!AY50&amp;");"</f>
        <v>Beacon.Put(129,0,0);</v>
      </c>
      <c r="E49" t="str">
        <f ca="1">"Beacon.Put(130,0,"&amp;E電入力!AZ50&amp;");"</f>
        <v>Beacon.Put(130,0,0);</v>
      </c>
      <c r="F49" t="str">
        <f>"Beacon.Put(133,0,"&amp;E電入力!BA50&amp;");"</f>
        <v>Beacon.Put(133,0,35);</v>
      </c>
      <c r="G49" t="str">
        <f>"Beacon.Put(131,0,"&amp;E電入力!BB50&amp;");"</f>
        <v>Beacon.Put(131,0,1);</v>
      </c>
      <c r="H49" t="str">
        <f>"Beacon.Put(128,0,"&amp;E電入力!BD50&amp;");"</f>
        <v>Beacon.Put(128,0,000000);</v>
      </c>
    </row>
    <row r="50" spans="1:8">
      <c r="A50" t="str">
        <f>E電入力!C51&amp;"-25;"</f>
        <v>-25;</v>
      </c>
      <c r="B50" t="str">
        <f ca="1">"Beacon.Put(134,0,"&amp;E電入力!AW51&amp;");"</f>
        <v>Beacon.Put(134,0,0);</v>
      </c>
      <c r="C50" t="str">
        <f ca="1">"Beacon.Put(132,0,"&amp;E電入力!AX51&amp;");"</f>
        <v>Beacon.Put(132,0,0);</v>
      </c>
      <c r="D50" t="str">
        <f ca="1">"Beacon.Put(129,0,"&amp;E電入力!AY51&amp;");"</f>
        <v>Beacon.Put(129,0,0);</v>
      </c>
      <c r="E50" t="str">
        <f ca="1">"Beacon.Put(130,0,"&amp;E電入力!AZ51&amp;");"</f>
        <v>Beacon.Put(130,0,0);</v>
      </c>
      <c r="F50" t="str">
        <f>"Beacon.Put(133,0,"&amp;E電入力!BA51&amp;");"</f>
        <v>Beacon.Put(133,0,35);</v>
      </c>
      <c r="G50" t="str">
        <f>"Beacon.Put(131,0,"&amp;E電入力!BB51&amp;");"</f>
        <v>Beacon.Put(131,0,1);</v>
      </c>
      <c r="H50" t="str">
        <f>"Beacon.Put(128,0,"&amp;E電入力!BD51&amp;");"</f>
        <v>Beacon.Put(128,0,000000);</v>
      </c>
    </row>
    <row r="51" spans="1:8">
      <c r="A51" t="str">
        <f>E電入力!C52&amp;"-25;"</f>
        <v>-25;</v>
      </c>
      <c r="B51" t="str">
        <f ca="1">"Beacon.Put(134,0,"&amp;E電入力!AW52&amp;");"</f>
        <v>Beacon.Put(134,0,0);</v>
      </c>
      <c r="C51" t="str">
        <f ca="1">"Beacon.Put(132,0,"&amp;E電入力!AX52&amp;");"</f>
        <v>Beacon.Put(132,0,0);</v>
      </c>
      <c r="D51" t="str">
        <f ca="1">"Beacon.Put(129,0,"&amp;E電入力!AY52&amp;");"</f>
        <v>Beacon.Put(129,0,0);</v>
      </c>
      <c r="E51" t="str">
        <f ca="1">"Beacon.Put(130,0,"&amp;E電入力!AZ52&amp;");"</f>
        <v>Beacon.Put(130,0,0);</v>
      </c>
      <c r="F51" t="str">
        <f>"Beacon.Put(133,0,"&amp;E電入力!BA52&amp;");"</f>
        <v>Beacon.Put(133,0,35);</v>
      </c>
      <c r="G51" t="str">
        <f>"Beacon.Put(131,0,"&amp;E電入力!BB52&amp;");"</f>
        <v>Beacon.Put(131,0,1);</v>
      </c>
      <c r="H51" t="str">
        <f>"Beacon.Put(128,0,"&amp;E電入力!BD52&amp;");"</f>
        <v>Beacon.Put(128,0,000000);</v>
      </c>
    </row>
    <row r="52" spans="1:8">
      <c r="A52" t="str">
        <f>E電入力!C53&amp;"-25;"</f>
        <v>-25;</v>
      </c>
      <c r="B52" t="str">
        <f ca="1">"Beacon.Put(134,0,"&amp;E電入力!AW53&amp;");"</f>
        <v>Beacon.Put(134,0,0);</v>
      </c>
      <c r="C52" t="str">
        <f ca="1">"Beacon.Put(132,0,"&amp;E電入力!AX53&amp;");"</f>
        <v>Beacon.Put(132,0,0);</v>
      </c>
      <c r="D52" t="str">
        <f ca="1">"Beacon.Put(129,0,"&amp;E電入力!AY53&amp;");"</f>
        <v>Beacon.Put(129,0,0);</v>
      </c>
      <c r="E52" t="str">
        <f ca="1">"Beacon.Put(130,0,"&amp;E電入力!AZ53&amp;");"</f>
        <v>Beacon.Put(130,0,0);</v>
      </c>
      <c r="F52" t="str">
        <f>"Beacon.Put(133,0,"&amp;E電入力!BA53&amp;");"</f>
        <v>Beacon.Put(133,0,35);</v>
      </c>
      <c r="G52" t="str">
        <f>"Beacon.Put(131,0,"&amp;E電入力!BB53&amp;");"</f>
        <v>Beacon.Put(131,0,1);</v>
      </c>
      <c r="H52" t="str">
        <f>"Beacon.Put(128,0,"&amp;E電入力!BD53&amp;");"</f>
        <v>Beacon.Put(128,0,000000);</v>
      </c>
    </row>
    <row r="53" spans="1:8">
      <c r="A53" t="str">
        <f>E電入力!C54&amp;"-25;"</f>
        <v>-25;</v>
      </c>
      <c r="B53" t="str">
        <f ca="1">"Beacon.Put(134,0,"&amp;E電入力!AW54&amp;");"</f>
        <v>Beacon.Put(134,0,0);</v>
      </c>
      <c r="C53" t="str">
        <f ca="1">"Beacon.Put(132,0,"&amp;E電入力!AX54&amp;");"</f>
        <v>Beacon.Put(132,0,0);</v>
      </c>
      <c r="D53" t="str">
        <f ca="1">"Beacon.Put(129,0,"&amp;E電入力!AY54&amp;");"</f>
        <v>Beacon.Put(129,0,0);</v>
      </c>
      <c r="E53" t="str">
        <f ca="1">"Beacon.Put(130,0,"&amp;E電入力!AZ54&amp;");"</f>
        <v>Beacon.Put(130,0,0);</v>
      </c>
      <c r="F53" t="str">
        <f>"Beacon.Put(133,0,"&amp;E電入力!BA54&amp;");"</f>
        <v>Beacon.Put(133,0,35);</v>
      </c>
      <c r="G53" t="str">
        <f>"Beacon.Put(131,0,"&amp;E電入力!BB54&amp;");"</f>
        <v>Beacon.Put(131,0,1);</v>
      </c>
      <c r="H53" t="str">
        <f>"Beacon.Put(128,0,"&amp;E電入力!BD54&amp;");"</f>
        <v>Beacon.Put(128,0,000000);</v>
      </c>
    </row>
    <row r="54" spans="1:8">
      <c r="A54" t="str">
        <f>E電入力!C55&amp;"-25;"</f>
        <v>-25;</v>
      </c>
      <c r="B54" t="str">
        <f ca="1">"Beacon.Put(134,0,"&amp;E電入力!AW55&amp;");"</f>
        <v>Beacon.Put(134,0,0);</v>
      </c>
      <c r="C54" t="str">
        <f ca="1">"Beacon.Put(132,0,"&amp;E電入力!AX55&amp;");"</f>
        <v>Beacon.Put(132,0,0);</v>
      </c>
      <c r="D54" t="str">
        <f ca="1">"Beacon.Put(129,0,"&amp;E電入力!AY55&amp;");"</f>
        <v>Beacon.Put(129,0,0);</v>
      </c>
      <c r="E54" t="str">
        <f ca="1">"Beacon.Put(130,0,"&amp;E電入力!AZ55&amp;");"</f>
        <v>Beacon.Put(130,0,0);</v>
      </c>
      <c r="F54" t="str">
        <f>"Beacon.Put(133,0,"&amp;E電入力!BA55&amp;");"</f>
        <v>Beacon.Put(133,0,35);</v>
      </c>
      <c r="G54" t="str">
        <f>"Beacon.Put(131,0,"&amp;E電入力!BB55&amp;");"</f>
        <v>Beacon.Put(131,0,1);</v>
      </c>
      <c r="H54" t="str">
        <f>"Beacon.Put(128,0,"&amp;E電入力!BD55&amp;");"</f>
        <v>Beacon.Put(128,0,000000);</v>
      </c>
    </row>
    <row r="55" spans="1:8">
      <c r="A55" t="str">
        <f>E電入力!C56&amp;"-25;"</f>
        <v>-25;</v>
      </c>
      <c r="B55" t="str">
        <f ca="1">"Beacon.Put(134,0,"&amp;E電入力!AW56&amp;");"</f>
        <v>Beacon.Put(134,0,0);</v>
      </c>
      <c r="C55" t="str">
        <f ca="1">"Beacon.Put(132,0,"&amp;E電入力!AX56&amp;");"</f>
        <v>Beacon.Put(132,0,0);</v>
      </c>
      <c r="D55" t="str">
        <f ca="1">"Beacon.Put(129,0,"&amp;E電入力!AY56&amp;");"</f>
        <v>Beacon.Put(129,0,0);</v>
      </c>
      <c r="E55" t="str">
        <f ca="1">"Beacon.Put(130,0,"&amp;E電入力!AZ56&amp;");"</f>
        <v>Beacon.Put(130,0,0);</v>
      </c>
      <c r="F55" t="str">
        <f>"Beacon.Put(133,0,"&amp;E電入力!BA56&amp;");"</f>
        <v>Beacon.Put(133,0,35);</v>
      </c>
      <c r="G55" t="str">
        <f>"Beacon.Put(131,0,"&amp;E電入力!BB56&amp;");"</f>
        <v>Beacon.Put(131,0,1);</v>
      </c>
      <c r="H55" t="str">
        <f>"Beacon.Put(128,0,"&amp;E電入力!BD56&amp;");"</f>
        <v>Beacon.Put(128,0,000000);</v>
      </c>
    </row>
    <row r="56" spans="1:8">
      <c r="A56" t="str">
        <f>E電入力!C57&amp;"-25;"</f>
        <v>-25;</v>
      </c>
      <c r="B56" t="str">
        <f ca="1">"Beacon.Put(134,0,"&amp;E電入力!AW57&amp;");"</f>
        <v>Beacon.Put(134,0,0);</v>
      </c>
      <c r="C56" t="str">
        <f ca="1">"Beacon.Put(132,0,"&amp;E電入力!AX57&amp;");"</f>
        <v>Beacon.Put(132,0,0);</v>
      </c>
      <c r="D56" t="str">
        <f ca="1">"Beacon.Put(129,0,"&amp;E電入力!AY57&amp;");"</f>
        <v>Beacon.Put(129,0,0);</v>
      </c>
      <c r="E56" t="str">
        <f ca="1">"Beacon.Put(130,0,"&amp;E電入力!AZ57&amp;");"</f>
        <v>Beacon.Put(130,0,0);</v>
      </c>
      <c r="F56" t="str">
        <f>"Beacon.Put(133,0,"&amp;E電入力!BA57&amp;");"</f>
        <v>Beacon.Put(133,0,35);</v>
      </c>
      <c r="G56" t="str">
        <f>"Beacon.Put(131,0,"&amp;E電入力!BB57&amp;");"</f>
        <v>Beacon.Put(131,0,1);</v>
      </c>
      <c r="H56" t="str">
        <f>"Beacon.Put(128,0,"&amp;E電入力!BD57&amp;");"</f>
        <v>Beacon.Put(128,0,000000);</v>
      </c>
    </row>
    <row r="57" spans="1:8">
      <c r="A57" t="str">
        <f>E電入力!C58&amp;"-25;"</f>
        <v>-25;</v>
      </c>
      <c r="B57" t="str">
        <f ca="1">"Beacon.Put(134,0,"&amp;E電入力!AW58&amp;");"</f>
        <v>Beacon.Put(134,0,0);</v>
      </c>
      <c r="C57" t="str">
        <f ca="1">"Beacon.Put(132,0,"&amp;E電入力!AX58&amp;");"</f>
        <v>Beacon.Put(132,0,0);</v>
      </c>
      <c r="D57" t="str">
        <f ca="1">"Beacon.Put(129,0,"&amp;E電入力!AY58&amp;");"</f>
        <v>Beacon.Put(129,0,0);</v>
      </c>
      <c r="E57" t="str">
        <f ca="1">"Beacon.Put(130,0,"&amp;E電入力!AZ58&amp;");"</f>
        <v>Beacon.Put(130,0,0);</v>
      </c>
      <c r="F57" t="str">
        <f>"Beacon.Put(133,0,"&amp;E電入力!BA58&amp;");"</f>
        <v>Beacon.Put(133,0,35);</v>
      </c>
      <c r="G57" t="str">
        <f>"Beacon.Put(131,0,"&amp;E電入力!BB58&amp;");"</f>
        <v>Beacon.Put(131,0,1);</v>
      </c>
      <c r="H57" t="str">
        <f>"Beacon.Put(128,0,"&amp;E電入力!BD58&amp;");"</f>
        <v>Beacon.Put(128,0,000000);</v>
      </c>
    </row>
    <row r="58" spans="1:8">
      <c r="A58" t="str">
        <f>E電入力!C59&amp;"-25;"</f>
        <v>-25;</v>
      </c>
      <c r="B58" t="str">
        <f ca="1">"Beacon.Put(134,0,"&amp;E電入力!AW59&amp;");"</f>
        <v>Beacon.Put(134,0,0);</v>
      </c>
      <c r="C58" t="str">
        <f ca="1">"Beacon.Put(132,0,"&amp;E電入力!AX59&amp;");"</f>
        <v>Beacon.Put(132,0,0);</v>
      </c>
      <c r="D58" t="str">
        <f ca="1">"Beacon.Put(129,0,"&amp;E電入力!AY59&amp;");"</f>
        <v>Beacon.Put(129,0,0);</v>
      </c>
      <c r="E58" t="str">
        <f ca="1">"Beacon.Put(130,0,"&amp;E電入力!AZ59&amp;");"</f>
        <v>Beacon.Put(130,0,0);</v>
      </c>
      <c r="F58" t="str">
        <f>"Beacon.Put(133,0,"&amp;E電入力!BA59&amp;");"</f>
        <v>Beacon.Put(133,0,35);</v>
      </c>
      <c r="G58" t="str">
        <f>"Beacon.Put(131,0,"&amp;E電入力!BB59&amp;");"</f>
        <v>Beacon.Put(131,0,1);</v>
      </c>
      <c r="H58" t="str">
        <f>"Beacon.Put(128,0,"&amp;E電入力!BD59&amp;");"</f>
        <v>Beacon.Put(128,0,000000);</v>
      </c>
    </row>
    <row r="59" spans="1:8">
      <c r="A59" t="str">
        <f>E電入力!C60&amp;"-25;"</f>
        <v>-25;</v>
      </c>
      <c r="B59" t="str">
        <f ca="1">"Beacon.Put(134,0,"&amp;E電入力!AW60&amp;");"</f>
        <v>Beacon.Put(134,0,0);</v>
      </c>
      <c r="C59" t="str">
        <f ca="1">"Beacon.Put(132,0,"&amp;E電入力!AX60&amp;");"</f>
        <v>Beacon.Put(132,0,0);</v>
      </c>
      <c r="D59" t="str">
        <f ca="1">"Beacon.Put(129,0,"&amp;E電入力!AY60&amp;");"</f>
        <v>Beacon.Put(129,0,0);</v>
      </c>
      <c r="E59" t="str">
        <f ca="1">"Beacon.Put(130,0,"&amp;E電入力!AZ60&amp;");"</f>
        <v>Beacon.Put(130,0,0);</v>
      </c>
      <c r="F59" t="str">
        <f>"Beacon.Put(133,0,"&amp;E電入力!BA60&amp;");"</f>
        <v>Beacon.Put(133,0,35);</v>
      </c>
      <c r="G59" t="str">
        <f>"Beacon.Put(131,0,"&amp;E電入力!BB60&amp;");"</f>
        <v>Beacon.Put(131,0,1);</v>
      </c>
      <c r="H59" t="str">
        <f>"Beacon.Put(128,0,"&amp;E電入力!BD60&amp;");"</f>
        <v>Beacon.Put(128,0,000000);</v>
      </c>
    </row>
    <row r="60" spans="1:8">
      <c r="A60" t="str">
        <f>E電入力!C61&amp;"-25;"</f>
        <v>-25;</v>
      </c>
      <c r="B60" t="str">
        <f ca="1">"Beacon.Put(134,0,"&amp;E電入力!AW61&amp;");"</f>
        <v>Beacon.Put(134,0,0);</v>
      </c>
      <c r="C60" t="str">
        <f ca="1">"Beacon.Put(132,0,"&amp;E電入力!AX61&amp;");"</f>
        <v>Beacon.Put(132,0,0);</v>
      </c>
      <c r="D60" t="str">
        <f ca="1">"Beacon.Put(129,0,"&amp;E電入力!AY61&amp;");"</f>
        <v>Beacon.Put(129,0,0);</v>
      </c>
      <c r="E60" t="str">
        <f ca="1">"Beacon.Put(130,0,"&amp;E電入力!AZ61&amp;");"</f>
        <v>Beacon.Put(130,0,0);</v>
      </c>
      <c r="F60" t="str">
        <f>"Beacon.Put(133,0,"&amp;E電入力!BA61&amp;");"</f>
        <v>Beacon.Put(133,0,35);</v>
      </c>
      <c r="G60" t="str">
        <f>"Beacon.Put(131,0,"&amp;E電入力!BB61&amp;");"</f>
        <v>Beacon.Put(131,0,1);</v>
      </c>
      <c r="H60" t="str">
        <f>"Beacon.Put(128,0,"&amp;E電入力!BD61&amp;");"</f>
        <v>Beacon.Put(128,0,000000);</v>
      </c>
    </row>
    <row r="61" spans="1:8">
      <c r="A61" t="str">
        <f>E電入力!C62&amp;"-25;"</f>
        <v>-25;</v>
      </c>
      <c r="B61" t="str">
        <f ca="1">"Beacon.Put(134,0,"&amp;E電入力!AW62&amp;");"</f>
        <v>Beacon.Put(134,0,0);</v>
      </c>
      <c r="C61" t="str">
        <f ca="1">"Beacon.Put(132,0,"&amp;E電入力!AX62&amp;");"</f>
        <v>Beacon.Put(132,0,0);</v>
      </c>
      <c r="D61" t="str">
        <f ca="1">"Beacon.Put(129,0,"&amp;E電入力!AY62&amp;");"</f>
        <v>Beacon.Put(129,0,0);</v>
      </c>
      <c r="E61" t="str">
        <f ca="1">"Beacon.Put(130,0,"&amp;E電入力!AZ62&amp;");"</f>
        <v>Beacon.Put(130,0,0);</v>
      </c>
      <c r="F61" t="str">
        <f>"Beacon.Put(133,0,"&amp;E電入力!BA62&amp;");"</f>
        <v>Beacon.Put(133,0,35);</v>
      </c>
      <c r="G61" t="str">
        <f>"Beacon.Put(131,0,"&amp;E電入力!BB62&amp;");"</f>
        <v>Beacon.Put(131,0,1);</v>
      </c>
      <c r="H61" t="str">
        <f>"Beacon.Put(128,0,"&amp;E電入力!BD62&amp;");"</f>
        <v>Beacon.Put(128,0,000000);</v>
      </c>
    </row>
    <row r="62" spans="1:8">
      <c r="A62" t="str">
        <f>E電入力!C63&amp;"-25;"</f>
        <v>-25;</v>
      </c>
      <c r="B62" t="str">
        <f ca="1">"Beacon.Put(134,0,"&amp;E電入力!AW63&amp;");"</f>
        <v>Beacon.Put(134,0,0);</v>
      </c>
      <c r="C62" t="str">
        <f ca="1">"Beacon.Put(132,0,"&amp;E電入力!AX63&amp;");"</f>
        <v>Beacon.Put(132,0,0);</v>
      </c>
      <c r="D62" t="str">
        <f ca="1">"Beacon.Put(129,0,"&amp;E電入力!AY63&amp;");"</f>
        <v>Beacon.Put(129,0,0);</v>
      </c>
      <c r="E62" t="str">
        <f ca="1">"Beacon.Put(130,0,"&amp;E電入力!AZ63&amp;");"</f>
        <v>Beacon.Put(130,0,0);</v>
      </c>
      <c r="F62" t="str">
        <f>"Beacon.Put(133,0,"&amp;E電入力!BA63&amp;");"</f>
        <v>Beacon.Put(133,0,35);</v>
      </c>
      <c r="G62" t="str">
        <f>"Beacon.Put(131,0,"&amp;E電入力!BB63&amp;");"</f>
        <v>Beacon.Put(131,0,1);</v>
      </c>
      <c r="H62" t="str">
        <f>"Beacon.Put(128,0,"&amp;E電入力!BD63&amp;");"</f>
        <v>Beacon.Put(128,0,000000);</v>
      </c>
    </row>
    <row r="63" spans="1:8">
      <c r="A63" t="str">
        <f>E電入力!C64&amp;"-25;"</f>
        <v>-25;</v>
      </c>
      <c r="B63" t="str">
        <f ca="1">"Beacon.Put(134,0,"&amp;E電入力!AW64&amp;");"</f>
        <v>Beacon.Put(134,0,0);</v>
      </c>
      <c r="C63" t="str">
        <f ca="1">"Beacon.Put(132,0,"&amp;E電入力!AX64&amp;");"</f>
        <v>Beacon.Put(132,0,0);</v>
      </c>
      <c r="D63" t="str">
        <f ca="1">"Beacon.Put(129,0,"&amp;E電入力!AY64&amp;");"</f>
        <v>Beacon.Put(129,0,0);</v>
      </c>
      <c r="E63" t="str">
        <f ca="1">"Beacon.Put(130,0,"&amp;E電入力!AZ64&amp;");"</f>
        <v>Beacon.Put(130,0,0);</v>
      </c>
      <c r="F63" t="str">
        <f>"Beacon.Put(133,0,"&amp;E電入力!BA64&amp;");"</f>
        <v>Beacon.Put(133,0,35);</v>
      </c>
      <c r="G63" t="str">
        <f>"Beacon.Put(131,0,"&amp;E電入力!BB64&amp;");"</f>
        <v>Beacon.Put(131,0,1);</v>
      </c>
      <c r="H63" t="str">
        <f>"Beacon.Put(128,0,"&amp;E電入力!BD64&amp;");"</f>
        <v>Beacon.Put(128,0,000000);</v>
      </c>
    </row>
    <row r="64" spans="1:8">
      <c r="A64" t="str">
        <f>E電入力!C65&amp;"-25;"</f>
        <v>-25;</v>
      </c>
      <c r="B64" t="str">
        <f ca="1">"Beacon.Put(134,0,"&amp;E電入力!AW65&amp;");"</f>
        <v>Beacon.Put(134,0,0);</v>
      </c>
      <c r="C64" t="str">
        <f ca="1">"Beacon.Put(132,0,"&amp;E電入力!AX65&amp;");"</f>
        <v>Beacon.Put(132,0,0);</v>
      </c>
      <c r="D64" t="str">
        <f ca="1">"Beacon.Put(129,0,"&amp;E電入力!AY65&amp;");"</f>
        <v>Beacon.Put(129,0,0);</v>
      </c>
      <c r="E64" t="str">
        <f ca="1">"Beacon.Put(130,0,"&amp;E電入力!AZ65&amp;");"</f>
        <v>Beacon.Put(130,0,0);</v>
      </c>
      <c r="F64" t="str">
        <f>"Beacon.Put(133,0,"&amp;E電入力!BA65&amp;");"</f>
        <v>Beacon.Put(133,0,35);</v>
      </c>
      <c r="G64" t="str">
        <f>"Beacon.Put(131,0,"&amp;E電入力!BB65&amp;");"</f>
        <v>Beacon.Put(131,0,1);</v>
      </c>
      <c r="H64" t="str">
        <f>"Beacon.Put(128,0,"&amp;E電入力!BD65&amp;");"</f>
        <v>Beacon.Put(128,0,000000);</v>
      </c>
    </row>
    <row r="65" spans="1:8">
      <c r="A65" t="str">
        <f>E電入力!C66&amp;"-25;"</f>
        <v>-25;</v>
      </c>
      <c r="B65" t="str">
        <f ca="1">"Beacon.Put(134,0,"&amp;E電入力!AW66&amp;");"</f>
        <v>Beacon.Put(134,0,0);</v>
      </c>
      <c r="C65" t="str">
        <f ca="1">"Beacon.Put(132,0,"&amp;E電入力!AX66&amp;");"</f>
        <v>Beacon.Put(132,0,0);</v>
      </c>
      <c r="D65" t="str">
        <f ca="1">"Beacon.Put(129,0,"&amp;E電入力!AY66&amp;");"</f>
        <v>Beacon.Put(129,0,0);</v>
      </c>
      <c r="E65" t="str">
        <f ca="1">"Beacon.Put(130,0,"&amp;E電入力!AZ66&amp;");"</f>
        <v>Beacon.Put(130,0,0);</v>
      </c>
      <c r="F65" t="str">
        <f>"Beacon.Put(133,0,"&amp;E電入力!BA66&amp;");"</f>
        <v>Beacon.Put(133,0,35);</v>
      </c>
      <c r="G65" t="str">
        <f>"Beacon.Put(131,0,"&amp;E電入力!BB66&amp;");"</f>
        <v>Beacon.Put(131,0,1);</v>
      </c>
      <c r="H65" t="str">
        <f>"Beacon.Put(128,0,"&amp;E電入力!BD66&amp;");"</f>
        <v>Beacon.Put(128,0,000000);</v>
      </c>
    </row>
    <row r="66" spans="1:8">
      <c r="A66" t="str">
        <f>E電入力!C67&amp;"-25;"</f>
        <v>-25;</v>
      </c>
      <c r="B66" t="str">
        <f ca="1">"Beacon.Put(134,0,"&amp;E電入力!AW67&amp;");"</f>
        <v>Beacon.Put(134,0,0);</v>
      </c>
      <c r="C66" t="str">
        <f ca="1">"Beacon.Put(132,0,"&amp;E電入力!AX67&amp;");"</f>
        <v>Beacon.Put(132,0,0);</v>
      </c>
      <c r="D66" t="str">
        <f ca="1">"Beacon.Put(129,0,"&amp;E電入力!AY67&amp;");"</f>
        <v>Beacon.Put(129,0,0);</v>
      </c>
      <c r="E66" t="str">
        <f ca="1">"Beacon.Put(130,0,"&amp;E電入力!AZ67&amp;");"</f>
        <v>Beacon.Put(130,0,0);</v>
      </c>
      <c r="F66" t="str">
        <f>"Beacon.Put(133,0,"&amp;E電入力!BA67&amp;");"</f>
        <v>Beacon.Put(133,0,35);</v>
      </c>
      <c r="G66" t="str">
        <f>"Beacon.Put(131,0,"&amp;E電入力!BB67&amp;");"</f>
        <v>Beacon.Put(131,0,1);</v>
      </c>
      <c r="H66" t="str">
        <f>"Beacon.Put(128,0,"&amp;E電入力!BD67&amp;");"</f>
        <v>Beacon.Put(128,0,000000);</v>
      </c>
    </row>
    <row r="67" spans="1:8">
      <c r="A67" t="str">
        <f>E電入力!C68&amp;"-25;"</f>
        <v>-25;</v>
      </c>
      <c r="B67" t="str">
        <f ca="1">"Beacon.Put(134,0,"&amp;E電入力!AW68&amp;");"</f>
        <v>Beacon.Put(134,0,0);</v>
      </c>
      <c r="C67" t="str">
        <f ca="1">"Beacon.Put(132,0,"&amp;E電入力!AX68&amp;");"</f>
        <v>Beacon.Put(132,0,0);</v>
      </c>
      <c r="D67" t="str">
        <f ca="1">"Beacon.Put(129,0,"&amp;E電入力!AY68&amp;");"</f>
        <v>Beacon.Put(129,0,0);</v>
      </c>
      <c r="E67" t="str">
        <f ca="1">"Beacon.Put(130,0,"&amp;E電入力!AZ68&amp;");"</f>
        <v>Beacon.Put(130,0,0);</v>
      </c>
      <c r="F67" t="str">
        <f>"Beacon.Put(133,0,"&amp;E電入力!BA68&amp;");"</f>
        <v>Beacon.Put(133,0,35);</v>
      </c>
      <c r="G67" t="str">
        <f>"Beacon.Put(131,0,"&amp;E電入力!BB68&amp;");"</f>
        <v>Beacon.Put(131,0,1);</v>
      </c>
      <c r="H67" t="str">
        <f>"Beacon.Put(128,0,"&amp;E電入力!BD68&amp;");"</f>
        <v>Beacon.Put(128,0,000000);</v>
      </c>
    </row>
    <row r="68" spans="1:8">
      <c r="A68" t="str">
        <f>E電入力!C69&amp;"-25;"</f>
        <v>-25;</v>
      </c>
      <c r="B68" t="str">
        <f ca="1">"Beacon.Put(134,0,"&amp;E電入力!AW69&amp;");"</f>
        <v>Beacon.Put(134,0,0);</v>
      </c>
      <c r="C68" t="str">
        <f ca="1">"Beacon.Put(132,0,"&amp;E電入力!AX69&amp;");"</f>
        <v>Beacon.Put(132,0,0);</v>
      </c>
      <c r="D68" t="str">
        <f ca="1">"Beacon.Put(129,0,"&amp;E電入力!AY69&amp;");"</f>
        <v>Beacon.Put(129,0,0);</v>
      </c>
      <c r="E68" t="str">
        <f ca="1">"Beacon.Put(130,0,"&amp;E電入力!AZ69&amp;");"</f>
        <v>Beacon.Put(130,0,0);</v>
      </c>
      <c r="F68" t="str">
        <f>"Beacon.Put(133,0,"&amp;E電入力!BA69&amp;");"</f>
        <v>Beacon.Put(133,0,35);</v>
      </c>
      <c r="G68" t="str">
        <f>"Beacon.Put(131,0,"&amp;E電入力!BB69&amp;");"</f>
        <v>Beacon.Put(131,0,1);</v>
      </c>
      <c r="H68" t="str">
        <f>"Beacon.Put(128,0,"&amp;E電入力!BD69&amp;");"</f>
        <v>Beacon.Put(128,0,000000);</v>
      </c>
    </row>
    <row r="69" spans="1:8">
      <c r="A69" t="str">
        <f>E電入力!C70&amp;"-25;"</f>
        <v>-25;</v>
      </c>
      <c r="B69" t="str">
        <f ca="1">"Beacon.Put(134,0,"&amp;E電入力!AW70&amp;");"</f>
        <v>Beacon.Put(134,0,0);</v>
      </c>
      <c r="C69" t="str">
        <f ca="1">"Beacon.Put(132,0,"&amp;E電入力!AX70&amp;");"</f>
        <v>Beacon.Put(132,0,0);</v>
      </c>
      <c r="D69" t="str">
        <f ca="1">"Beacon.Put(129,0,"&amp;E電入力!AY70&amp;");"</f>
        <v>Beacon.Put(129,0,0);</v>
      </c>
      <c r="E69" t="str">
        <f ca="1">"Beacon.Put(130,0,"&amp;E電入力!AZ70&amp;");"</f>
        <v>Beacon.Put(130,0,0);</v>
      </c>
      <c r="F69" t="str">
        <f>"Beacon.Put(133,0,"&amp;E電入力!BA70&amp;");"</f>
        <v>Beacon.Put(133,0,35);</v>
      </c>
      <c r="G69" t="str">
        <f>"Beacon.Put(131,0,"&amp;E電入力!BB70&amp;");"</f>
        <v>Beacon.Put(131,0,1);</v>
      </c>
      <c r="H69" t="str">
        <f>"Beacon.Put(128,0,"&amp;E電入力!BD70&amp;");"</f>
        <v>Beacon.Put(128,0,000000);</v>
      </c>
    </row>
    <row r="70" spans="1:8">
      <c r="A70" t="str">
        <f>E電入力!C71&amp;"-25;"</f>
        <v>-25;</v>
      </c>
      <c r="B70" t="str">
        <f ca="1">"Beacon.Put(134,0,"&amp;E電入力!AW71&amp;");"</f>
        <v>Beacon.Put(134,0,0);</v>
      </c>
      <c r="C70" t="str">
        <f ca="1">"Beacon.Put(132,0,"&amp;E電入力!AX71&amp;");"</f>
        <v>Beacon.Put(132,0,0);</v>
      </c>
      <c r="D70" t="str">
        <f ca="1">"Beacon.Put(129,0,"&amp;E電入力!AY71&amp;");"</f>
        <v>Beacon.Put(129,0,0);</v>
      </c>
      <c r="E70" t="str">
        <f ca="1">"Beacon.Put(130,0,"&amp;E電入力!AZ71&amp;");"</f>
        <v>Beacon.Put(130,0,0);</v>
      </c>
      <c r="F70" t="str">
        <f>"Beacon.Put(133,0,"&amp;E電入力!BA71&amp;");"</f>
        <v>Beacon.Put(133,0,35);</v>
      </c>
      <c r="G70" t="str">
        <f>"Beacon.Put(131,0,"&amp;E電入力!BB71&amp;");"</f>
        <v>Beacon.Put(131,0,1);</v>
      </c>
      <c r="H70" t="str">
        <f>"Beacon.Put(128,0,"&amp;E電入力!BD71&amp;");"</f>
        <v>Beacon.Put(128,0,000000);</v>
      </c>
    </row>
    <row r="71" spans="1:8">
      <c r="A71" t="str">
        <f>E電入力!C72&amp;"-25;"</f>
        <v>-25;</v>
      </c>
      <c r="B71" t="str">
        <f ca="1">"Beacon.Put(134,0,"&amp;E電入力!AW72&amp;");"</f>
        <v>Beacon.Put(134,0,0);</v>
      </c>
      <c r="C71" t="str">
        <f ca="1">"Beacon.Put(132,0,"&amp;E電入力!AX72&amp;");"</f>
        <v>Beacon.Put(132,0,0);</v>
      </c>
      <c r="D71" t="str">
        <f ca="1">"Beacon.Put(129,0,"&amp;E電入力!AY72&amp;");"</f>
        <v>Beacon.Put(129,0,0);</v>
      </c>
      <c r="E71" t="str">
        <f ca="1">"Beacon.Put(130,0,"&amp;E電入力!AZ72&amp;");"</f>
        <v>Beacon.Put(130,0,0);</v>
      </c>
      <c r="F71" t="str">
        <f>"Beacon.Put(133,0,"&amp;E電入力!BA72&amp;");"</f>
        <v>Beacon.Put(133,0,35);</v>
      </c>
      <c r="G71" t="str">
        <f>"Beacon.Put(131,0,"&amp;E電入力!BB72&amp;");"</f>
        <v>Beacon.Put(131,0,1);</v>
      </c>
      <c r="H71" t="str">
        <f>"Beacon.Put(128,0,"&amp;E電入力!BD72&amp;");"</f>
        <v>Beacon.Put(128,0,000000);</v>
      </c>
    </row>
    <row r="72" spans="1:8">
      <c r="A72" t="str">
        <f>E電入力!C73&amp;"-25;"</f>
        <v>-25;</v>
      </c>
      <c r="B72" t="str">
        <f ca="1">"Beacon.Put(134,0,"&amp;E電入力!AW73&amp;");"</f>
        <v>Beacon.Put(134,0,0);</v>
      </c>
      <c r="C72" t="str">
        <f ca="1">"Beacon.Put(132,0,"&amp;E電入力!AX73&amp;");"</f>
        <v>Beacon.Put(132,0,0);</v>
      </c>
      <c r="D72" t="str">
        <f ca="1">"Beacon.Put(129,0,"&amp;E電入力!AY73&amp;");"</f>
        <v>Beacon.Put(129,0,0);</v>
      </c>
      <c r="E72" t="str">
        <f ca="1">"Beacon.Put(130,0,"&amp;E電入力!AZ73&amp;");"</f>
        <v>Beacon.Put(130,0,0);</v>
      </c>
      <c r="F72" t="str">
        <f>"Beacon.Put(133,0,"&amp;E電入力!BA73&amp;");"</f>
        <v>Beacon.Put(133,0,35);</v>
      </c>
      <c r="G72" t="str">
        <f>"Beacon.Put(131,0,"&amp;E電入力!BB73&amp;");"</f>
        <v>Beacon.Put(131,0,1);</v>
      </c>
      <c r="H72" t="str">
        <f>"Beacon.Put(128,0,"&amp;E電入力!BD73&amp;");"</f>
        <v>Beacon.Put(128,0,000000);</v>
      </c>
    </row>
    <row r="73" spans="1:8">
      <c r="A73" t="str">
        <f>E電入力!C74&amp;"-25;"</f>
        <v>-25;</v>
      </c>
      <c r="B73" t="str">
        <f ca="1">"Beacon.Put(134,0,"&amp;E電入力!AW74&amp;");"</f>
        <v>Beacon.Put(134,0,0);</v>
      </c>
      <c r="C73" t="str">
        <f ca="1">"Beacon.Put(132,0,"&amp;E電入力!AX74&amp;");"</f>
        <v>Beacon.Put(132,0,0);</v>
      </c>
      <c r="D73" t="str">
        <f ca="1">"Beacon.Put(129,0,"&amp;E電入力!AY74&amp;");"</f>
        <v>Beacon.Put(129,0,0);</v>
      </c>
      <c r="E73" t="str">
        <f ca="1">"Beacon.Put(130,0,"&amp;E電入力!AZ74&amp;");"</f>
        <v>Beacon.Put(130,0,0);</v>
      </c>
      <c r="F73" t="str">
        <f>"Beacon.Put(133,0,"&amp;E電入力!BA74&amp;");"</f>
        <v>Beacon.Put(133,0,35);</v>
      </c>
      <c r="G73" t="str">
        <f>"Beacon.Put(131,0,"&amp;E電入力!BB74&amp;");"</f>
        <v>Beacon.Put(131,0,1);</v>
      </c>
      <c r="H73" t="str">
        <f>"Beacon.Put(128,0,"&amp;E電入力!BD74&amp;");"</f>
        <v>Beacon.Put(128,0,000000);</v>
      </c>
    </row>
    <row r="74" spans="1:8">
      <c r="A74" t="str">
        <f>E電入力!C75&amp;"-25;"</f>
        <v>-25;</v>
      </c>
      <c r="B74" t="str">
        <f ca="1">"Beacon.Put(134,0,"&amp;E電入力!AW75&amp;");"</f>
        <v>Beacon.Put(134,0,0);</v>
      </c>
      <c r="C74" t="str">
        <f ca="1">"Beacon.Put(132,0,"&amp;E電入力!AX75&amp;");"</f>
        <v>Beacon.Put(132,0,0);</v>
      </c>
      <c r="D74" t="str">
        <f ca="1">"Beacon.Put(129,0,"&amp;E電入力!AY75&amp;");"</f>
        <v>Beacon.Put(129,0,0);</v>
      </c>
      <c r="E74" t="str">
        <f ca="1">"Beacon.Put(130,0,"&amp;E電入力!AZ75&amp;");"</f>
        <v>Beacon.Put(130,0,0);</v>
      </c>
      <c r="F74" t="str">
        <f>"Beacon.Put(133,0,"&amp;E電入力!BA75&amp;");"</f>
        <v>Beacon.Put(133,0,35);</v>
      </c>
      <c r="G74" t="str">
        <f>"Beacon.Put(131,0,"&amp;E電入力!BB75&amp;");"</f>
        <v>Beacon.Put(131,0,1);</v>
      </c>
      <c r="H74" t="str">
        <f>"Beacon.Put(128,0,"&amp;E電入力!BD75&amp;");"</f>
        <v>Beacon.Put(128,0,000000);</v>
      </c>
    </row>
    <row r="75" spans="1:8">
      <c r="A75" t="str">
        <f>E電入力!C76&amp;"-25;"</f>
        <v>-25;</v>
      </c>
      <c r="B75" t="str">
        <f ca="1">"Beacon.Put(134,0,"&amp;E電入力!AW76&amp;");"</f>
        <v>Beacon.Put(134,0,0);</v>
      </c>
      <c r="C75" t="str">
        <f ca="1">"Beacon.Put(132,0,"&amp;E電入力!AX76&amp;");"</f>
        <v>Beacon.Put(132,0,0);</v>
      </c>
      <c r="D75" t="str">
        <f ca="1">"Beacon.Put(129,0,"&amp;E電入力!AY76&amp;");"</f>
        <v>Beacon.Put(129,0,0);</v>
      </c>
      <c r="E75" t="str">
        <f ca="1">"Beacon.Put(130,0,"&amp;E電入力!AZ76&amp;");"</f>
        <v>Beacon.Put(130,0,0);</v>
      </c>
      <c r="F75" t="str">
        <f>"Beacon.Put(133,0,"&amp;E電入力!BA76&amp;");"</f>
        <v>Beacon.Put(133,0,35);</v>
      </c>
      <c r="G75" t="str">
        <f>"Beacon.Put(131,0,"&amp;E電入力!BB76&amp;");"</f>
        <v>Beacon.Put(131,0,1);</v>
      </c>
      <c r="H75" t="str">
        <f>"Beacon.Put(128,0,"&amp;E電入力!BD76&amp;");"</f>
        <v>Beacon.Put(128,0,000000);</v>
      </c>
    </row>
    <row r="76" spans="1:8">
      <c r="A76" t="str">
        <f>E電入力!C77&amp;"-25;"</f>
        <v>-25;</v>
      </c>
      <c r="B76" t="str">
        <f ca="1">"Beacon.Put(134,0,"&amp;E電入力!AW77&amp;");"</f>
        <v>Beacon.Put(134,0,0);</v>
      </c>
      <c r="C76" t="str">
        <f ca="1">"Beacon.Put(132,0,"&amp;E電入力!AX77&amp;");"</f>
        <v>Beacon.Put(132,0,0);</v>
      </c>
      <c r="D76" t="str">
        <f ca="1">"Beacon.Put(129,0,"&amp;E電入力!AY77&amp;");"</f>
        <v>Beacon.Put(129,0,0);</v>
      </c>
      <c r="E76" t="str">
        <f ca="1">"Beacon.Put(130,0,"&amp;E電入力!AZ77&amp;");"</f>
        <v>Beacon.Put(130,0,0);</v>
      </c>
      <c r="F76" t="str">
        <f>"Beacon.Put(133,0,"&amp;E電入力!BA77&amp;");"</f>
        <v>Beacon.Put(133,0,35);</v>
      </c>
      <c r="G76" t="str">
        <f>"Beacon.Put(131,0,"&amp;E電入力!BB77&amp;");"</f>
        <v>Beacon.Put(131,0,1);</v>
      </c>
      <c r="H76" t="str">
        <f>"Beacon.Put(128,0,"&amp;E電入力!BD77&amp;");"</f>
        <v>Beacon.Put(128,0,000000);</v>
      </c>
    </row>
    <row r="77" spans="1:8">
      <c r="A77" t="str">
        <f>E電入力!C78&amp;"-25;"</f>
        <v>-25;</v>
      </c>
      <c r="B77" t="str">
        <f ca="1">"Beacon.Put(134,0,"&amp;E電入力!AW78&amp;");"</f>
        <v>Beacon.Put(134,0,0);</v>
      </c>
      <c r="C77" t="str">
        <f ca="1">"Beacon.Put(132,0,"&amp;E電入力!AX78&amp;");"</f>
        <v>Beacon.Put(132,0,0);</v>
      </c>
      <c r="D77" t="str">
        <f ca="1">"Beacon.Put(129,0,"&amp;E電入力!AY78&amp;");"</f>
        <v>Beacon.Put(129,0,0);</v>
      </c>
      <c r="E77" t="str">
        <f ca="1">"Beacon.Put(130,0,"&amp;E電入力!AZ78&amp;");"</f>
        <v>Beacon.Put(130,0,0);</v>
      </c>
      <c r="F77" t="str">
        <f>"Beacon.Put(133,0,"&amp;E電入力!BA78&amp;");"</f>
        <v>Beacon.Put(133,0,35);</v>
      </c>
      <c r="G77" t="str">
        <f>"Beacon.Put(131,0,"&amp;E電入力!BB78&amp;");"</f>
        <v>Beacon.Put(131,0,1);</v>
      </c>
      <c r="H77" t="str">
        <f>"Beacon.Put(128,0,"&amp;E電入力!BD78&amp;");"</f>
        <v>Beacon.Put(128,0,000000);</v>
      </c>
    </row>
    <row r="78" spans="1:8">
      <c r="A78" t="str">
        <f>E電入力!C79&amp;"-25;"</f>
        <v>-25;</v>
      </c>
      <c r="B78" t="str">
        <f ca="1">"Beacon.Put(134,0,"&amp;E電入力!AW79&amp;");"</f>
        <v>Beacon.Put(134,0,0);</v>
      </c>
      <c r="C78" t="str">
        <f ca="1">"Beacon.Put(132,0,"&amp;E電入力!AX79&amp;");"</f>
        <v>Beacon.Put(132,0,0);</v>
      </c>
      <c r="D78" t="str">
        <f ca="1">"Beacon.Put(129,0,"&amp;E電入力!AY79&amp;");"</f>
        <v>Beacon.Put(129,0,0);</v>
      </c>
      <c r="E78" t="str">
        <f ca="1">"Beacon.Put(130,0,"&amp;E電入力!AZ79&amp;");"</f>
        <v>Beacon.Put(130,0,0);</v>
      </c>
      <c r="F78" t="str">
        <f>"Beacon.Put(133,0,"&amp;E電入力!BA79&amp;");"</f>
        <v>Beacon.Put(133,0,35);</v>
      </c>
      <c r="G78" t="str">
        <f>"Beacon.Put(131,0,"&amp;E電入力!BB79&amp;");"</f>
        <v>Beacon.Put(131,0,1);</v>
      </c>
      <c r="H78" t="str">
        <f>"Beacon.Put(128,0,"&amp;E電入力!BD79&amp;");"</f>
        <v>Beacon.Put(128,0,000000);</v>
      </c>
    </row>
    <row r="79" spans="1:8">
      <c r="A79" t="str">
        <f>E電入力!C80&amp;"-25;"</f>
        <v>-25;</v>
      </c>
      <c r="B79" t="str">
        <f ca="1">"Beacon.Put(134,0,"&amp;E電入力!AW80&amp;");"</f>
        <v>Beacon.Put(134,0,0);</v>
      </c>
      <c r="C79" t="str">
        <f ca="1">"Beacon.Put(132,0,"&amp;E電入力!AX80&amp;");"</f>
        <v>Beacon.Put(132,0,0);</v>
      </c>
      <c r="D79" t="str">
        <f ca="1">"Beacon.Put(129,0,"&amp;E電入力!AY80&amp;");"</f>
        <v>Beacon.Put(129,0,0);</v>
      </c>
      <c r="E79" t="str">
        <f ca="1">"Beacon.Put(130,0,"&amp;E電入力!AZ80&amp;");"</f>
        <v>Beacon.Put(130,0,0);</v>
      </c>
      <c r="F79" t="str">
        <f>"Beacon.Put(133,0,"&amp;E電入力!BA80&amp;");"</f>
        <v>Beacon.Put(133,0,35);</v>
      </c>
      <c r="G79" t="str">
        <f>"Beacon.Put(131,0,"&amp;E電入力!BB80&amp;");"</f>
        <v>Beacon.Put(131,0,1);</v>
      </c>
      <c r="H79" t="str">
        <f>"Beacon.Put(128,0,"&amp;E電入力!BD80&amp;");"</f>
        <v>Beacon.Put(128,0,000000);</v>
      </c>
    </row>
    <row r="80" spans="1:8">
      <c r="A80" t="str">
        <f>E電入力!C81&amp;"-25;"</f>
        <v>-25;</v>
      </c>
      <c r="B80" t="str">
        <f ca="1">"Beacon.Put(134,0,"&amp;E電入力!AW81&amp;");"</f>
        <v>Beacon.Put(134,0,0);</v>
      </c>
      <c r="C80" t="str">
        <f ca="1">"Beacon.Put(132,0,"&amp;E電入力!AX81&amp;");"</f>
        <v>Beacon.Put(132,0,0);</v>
      </c>
      <c r="D80" t="str">
        <f ca="1">"Beacon.Put(129,0,"&amp;E電入力!AY81&amp;");"</f>
        <v>Beacon.Put(129,0,0);</v>
      </c>
      <c r="E80" t="str">
        <f ca="1">"Beacon.Put(130,0,"&amp;E電入力!AZ81&amp;");"</f>
        <v>Beacon.Put(130,0,0);</v>
      </c>
      <c r="F80" t="str">
        <f>"Beacon.Put(133,0,"&amp;E電入力!BA81&amp;");"</f>
        <v>Beacon.Put(133,0,35);</v>
      </c>
      <c r="G80" t="str">
        <f>"Beacon.Put(131,0,"&amp;E電入力!BB81&amp;");"</f>
        <v>Beacon.Put(131,0,1);</v>
      </c>
      <c r="H80" t="str">
        <f>"Beacon.Put(128,0,"&amp;E電入力!BD81&amp;");"</f>
        <v>Beacon.Put(128,0,000000);</v>
      </c>
    </row>
    <row r="81" spans="1:8">
      <c r="A81" t="str">
        <f>E電入力!C82&amp;"-25;"</f>
        <v>-25;</v>
      </c>
      <c r="B81" t="str">
        <f ca="1">"Beacon.Put(134,0,"&amp;E電入力!AW82&amp;");"</f>
        <v>Beacon.Put(134,0,0);</v>
      </c>
      <c r="C81" t="str">
        <f ca="1">"Beacon.Put(132,0,"&amp;E電入力!AX82&amp;");"</f>
        <v>Beacon.Put(132,0,0);</v>
      </c>
      <c r="D81" t="str">
        <f ca="1">"Beacon.Put(129,0,"&amp;E電入力!AY82&amp;");"</f>
        <v>Beacon.Put(129,0,0);</v>
      </c>
      <c r="E81" t="str">
        <f ca="1">"Beacon.Put(130,0,"&amp;E電入力!AZ82&amp;");"</f>
        <v>Beacon.Put(130,0,0);</v>
      </c>
      <c r="F81" t="str">
        <f>"Beacon.Put(133,0,"&amp;E電入力!BA82&amp;");"</f>
        <v>Beacon.Put(133,0,35);</v>
      </c>
      <c r="G81" t="str">
        <f>"Beacon.Put(131,0,"&amp;E電入力!BB82&amp;");"</f>
        <v>Beacon.Put(131,0,1);</v>
      </c>
      <c r="H81" t="str">
        <f>"Beacon.Put(128,0,"&amp;E電入力!BD82&amp;");"</f>
        <v>Beacon.Put(128,0,000000);</v>
      </c>
    </row>
    <row r="82" spans="1:8">
      <c r="A82" t="str">
        <f>E電入力!C83&amp;"-25;"</f>
        <v>-25;</v>
      </c>
      <c r="B82" t="str">
        <f ca="1">"Beacon.Put(134,0,"&amp;E電入力!AW83&amp;");"</f>
        <v>Beacon.Put(134,0,0);</v>
      </c>
      <c r="C82" t="str">
        <f ca="1">"Beacon.Put(132,0,"&amp;E電入力!AX83&amp;");"</f>
        <v>Beacon.Put(132,0,0);</v>
      </c>
      <c r="D82" t="str">
        <f ca="1">"Beacon.Put(129,0,"&amp;E電入力!AY83&amp;");"</f>
        <v>Beacon.Put(129,0,0);</v>
      </c>
      <c r="E82" t="str">
        <f ca="1">"Beacon.Put(130,0,"&amp;E電入力!AZ83&amp;");"</f>
        <v>Beacon.Put(130,0,0);</v>
      </c>
      <c r="F82" t="str">
        <f>"Beacon.Put(133,0,"&amp;E電入力!BA83&amp;");"</f>
        <v>Beacon.Put(133,0,35);</v>
      </c>
      <c r="G82" t="str">
        <f>"Beacon.Put(131,0,"&amp;E電入力!BB83&amp;");"</f>
        <v>Beacon.Put(131,0,1);</v>
      </c>
      <c r="H82" t="str">
        <f>"Beacon.Put(128,0,"&amp;E電入力!BD83&amp;");"</f>
        <v>Beacon.Put(128,0,000000);</v>
      </c>
    </row>
    <row r="83" spans="1:8">
      <c r="A83" t="str">
        <f>E電入力!C84&amp;"-25;"</f>
        <v>-25;</v>
      </c>
      <c r="B83" t="str">
        <f ca="1">"Beacon.Put(134,0,"&amp;E電入力!AW84&amp;");"</f>
        <v>Beacon.Put(134,0,0);</v>
      </c>
      <c r="C83" t="str">
        <f ca="1">"Beacon.Put(132,0,"&amp;E電入力!AX84&amp;");"</f>
        <v>Beacon.Put(132,0,0);</v>
      </c>
      <c r="D83" t="str">
        <f ca="1">"Beacon.Put(129,0,"&amp;E電入力!AY84&amp;");"</f>
        <v>Beacon.Put(129,0,0);</v>
      </c>
      <c r="E83" t="str">
        <f ca="1">"Beacon.Put(130,0,"&amp;E電入力!AZ84&amp;");"</f>
        <v>Beacon.Put(130,0,0);</v>
      </c>
      <c r="F83" t="str">
        <f>"Beacon.Put(133,0,"&amp;E電入力!BA84&amp;");"</f>
        <v>Beacon.Put(133,0,35);</v>
      </c>
      <c r="G83" t="str">
        <f>"Beacon.Put(131,0,"&amp;E電入力!BB84&amp;");"</f>
        <v>Beacon.Put(131,0,1);</v>
      </c>
      <c r="H83" t="str">
        <f>"Beacon.Put(128,0,"&amp;E電入力!BD84&amp;");"</f>
        <v>Beacon.Put(128,0,000000);</v>
      </c>
    </row>
    <row r="84" spans="1:8">
      <c r="A84" t="str">
        <f>E電入力!C85&amp;"-25;"</f>
        <v>-25;</v>
      </c>
      <c r="B84" t="str">
        <f ca="1">"Beacon.Put(134,0,"&amp;E電入力!AW85&amp;");"</f>
        <v>Beacon.Put(134,0,0);</v>
      </c>
      <c r="C84" t="str">
        <f ca="1">"Beacon.Put(132,0,"&amp;E電入力!AX85&amp;");"</f>
        <v>Beacon.Put(132,0,0);</v>
      </c>
      <c r="D84" t="str">
        <f ca="1">"Beacon.Put(129,0,"&amp;E電入力!AY85&amp;");"</f>
        <v>Beacon.Put(129,0,0);</v>
      </c>
      <c r="E84" t="str">
        <f ca="1">"Beacon.Put(130,0,"&amp;E電入力!AZ85&amp;");"</f>
        <v>Beacon.Put(130,0,0);</v>
      </c>
      <c r="F84" t="str">
        <f>"Beacon.Put(133,0,"&amp;E電入力!BA85&amp;");"</f>
        <v>Beacon.Put(133,0,35);</v>
      </c>
      <c r="G84" t="str">
        <f>"Beacon.Put(131,0,"&amp;E電入力!BB85&amp;");"</f>
        <v>Beacon.Put(131,0,1);</v>
      </c>
      <c r="H84" t="str">
        <f>"Beacon.Put(128,0,"&amp;E電入力!BD85&amp;");"</f>
        <v>Beacon.Put(128,0,000000);</v>
      </c>
    </row>
    <row r="85" spans="1:8">
      <c r="A85" t="str">
        <f>E電入力!C86&amp;"-25;"</f>
        <v>-25;</v>
      </c>
      <c r="B85" t="str">
        <f ca="1">"Beacon.Put(134,0,"&amp;E電入力!AW86&amp;");"</f>
        <v>Beacon.Put(134,0,0);</v>
      </c>
      <c r="C85" t="str">
        <f ca="1">"Beacon.Put(132,0,"&amp;E電入力!AX86&amp;");"</f>
        <v>Beacon.Put(132,0,0);</v>
      </c>
      <c r="D85" t="str">
        <f ca="1">"Beacon.Put(129,0,"&amp;E電入力!AY86&amp;");"</f>
        <v>Beacon.Put(129,0,0);</v>
      </c>
      <c r="E85" t="str">
        <f ca="1">"Beacon.Put(130,0,"&amp;E電入力!AZ86&amp;");"</f>
        <v>Beacon.Put(130,0,0);</v>
      </c>
      <c r="F85" t="str">
        <f>"Beacon.Put(133,0,"&amp;E電入力!BA86&amp;");"</f>
        <v>Beacon.Put(133,0,35);</v>
      </c>
      <c r="G85" t="str">
        <f>"Beacon.Put(131,0,"&amp;E電入力!BB86&amp;");"</f>
        <v>Beacon.Put(131,0,1);</v>
      </c>
      <c r="H85" t="str">
        <f>"Beacon.Put(128,0,"&amp;E電入力!BD86&amp;");"</f>
        <v>Beacon.Put(128,0,000000);</v>
      </c>
    </row>
    <row r="86" spans="1:8">
      <c r="A86" t="str">
        <f>E電入力!C87&amp;"-25;"</f>
        <v>-25;</v>
      </c>
      <c r="B86" t="str">
        <f ca="1">"Beacon.Put(134,0,"&amp;E電入力!AW87&amp;");"</f>
        <v>Beacon.Put(134,0,0);</v>
      </c>
      <c r="C86" t="str">
        <f ca="1">"Beacon.Put(132,0,"&amp;E電入力!AX87&amp;");"</f>
        <v>Beacon.Put(132,0,0);</v>
      </c>
      <c r="D86" t="str">
        <f ca="1">"Beacon.Put(129,0,"&amp;E電入力!AY87&amp;");"</f>
        <v>Beacon.Put(129,0,0);</v>
      </c>
      <c r="E86" t="str">
        <f ca="1">"Beacon.Put(130,0,"&amp;E電入力!AZ87&amp;");"</f>
        <v>Beacon.Put(130,0,0);</v>
      </c>
      <c r="F86" t="str">
        <f>"Beacon.Put(133,0,"&amp;E電入力!BA87&amp;");"</f>
        <v>Beacon.Put(133,0,35);</v>
      </c>
      <c r="G86" t="str">
        <f>"Beacon.Put(131,0,"&amp;E電入力!BB87&amp;");"</f>
        <v>Beacon.Put(131,0,1);</v>
      </c>
      <c r="H86" t="str">
        <f>"Beacon.Put(128,0,"&amp;E電入力!BD87&amp;");"</f>
        <v>Beacon.Put(128,0,000000);</v>
      </c>
    </row>
    <row r="87" spans="1:8">
      <c r="A87" t="str">
        <f>E電入力!C88&amp;"-25;"</f>
        <v>-25;</v>
      </c>
      <c r="B87" t="str">
        <f ca="1">"Beacon.Put(134,0,"&amp;E電入力!AW88&amp;");"</f>
        <v>Beacon.Put(134,0,0);</v>
      </c>
      <c r="C87" t="str">
        <f ca="1">"Beacon.Put(132,0,"&amp;E電入力!AX88&amp;");"</f>
        <v>Beacon.Put(132,0,0);</v>
      </c>
      <c r="D87" t="str">
        <f ca="1">"Beacon.Put(129,0,"&amp;E電入力!AY88&amp;");"</f>
        <v>Beacon.Put(129,0,0);</v>
      </c>
      <c r="E87" t="str">
        <f ca="1">"Beacon.Put(130,0,"&amp;E電入力!AZ88&amp;");"</f>
        <v>Beacon.Put(130,0,0);</v>
      </c>
      <c r="F87" t="str">
        <f>"Beacon.Put(133,0,"&amp;E電入力!BA88&amp;");"</f>
        <v>Beacon.Put(133,0,35);</v>
      </c>
      <c r="G87" t="str">
        <f>"Beacon.Put(131,0,"&amp;E電入力!BB88&amp;");"</f>
        <v>Beacon.Put(131,0,1);</v>
      </c>
      <c r="H87" t="str">
        <f>"Beacon.Put(128,0,"&amp;E電入力!BD88&amp;");"</f>
        <v>Beacon.Put(128,0,000000);</v>
      </c>
    </row>
    <row r="88" spans="1:8">
      <c r="A88" t="str">
        <f>E電入力!C89&amp;"-25;"</f>
        <v>-25;</v>
      </c>
      <c r="B88" t="str">
        <f ca="1">"Beacon.Put(134,0,"&amp;E電入力!AW89&amp;");"</f>
        <v>Beacon.Put(134,0,0);</v>
      </c>
      <c r="C88" t="str">
        <f ca="1">"Beacon.Put(132,0,"&amp;E電入力!AX89&amp;");"</f>
        <v>Beacon.Put(132,0,0);</v>
      </c>
      <c r="D88" t="str">
        <f ca="1">"Beacon.Put(129,0,"&amp;E電入力!AY89&amp;");"</f>
        <v>Beacon.Put(129,0,0);</v>
      </c>
      <c r="E88" t="str">
        <f ca="1">"Beacon.Put(130,0,"&amp;E電入力!AZ89&amp;");"</f>
        <v>Beacon.Put(130,0,0);</v>
      </c>
      <c r="F88" t="str">
        <f>"Beacon.Put(133,0,"&amp;E電入力!BA89&amp;");"</f>
        <v>Beacon.Put(133,0,35);</v>
      </c>
      <c r="G88" t="str">
        <f>"Beacon.Put(131,0,"&amp;E電入力!BB89&amp;");"</f>
        <v>Beacon.Put(131,0,1);</v>
      </c>
      <c r="H88" t="str">
        <f>"Beacon.Put(128,0,"&amp;E電入力!BD89&amp;");"</f>
        <v>Beacon.Put(128,0,000000);</v>
      </c>
    </row>
    <row r="89" spans="1:8">
      <c r="A89" t="str">
        <f>E電入力!C90&amp;"-25;"</f>
        <v>-25;</v>
      </c>
      <c r="B89" t="str">
        <f ca="1">"Beacon.Put(134,0,"&amp;E電入力!AW90&amp;");"</f>
        <v>Beacon.Put(134,0,0);</v>
      </c>
      <c r="C89" t="str">
        <f ca="1">"Beacon.Put(132,0,"&amp;E電入力!AX90&amp;");"</f>
        <v>Beacon.Put(132,0,0);</v>
      </c>
      <c r="D89" t="str">
        <f ca="1">"Beacon.Put(129,0,"&amp;E電入力!AY90&amp;");"</f>
        <v>Beacon.Put(129,0,0);</v>
      </c>
      <c r="E89" t="str">
        <f ca="1">"Beacon.Put(130,0,"&amp;E電入力!AZ90&amp;");"</f>
        <v>Beacon.Put(130,0,0);</v>
      </c>
      <c r="F89" t="str">
        <f>"Beacon.Put(133,0,"&amp;E電入力!BA90&amp;");"</f>
        <v>Beacon.Put(133,0,35);</v>
      </c>
      <c r="G89" t="str">
        <f>"Beacon.Put(131,0,"&amp;E電入力!BB90&amp;");"</f>
        <v>Beacon.Put(131,0,1);</v>
      </c>
      <c r="H89" t="str">
        <f>"Beacon.Put(128,0,"&amp;E電入力!BD90&amp;");"</f>
        <v>Beacon.Put(128,0,000000);</v>
      </c>
    </row>
    <row r="90" spans="1:8">
      <c r="A90" t="str">
        <f>E電入力!C91&amp;"-25;"</f>
        <v>-25;</v>
      </c>
      <c r="B90" t="str">
        <f ca="1">"Beacon.Put(134,0,"&amp;E電入力!AW91&amp;");"</f>
        <v>Beacon.Put(134,0,0);</v>
      </c>
      <c r="C90" t="str">
        <f ca="1">"Beacon.Put(132,0,"&amp;E電入力!AX91&amp;");"</f>
        <v>Beacon.Put(132,0,0);</v>
      </c>
      <c r="D90" t="str">
        <f ca="1">"Beacon.Put(129,0,"&amp;E電入力!AY91&amp;");"</f>
        <v>Beacon.Put(129,0,0);</v>
      </c>
      <c r="E90" t="str">
        <f ca="1">"Beacon.Put(130,0,"&amp;E電入力!AZ91&amp;");"</f>
        <v>Beacon.Put(130,0,0);</v>
      </c>
      <c r="F90" t="str">
        <f>"Beacon.Put(133,0,"&amp;E電入力!BA91&amp;");"</f>
        <v>Beacon.Put(133,0,35);</v>
      </c>
      <c r="G90" t="str">
        <f>"Beacon.Put(131,0,"&amp;E電入力!BB91&amp;");"</f>
        <v>Beacon.Put(131,0,1);</v>
      </c>
      <c r="H90" t="str">
        <f>"Beacon.Put(128,0,"&amp;E電入力!BD91&amp;");"</f>
        <v>Beacon.Put(128,0,000000);</v>
      </c>
    </row>
    <row r="91" spans="1:8">
      <c r="A91" t="str">
        <f>E電入力!C92&amp;"-25;"</f>
        <v>-25;</v>
      </c>
      <c r="B91" t="str">
        <f ca="1">"Beacon.Put(134,0,"&amp;E電入力!AW92&amp;");"</f>
        <v>Beacon.Put(134,0,0);</v>
      </c>
      <c r="C91" t="str">
        <f ca="1">"Beacon.Put(132,0,"&amp;E電入力!AX92&amp;");"</f>
        <v>Beacon.Put(132,0,0);</v>
      </c>
      <c r="D91" t="str">
        <f ca="1">"Beacon.Put(129,0,"&amp;E電入力!AY92&amp;");"</f>
        <v>Beacon.Put(129,0,0);</v>
      </c>
      <c r="E91" t="str">
        <f ca="1">"Beacon.Put(130,0,"&amp;E電入力!AZ92&amp;");"</f>
        <v>Beacon.Put(130,0,0);</v>
      </c>
      <c r="F91" t="str">
        <f>"Beacon.Put(133,0,"&amp;E電入力!BA92&amp;");"</f>
        <v>Beacon.Put(133,0,35);</v>
      </c>
      <c r="G91" t="str">
        <f>"Beacon.Put(131,0,"&amp;E電入力!BB92&amp;");"</f>
        <v>Beacon.Put(131,0,1);</v>
      </c>
      <c r="H91" t="str">
        <f>"Beacon.Put(128,0,"&amp;E電入力!BD92&amp;");"</f>
        <v>Beacon.Put(128,0,000000);</v>
      </c>
    </row>
    <row r="92" spans="1:8">
      <c r="A92" t="str">
        <f>E電入力!C93&amp;"-25;"</f>
        <v>-25;</v>
      </c>
      <c r="B92" t="str">
        <f ca="1">"Beacon.Put(134,0,"&amp;E電入力!AW93&amp;");"</f>
        <v>Beacon.Put(134,0,0);</v>
      </c>
      <c r="C92" t="str">
        <f ca="1">"Beacon.Put(132,0,"&amp;E電入力!AX93&amp;");"</f>
        <v>Beacon.Put(132,0,0);</v>
      </c>
      <c r="D92" t="str">
        <f ca="1">"Beacon.Put(129,0,"&amp;E電入力!AY93&amp;");"</f>
        <v>Beacon.Put(129,0,0);</v>
      </c>
      <c r="E92" t="str">
        <f ca="1">"Beacon.Put(130,0,"&amp;E電入力!AZ93&amp;");"</f>
        <v>Beacon.Put(130,0,0);</v>
      </c>
      <c r="F92" t="str">
        <f>"Beacon.Put(133,0,"&amp;E電入力!BA93&amp;");"</f>
        <v>Beacon.Put(133,0,35);</v>
      </c>
      <c r="G92" t="str">
        <f>"Beacon.Put(131,0,"&amp;E電入力!BB93&amp;");"</f>
        <v>Beacon.Put(131,0,1);</v>
      </c>
      <c r="H92" t="str">
        <f>"Beacon.Put(128,0,"&amp;E電入力!BD93&amp;");"</f>
        <v>Beacon.Put(128,0,000000);</v>
      </c>
    </row>
    <row r="93" spans="1:8">
      <c r="A93" t="str">
        <f>E電入力!C94&amp;"-25;"</f>
        <v>-25;</v>
      </c>
      <c r="B93" t="str">
        <f ca="1">"Beacon.Put(134,0,"&amp;E電入力!AW94&amp;");"</f>
        <v>Beacon.Put(134,0,0);</v>
      </c>
      <c r="C93" t="str">
        <f ca="1">"Beacon.Put(132,0,"&amp;E電入力!AX94&amp;");"</f>
        <v>Beacon.Put(132,0,0);</v>
      </c>
      <c r="D93" t="str">
        <f ca="1">"Beacon.Put(129,0,"&amp;E電入力!AY94&amp;");"</f>
        <v>Beacon.Put(129,0,0);</v>
      </c>
      <c r="E93" t="str">
        <f ca="1">"Beacon.Put(130,0,"&amp;E電入力!AZ94&amp;");"</f>
        <v>Beacon.Put(130,0,0);</v>
      </c>
      <c r="F93" t="str">
        <f>"Beacon.Put(133,0,"&amp;E電入力!BA94&amp;");"</f>
        <v>Beacon.Put(133,0,35);</v>
      </c>
      <c r="G93" t="str">
        <f>"Beacon.Put(131,0,"&amp;E電入力!BB94&amp;");"</f>
        <v>Beacon.Put(131,0,1);</v>
      </c>
      <c r="H93" t="str">
        <f>"Beacon.Put(128,0,"&amp;E電入力!BD94&amp;");"</f>
        <v>Beacon.Put(128,0,000000);</v>
      </c>
    </row>
    <row r="94" spans="1:8">
      <c r="A94" t="str">
        <f>E電入力!C95&amp;"-25;"</f>
        <v>-25;</v>
      </c>
      <c r="B94" t="str">
        <f ca="1">"Beacon.Put(134,0,"&amp;E電入力!AW95&amp;");"</f>
        <v>Beacon.Put(134,0,0);</v>
      </c>
      <c r="C94" t="str">
        <f ca="1">"Beacon.Put(132,0,"&amp;E電入力!AX95&amp;");"</f>
        <v>Beacon.Put(132,0,0);</v>
      </c>
      <c r="D94" t="str">
        <f ca="1">"Beacon.Put(129,0,"&amp;E電入力!AY95&amp;");"</f>
        <v>Beacon.Put(129,0,0);</v>
      </c>
      <c r="E94" t="str">
        <f ca="1">"Beacon.Put(130,0,"&amp;E電入力!AZ95&amp;");"</f>
        <v>Beacon.Put(130,0,0);</v>
      </c>
      <c r="F94" t="str">
        <f>"Beacon.Put(133,0,"&amp;E電入力!BA95&amp;");"</f>
        <v>Beacon.Put(133,0,35);</v>
      </c>
      <c r="G94" t="str">
        <f>"Beacon.Put(131,0,"&amp;E電入力!BB95&amp;");"</f>
        <v>Beacon.Put(131,0,1);</v>
      </c>
      <c r="H94" t="str">
        <f>"Beacon.Put(128,0,"&amp;E電入力!BD95&amp;");"</f>
        <v>Beacon.Put(128,0,000000);</v>
      </c>
    </row>
    <row r="95" spans="1:8">
      <c r="A95" t="str">
        <f>E電入力!C96&amp;"-25;"</f>
        <v>-25;</v>
      </c>
      <c r="B95" t="str">
        <f ca="1">"Beacon.Put(134,0,"&amp;E電入力!AW96&amp;");"</f>
        <v>Beacon.Put(134,0,0);</v>
      </c>
      <c r="C95" t="str">
        <f ca="1">"Beacon.Put(132,0,"&amp;E電入力!AX96&amp;");"</f>
        <v>Beacon.Put(132,0,0);</v>
      </c>
      <c r="D95" t="str">
        <f ca="1">"Beacon.Put(129,0,"&amp;E電入力!AY96&amp;");"</f>
        <v>Beacon.Put(129,0,0);</v>
      </c>
      <c r="E95" t="str">
        <f ca="1">"Beacon.Put(130,0,"&amp;E電入力!AZ96&amp;");"</f>
        <v>Beacon.Put(130,0,0);</v>
      </c>
      <c r="F95" t="str">
        <f>"Beacon.Put(133,0,"&amp;E電入力!BA96&amp;");"</f>
        <v>Beacon.Put(133,0,35);</v>
      </c>
      <c r="G95" t="str">
        <f>"Beacon.Put(131,0,"&amp;E電入力!BB96&amp;");"</f>
        <v>Beacon.Put(131,0,1);</v>
      </c>
      <c r="H95" t="str">
        <f>"Beacon.Put(128,0,"&amp;E電入力!BD96&amp;");"</f>
        <v>Beacon.Put(128,0,000000);</v>
      </c>
    </row>
    <row r="96" spans="1:8">
      <c r="A96" t="str">
        <f>E電入力!C97&amp;"-25;"</f>
        <v>-25;</v>
      </c>
      <c r="B96" t="str">
        <f ca="1">"Beacon.Put(134,0,"&amp;E電入力!AW97&amp;");"</f>
        <v>Beacon.Put(134,0,0);</v>
      </c>
      <c r="C96" t="str">
        <f ca="1">"Beacon.Put(132,0,"&amp;E電入力!AX97&amp;");"</f>
        <v>Beacon.Put(132,0,0);</v>
      </c>
      <c r="D96" t="str">
        <f ca="1">"Beacon.Put(129,0,"&amp;E電入力!AY97&amp;");"</f>
        <v>Beacon.Put(129,0,0);</v>
      </c>
      <c r="E96" t="str">
        <f ca="1">"Beacon.Put(130,0,"&amp;E電入力!AZ97&amp;");"</f>
        <v>Beacon.Put(130,0,0);</v>
      </c>
      <c r="F96" t="str">
        <f>"Beacon.Put(133,0,"&amp;E電入力!BA97&amp;");"</f>
        <v>Beacon.Put(133,0,35);</v>
      </c>
      <c r="G96" t="str">
        <f>"Beacon.Put(131,0,"&amp;E電入力!BB97&amp;");"</f>
        <v>Beacon.Put(131,0,1);</v>
      </c>
      <c r="H96" t="str">
        <f>"Beacon.Put(128,0,"&amp;E電入力!BD97&amp;");"</f>
        <v>Beacon.Put(128,0,000000);</v>
      </c>
    </row>
    <row r="97" spans="1:8">
      <c r="A97" t="str">
        <f>E電入力!C98&amp;"-25;"</f>
        <v>-25;</v>
      </c>
      <c r="B97" t="str">
        <f ca="1">"Beacon.Put(134,0,"&amp;E電入力!AW98&amp;");"</f>
        <v>Beacon.Put(134,0,0);</v>
      </c>
      <c r="C97" t="str">
        <f ca="1">"Beacon.Put(132,0,"&amp;E電入力!AX98&amp;");"</f>
        <v>Beacon.Put(132,0,0);</v>
      </c>
      <c r="D97" t="str">
        <f ca="1">"Beacon.Put(129,0,"&amp;E電入力!AY98&amp;");"</f>
        <v>Beacon.Put(129,0,0);</v>
      </c>
      <c r="E97" t="str">
        <f ca="1">"Beacon.Put(130,0,"&amp;E電入力!AZ98&amp;");"</f>
        <v>Beacon.Put(130,0,0);</v>
      </c>
      <c r="F97" t="str">
        <f>"Beacon.Put(133,0,"&amp;E電入力!BA98&amp;");"</f>
        <v>Beacon.Put(133,0,35);</v>
      </c>
      <c r="G97" t="str">
        <f>"Beacon.Put(131,0,"&amp;E電入力!BB98&amp;");"</f>
        <v>Beacon.Put(131,0,1);</v>
      </c>
      <c r="H97" t="str">
        <f>"Beacon.Put(128,0,"&amp;E電入力!BD98&amp;");"</f>
        <v>Beacon.Put(128,0,000000);</v>
      </c>
    </row>
    <row r="98" spans="1:8">
      <c r="A98" t="str">
        <f>E電入力!C99&amp;"-25;"</f>
        <v>-25;</v>
      </c>
      <c r="B98" t="str">
        <f ca="1">"Beacon.Put(134,0,"&amp;E電入力!AW99&amp;");"</f>
        <v>Beacon.Put(134,0,0);</v>
      </c>
      <c r="C98" t="str">
        <f ca="1">"Beacon.Put(132,0,"&amp;E電入力!AX99&amp;");"</f>
        <v>Beacon.Put(132,0,0);</v>
      </c>
      <c r="D98" t="str">
        <f ca="1">"Beacon.Put(129,0,"&amp;E電入力!AY99&amp;");"</f>
        <v>Beacon.Put(129,0,0);</v>
      </c>
      <c r="E98" t="str">
        <f ca="1">"Beacon.Put(130,0,"&amp;E電入力!AZ99&amp;");"</f>
        <v>Beacon.Put(130,0,0);</v>
      </c>
      <c r="F98" t="str">
        <f>"Beacon.Put(133,0,"&amp;E電入力!BA99&amp;");"</f>
        <v>Beacon.Put(133,0,35);</v>
      </c>
      <c r="G98" t="str">
        <f>"Beacon.Put(131,0,"&amp;E電入力!BB99&amp;");"</f>
        <v>Beacon.Put(131,0,1);</v>
      </c>
      <c r="H98" t="str">
        <f>"Beacon.Put(128,0,"&amp;E電入力!BD99&amp;");"</f>
        <v>Beacon.Put(128,0,000000);</v>
      </c>
    </row>
    <row r="99" spans="1:8">
      <c r="A99" t="str">
        <f>E電入力!C100&amp;"-25;"</f>
        <v>-25;</v>
      </c>
      <c r="B99" t="str">
        <f ca="1">"Beacon.Put(134,0,"&amp;E電入力!AW100&amp;");"</f>
        <v>Beacon.Put(134,0,0);</v>
      </c>
      <c r="C99" t="str">
        <f ca="1">"Beacon.Put(132,0,"&amp;E電入力!AX100&amp;");"</f>
        <v>Beacon.Put(132,0,0);</v>
      </c>
      <c r="D99" t="str">
        <f ca="1">"Beacon.Put(129,0,"&amp;E電入力!AY100&amp;");"</f>
        <v>Beacon.Put(129,0,0);</v>
      </c>
      <c r="E99" t="str">
        <f ca="1">"Beacon.Put(130,0,"&amp;E電入力!AZ100&amp;");"</f>
        <v>Beacon.Put(130,0,0);</v>
      </c>
      <c r="F99" t="str">
        <f>"Beacon.Put(133,0,"&amp;E電入力!BA100&amp;");"</f>
        <v>Beacon.Put(133,0,35);</v>
      </c>
      <c r="G99" t="str">
        <f>"Beacon.Put(131,0,"&amp;E電入力!BB100&amp;");"</f>
        <v>Beacon.Put(131,0,1);</v>
      </c>
      <c r="H99" t="str">
        <f>"Beacon.Put(128,0,"&amp;E電入力!BD100&amp;");"</f>
        <v>Beacon.Put(128,0,000000);</v>
      </c>
    </row>
    <row r="100" spans="1:8">
      <c r="A100" t="str">
        <f>E電入力!C101&amp;"-25;"</f>
        <v>-25;</v>
      </c>
      <c r="B100" t="str">
        <f ca="1">"Beacon.Put(134,0,"&amp;E電入力!AW101&amp;");"</f>
        <v>Beacon.Put(134,0,0);</v>
      </c>
      <c r="C100" t="str">
        <f ca="1">"Beacon.Put(132,0,"&amp;E電入力!AX101&amp;");"</f>
        <v>Beacon.Put(132,0,0);</v>
      </c>
      <c r="D100" t="str">
        <f ca="1">"Beacon.Put(129,0,"&amp;E電入力!AY101&amp;");"</f>
        <v>Beacon.Put(129,0,0);</v>
      </c>
      <c r="E100" t="str">
        <f ca="1">"Beacon.Put(130,0,"&amp;E電入力!AZ101&amp;");"</f>
        <v>Beacon.Put(130,0,0);</v>
      </c>
      <c r="F100" t="str">
        <f>"Beacon.Put(133,0,"&amp;E電入力!BA101&amp;");"</f>
        <v>Beacon.Put(133,0,35);</v>
      </c>
      <c r="G100" t="str">
        <f>"Beacon.Put(131,0,"&amp;E電入力!BB101&amp;");"</f>
        <v>Beacon.Put(131,0,1);</v>
      </c>
      <c r="H100" t="str">
        <f>"Beacon.Put(128,0,"&amp;E電入力!BD101&amp;");"</f>
        <v>Beacon.Put(128,0,000000);</v>
      </c>
    </row>
    <row r="101" spans="1:8">
      <c r="A101" t="str">
        <f>E電入力!C102&amp;"-25;"</f>
        <v>-25;</v>
      </c>
      <c r="B101" t="str">
        <f ca="1">"Beacon.Put(134,0,"&amp;E電入力!AW102&amp;");"</f>
        <v>Beacon.Put(134,0,0);</v>
      </c>
      <c r="C101" t="str">
        <f ca="1">"Beacon.Put(132,0,"&amp;E電入力!AX102&amp;");"</f>
        <v>Beacon.Put(132,0,0);</v>
      </c>
      <c r="D101" t="str">
        <f ca="1">"Beacon.Put(129,0,"&amp;E電入力!AY102&amp;");"</f>
        <v>Beacon.Put(129,0,0);</v>
      </c>
      <c r="E101" t="str">
        <f ca="1">"Beacon.Put(130,0,"&amp;E電入力!AZ102&amp;");"</f>
        <v>Beacon.Put(130,0,0);</v>
      </c>
      <c r="F101" t="str">
        <f>"Beacon.Put(133,0,"&amp;E電入力!BA102&amp;");"</f>
        <v>Beacon.Put(133,0,35);</v>
      </c>
      <c r="G101" t="str">
        <f>"Beacon.Put(131,0,"&amp;E電入力!BB102&amp;");"</f>
        <v>Beacon.Put(131,0,1);</v>
      </c>
      <c r="H101" t="str">
        <f>"Beacon.Put(128,0,"&amp;E電入力!BD102&amp;");"</f>
        <v>Beacon.Put(128,0,000000);</v>
      </c>
    </row>
    <row r="102" spans="1:8">
      <c r="A102" t="str">
        <f>E電入力!C103&amp;"-25;"</f>
        <v>-25;</v>
      </c>
      <c r="B102" t="str">
        <f ca="1">"Beacon.Put(134,0,"&amp;E電入力!AW103&amp;");"</f>
        <v>Beacon.Put(134,0,0);</v>
      </c>
      <c r="C102" t="str">
        <f ca="1">"Beacon.Put(132,0,"&amp;E電入力!AX103&amp;");"</f>
        <v>Beacon.Put(132,0,0);</v>
      </c>
      <c r="D102" t="str">
        <f ca="1">"Beacon.Put(129,0,"&amp;E電入力!AY103&amp;");"</f>
        <v>Beacon.Put(129,0,0);</v>
      </c>
      <c r="E102" t="str">
        <f ca="1">"Beacon.Put(130,0,"&amp;E電入力!AZ103&amp;");"</f>
        <v>Beacon.Put(130,0,0);</v>
      </c>
      <c r="F102" t="str">
        <f>"Beacon.Put(133,0,"&amp;E電入力!BA103&amp;");"</f>
        <v>Beacon.Put(133,0,35);</v>
      </c>
      <c r="G102" t="str">
        <f>"Beacon.Put(131,0,"&amp;E電入力!BB103&amp;");"</f>
        <v>Beacon.Put(131,0,1);</v>
      </c>
      <c r="H102" t="str">
        <f>"Beacon.Put(128,0,"&amp;E電入力!BD103&amp;");"</f>
        <v>Beacon.Put(128,0,000000);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13</vt:i4>
      </vt:variant>
    </vt:vector>
  </HeadingPairs>
  <TitlesOfParts>
    <vt:vector size="13" baseType="lpstr">
      <vt:lpstr>M電入力</vt:lpstr>
      <vt:lpstr>E電入力</vt:lpstr>
      <vt:lpstr>駅名表示(M)</vt:lpstr>
      <vt:lpstr>時刻設定(M)</vt:lpstr>
      <vt:lpstr>到着番線(M)</vt:lpstr>
      <vt:lpstr>次駅設定(M)</vt:lpstr>
      <vt:lpstr>制限速度&amp;駅間時間(M)</vt:lpstr>
      <vt:lpstr>駅名表示(E)</vt:lpstr>
      <vt:lpstr>時刻設定(E)</vt:lpstr>
      <vt:lpstr>到着番線(E)</vt:lpstr>
      <vt:lpstr>次駅設定(E)</vt:lpstr>
      <vt:lpstr>行路表矢印(E)</vt:lpstr>
      <vt:lpstr>採時駅設定(E)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J11-A-40054 Golden Eagle</dc:creator>
  <cp:lastModifiedBy>J11-A-40054 Golden Eagle</cp:lastModifiedBy>
  <dcterms:created xsi:type="dcterms:W3CDTF">2026-06-06T04:05:22Z</dcterms:created>
  <dcterms:modified xsi:type="dcterms:W3CDTF">2026-06-12T06:45:15Z</dcterms:modified>
</cp:coreProperties>
</file>